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bout" sheetId="1" state="visible" r:id="rId3"/>
    <sheet name="Executive comparison" sheetId="2" state="visible" r:id="rId4"/>
    <sheet name="Quarter-by-quarter results" sheetId="3" state="visible" r:id="rId5"/>
    <sheet name="Investment &amp; capability" sheetId="4" state="visible" r:id="rId6"/>
    <sheet name="Starting revenue distribution" sheetId="5" state="visible" r:id="rId7"/>
    <sheet name="Sensitivity analysis" sheetId="6" state="visible" r:id="rId8"/>
    <sheet name="Contract &amp; financing audit" sheetId="7" state="visible" r:id="rId9"/>
    <sheet name="Recommendations" sheetId="8" state="visible" r:id="rId10"/>
    <sheet name="Allocation grid" sheetId="9" state="visible" r:id="rId11"/>
    <sheet name="Destination sweep" sheetId="10" state="visible" r:id="rId12"/>
    <sheet name="Proposal tests" sheetId="11" state="visible" r:id="rId13"/>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D12" authorId="0">
      <text>
        <r>
          <rPr>
            <sz val="10"/>
            <rFont val="Arial"/>
            <family val="2"/>
          </rPr>
          <t xml:space="preserve">Share of the 462 $5M-step allocations (each with its best destination) that this allocation beats on Q8 share price. Source: Allocation grid sheet.</t>
        </r>
      </text>
    </comment>
  </commentList>
</comments>
</file>

<file path=xl/sharedStrings.xml><?xml version="1.0" encoding="utf-8"?>
<sst xmlns="http://schemas.openxmlformats.org/spreadsheetml/2006/main" count="7721" uniqueCount="605">
  <si>
    <t xml:space="preserve">NexLearn Economic Balance Study — Batch 9</t>
  </si>
  <si>
    <t xml:space="preserve">How the numbers were produced and how to reproduce them</t>
  </si>
  <si>
    <t xml:space="preserve">Provenance</t>
  </si>
  <si>
    <t xml:space="preserve">Engine</t>
  </si>
  <si>
    <t xml:space="preserve">NexLearn V2 frozen economic engine (src/simulation). Diff against baseline commit 003f697: none</t>
  </si>
  <si>
    <t xml:space="preserve">Valuation model</t>
  </si>
  <si>
    <t xml:space="preserve">NXLN-VAL-1.0 (src/production/v2/insights/valuation.ts) — production implementation</t>
  </si>
  <si>
    <t xml:space="preserve">Executive scoring</t>
  </si>
  <si>
    <t xml:space="preserve">NXLN-EXEC-1.1 (src/production/v2/insights/executive.ts) — production implementation</t>
  </si>
  <si>
    <t xml:space="preserve">Terminal score</t>
  </si>
  <si>
    <t xml:space="preserve">scoreV2Company (src/simulation/engineV2Scoring.ts)</t>
  </si>
  <si>
    <t xml:space="preserve">Runner</t>
  </si>
  <si>
    <t xml:space="preserve">scripts/lab/batch9/runner.ts → Test Lab runArc (full eight-quarter arc: market path, Q4 commitment, Q5 contract, Q6 recession, Q7 crisis, Q8 final option, CFO liquidity forecast and financing)</t>
  </si>
  <si>
    <t xml:space="preserve">Repository commit</t>
  </si>
  <si>
    <t xml:space="preserve">2d49f89</t>
  </si>
  <si>
    <t xml:space="preserve">Generated</t>
  </si>
  <si>
    <t xml:space="preserve">2026-10-13T08:23:42.000Z</t>
  </si>
  <si>
    <t xml:space="preserve">Reproduce</t>
  </si>
  <si>
    <t xml:space="preserve">LAB_WRITE=1 npx vitest run scripts/lab/batch9/write.test.ts  →  docs/batch9/lab-results.json;  python3 scripts/lab/batch9/build_workbook.py</t>
  </si>
  <si>
    <t xml:space="preserve">Verification</t>
  </si>
  <si>
    <t xml:space="preserve">npx vitest run scripts/lab/batch9/lab.test.ts — engine unchanged; lab results equal the production replay path (price, executive, terminal, cash) for all ten strategies; ledgers reconcile; overrides restored; re-based mixes are steady states</t>
  </si>
  <si>
    <t xml:space="preserve">Assumptions that apply to every run</t>
  </si>
  <si>
    <t xml:space="preserve">• All money in $M. Quarter 1 = Q1 2023; Q8 = Q4 2024. Starting company: revenue $200M (Consumer $140M, Enterprise $40M, University $16M, AI-native $4M), operating profit $30M, cash $60M.</t>
  </si>
  <si>
    <t xml:space="preserve">• Allocations are $30M per quarter (the strategic envelope); any unallocated amount is held as Cash Reserve. At Q8 the earned final option may raise the envelope to $45M (scale independently) or $60M (raise growth capital); the extra goes to the destination-aligned buckets (Test Lab policy).</t>
  </si>
  <si>
    <t xml:space="preserve">• Every strategy uses the same event policy (Test Lab DEFAULT_POLICY): accept the Q5 contract when on strategy and deliverable (fit ≥ 0.3) or fit ≥ 0.55; recession: hiring freeze when not investing in People, plus a targeted cut and $10M slower investment when cash &lt; $40M; debt-first liquidity to keep closing cash ≥ $25M; crisis response by severity; Q8 option by eligibility. Differences between strategies therefore come from the investment strategy and destination.</t>
  </si>
  <si>
    <t xml:space="preserve">• Market: the engine’s market path is deterministic (one authored scenario). Sensitivity uses the runner’s supported market-override hook to vary conditions; player briefings (signals) stay as authored, so only the adaptive strategy could react to them. No stochastic outcomes were invented.</t>
  </si>
  <si>
    <t xml:space="preserve">• Executive scores (NXLN-EXEC-1.1) are reported only for runs that start from the production company, because the scoring compares against that starting company.</t>
  </si>
  <si>
    <t xml:space="preserve">• Starting-mix experiments change calibration constants in memory for one run and restore them afterwards (verified by test). Valuation for those runs is anchored on the production starting company; “price from own start” rescales to the experiment’s own Q0.</t>
  </si>
  <si>
    <t xml:space="preserve">• Allocation grid: every allocation of $30M in $5M steps across the six buckets (462 allocations) × five destinations = 2,310 eight-quarter runs.</t>
  </si>
  <si>
    <t xml:space="preserve">Strategy definitions</t>
  </si>
  <si>
    <t xml:space="preserve">Id</t>
  </si>
  <si>
    <t xml:space="preserve">Name</t>
  </si>
  <si>
    <t xml:space="preserve">Family</t>
  </si>
  <si>
    <t xml:space="preserve">Allocation (per quarter)</t>
  </si>
  <si>
    <t xml:space="preserve">Description</t>
  </si>
  <si>
    <t xml:space="preserve">consumer-led</t>
  </si>
  <si>
    <t xml:space="preserve">Consumer-led</t>
  </si>
  <si>
    <t xml:space="preserve">Consumer</t>
  </si>
  <si>
    <t xml:space="preserve">$20M Consumer + $10M People</t>
  </si>
  <si>
    <t xml:space="preserve">$20M Consumer + $10M People every quarter; commits to Consumer AI</t>
  </si>
  <si>
    <t xml:space="preserve">enterprise-led</t>
  </si>
  <si>
    <t xml:space="preserve">Enterprise-led</t>
  </si>
  <si>
    <t xml:space="preserve">Enterprise</t>
  </si>
  <si>
    <t xml:space="preserve">$20M Enterprise + $10M People</t>
  </si>
  <si>
    <t xml:space="preserve">$20M Enterprise + $10M People; commits to AI-powered Enterprise</t>
  </si>
  <si>
    <t xml:space="preserve">ai-led</t>
  </si>
  <si>
    <t xml:space="preserve">AI-led</t>
  </si>
  <si>
    <t xml:space="preserve">AI</t>
  </si>
  <si>
    <t xml:space="preserve">$20M AI/Product + $10M People</t>
  </si>
  <si>
    <t xml:space="preserve">$20M AI/Product + $10M People; commits to Premium Human + AI</t>
  </si>
  <si>
    <t xml:space="preserve">diversified</t>
  </si>
  <si>
    <t xml:space="preserve">Diversified</t>
  </si>
  <si>
    <t xml:space="preserve">$10M Consumer + $10M Enterprise + $10M AI</t>
  </si>
  <si>
    <t xml:space="preserve">$10M each Consumer, Enterprise, AI/Product; commits to Balanced Marketplace</t>
  </si>
  <si>
    <t xml:space="preserve">consumer-only</t>
  </si>
  <si>
    <t xml:space="preserve">Consumer-only</t>
  </si>
  <si>
    <t xml:space="preserve">$30M Consumer</t>
  </si>
  <si>
    <t xml:space="preserve">$30M Consumer; commits to Consumer AI</t>
  </si>
  <si>
    <t xml:space="preserve">enterprise-only</t>
  </si>
  <si>
    <t xml:space="preserve">Enterprise-only</t>
  </si>
  <si>
    <t xml:space="preserve">$30M Enterprise</t>
  </si>
  <si>
    <t xml:space="preserve">$30M Enterprise; commits to AI-powered Enterprise</t>
  </si>
  <si>
    <t xml:space="preserve">ai-only</t>
  </si>
  <si>
    <t xml:space="preserve">AI-only</t>
  </si>
  <si>
    <t xml:space="preserve">$30M AI/Product</t>
  </si>
  <si>
    <t xml:space="preserve">$30M AI/Product; commits to Consumer AI</t>
  </si>
  <si>
    <t xml:space="preserve">university-led</t>
  </si>
  <si>
    <t xml:space="preserve">University-led</t>
  </si>
  <si>
    <t xml:space="preserve">University</t>
  </si>
  <si>
    <t xml:space="preserve">$20M University + $10M People</t>
  </si>
  <si>
    <t xml:space="preserve">$20M University/Credentials + $10M People; commits to University/Credential Infrastructure</t>
  </si>
  <si>
    <t xml:space="preserve">cash-preservation</t>
  </si>
  <si>
    <t xml:space="preserve">Cash preservation</t>
  </si>
  <si>
    <t xml:space="preserve">Cash</t>
  </si>
  <si>
    <t xml:space="preserve">$20M held in reserve; $4M Consumer, $3M Enterprise, $3M AI</t>
  </si>
  <si>
    <t xml:space="preserve">Invests $10M a quarter ($4M Consumer, $3M Enterprise, $3M AI/Product) and holds $20M in reserve; Balanced Marketplace</t>
  </si>
  <si>
    <t xml:space="preserve">adaptive</t>
  </si>
  <si>
    <t xml:space="preserve">Adaptive (evidence-responsive)</t>
  </si>
  <si>
    <t xml:space="preserve">Adaptive</t>
  </si>
  <si>
    <t xml:space="preserve">Balanced Q1, then shifts with market evidence (Test Lab "evidence-responsive")</t>
  </si>
  <si>
    <t xml:space="preserve">Explores broadly in Q1, then follows the evidence: shifts toward Enterprise + AI when AI disruption and enterprise AI demand appear, keeps Consumer defended, commits to AI-powered Enterprise at Q4.</t>
  </si>
  <si>
    <t xml:space="preserve">university-only</t>
  </si>
  <si>
    <t xml:space="preserve">University-only</t>
  </si>
  <si>
    <t xml:space="preserve">$30M University</t>
  </si>
  <si>
    <t xml:space="preserve">$30M University/Credentials</t>
  </si>
  <si>
    <t xml:space="preserve">consumer-ai-pair</t>
  </si>
  <si>
    <t xml:space="preserve">Consumer + AI</t>
  </si>
  <si>
    <t xml:space="preserve">$15M Consumer + $15M AI</t>
  </si>
  <si>
    <t xml:space="preserve">enterprise-ai-pair</t>
  </si>
  <si>
    <t xml:space="preserve">Enterprise + AI</t>
  </si>
  <si>
    <t xml:space="preserve">$15M Enterprise + $15M AI</t>
  </si>
  <si>
    <t xml:space="preserve">enterprise-ai-people</t>
  </si>
  <si>
    <t xml:space="preserve">Enterprise + AI + People</t>
  </si>
  <si>
    <t xml:space="preserve">$15M Enterprise + $10M AI + $5M People</t>
  </si>
  <si>
    <t xml:space="preserve">Market scenarios (sensitivity)</t>
  </si>
  <si>
    <t xml:space="preserve">Label</t>
  </si>
  <si>
    <t xml:space="preserve">Definition</t>
  </si>
  <si>
    <t xml:space="preserve">authored</t>
  </si>
  <si>
    <t xml:space="preserve">Authored arc</t>
  </si>
  <si>
    <t xml:space="preserve">The production scenario: AI disruption from Q2, Q5 contract, Q6 recession, Q7 crisis, Q8 final decision.</t>
  </si>
  <si>
    <t xml:space="preserve">consumer-weak</t>
  </si>
  <si>
    <t xml:space="preserve">Consumer weaker</t>
  </si>
  <si>
    <t xml:space="preserve">Consumer demand ×0.9 and commoditization +0.15 from Q2.</t>
  </si>
  <si>
    <t xml:space="preserve">consumer-strong</t>
  </si>
  <si>
    <t xml:space="preserve">Consumer stronger</t>
  </si>
  <si>
    <t xml:space="preserve">Consumer demand ×1.1, commoditization halved and CAC pressure −0.1 from Q2.</t>
  </si>
  <si>
    <t xml:space="preserve">enterprise-boom</t>
  </si>
  <si>
    <t xml:space="preserve">Enterprise boom</t>
  </si>
  <si>
    <t xml:space="preserve">Enterprise demand ×1.2 and enterprise AI demand ×1.15 from Q2.</t>
  </si>
  <si>
    <t xml:space="preserve">enterprise-slump</t>
  </si>
  <si>
    <t xml:space="preserve">Enterprise slump</t>
  </si>
  <si>
    <t xml:space="preserve">Enterprise demand ×0.85 and enterprise AI demand ×0.9 from Q2.</t>
  </si>
  <si>
    <t xml:space="preserve">ai-boom</t>
  </si>
  <si>
    <t xml:space="preserve">AI boom</t>
  </si>
  <si>
    <t xml:space="preserve">AI-native demand ×1.3 and enterprise AI demand ×1.1 from Q2.</t>
  </si>
  <si>
    <t xml:space="preserve">university-boom</t>
  </si>
  <si>
    <t xml:space="preserve">University boom</t>
  </si>
  <si>
    <t xml:space="preserve">University demand ×1.25 from Q2.</t>
  </si>
  <si>
    <t xml:space="preserve">no-disruption</t>
  </si>
  <si>
    <t xml:space="preserve">No AI disruption</t>
  </si>
  <si>
    <t xml:space="preserve">From Q2: consumer demand +0.1 (max 1, the recession dip remains), commoditization 0, CAC pressure 1; AI-native and enterprise AI demand 1 (capacities as authored).</t>
  </si>
  <si>
    <t xml:space="preserve">severe-recession</t>
  </si>
  <si>
    <t xml:space="preserve">Severe recession</t>
  </si>
  <si>
    <t xml:space="preserve">Macro pressure 1.0 / 0.8 / 0.4 in Q6–Q8 and all segment demand ×0.9 in Q6–Q7.</t>
  </si>
  <si>
    <t xml:space="preserve">no-recession</t>
  </si>
  <si>
    <t xml:space="preserve">No recession</t>
  </si>
  <si>
    <t xml:space="preserve">Q6–Q8 macro pressure 0.1 and demand held at Q5 levels (the Q6 response decision still occurs).</t>
  </si>
  <si>
    <t xml:space="preserve">Workbook map</t>
  </si>
  <si>
    <t xml:space="preserve">Executive comparison</t>
  </si>
  <si>
    <t xml:space="preserve">Q8 outcomes for every strategy, ranks, and how Consumer-only compares with the field</t>
  </si>
  <si>
    <t xml:space="preserve">Quarter-by-quarter results</t>
  </si>
  <si>
    <t xml:space="preserve">Every quarter of every strategy; revenue, profit, cash and share-price matrices</t>
  </si>
  <si>
    <t xml:space="preserve">Investment &amp; capability</t>
  </si>
  <si>
    <t xml:space="preserve">Capabilities built, marginal return of each bucket, allocation-grid main effects, bucket economics</t>
  </si>
  <si>
    <t xml:space="preserve">Starting revenue distribution</t>
  </si>
  <si>
    <t xml:space="preserve">Alternative A and B mixes: validity check, required re-base, and results</t>
  </si>
  <si>
    <t xml:space="preserve">Sensitivity analysis</t>
  </si>
  <si>
    <t xml:space="preserve">Ten market scenarios × ten strategies: prices, scores and ranks</t>
  </si>
  <si>
    <t xml:space="preserve">Contract &amp; financing audit</t>
  </si>
  <si>
    <t xml:space="preserve">Contract, envelope, financing and recession mechanics</t>
  </si>
  <si>
    <t xml:space="preserve">Recommendations</t>
  </si>
  <si>
    <t xml:space="preserve">Answers, tested calibration packages and proposed rule changes</t>
  </si>
  <si>
    <t xml:space="preserve">Allocation grid</t>
  </si>
  <si>
    <t xml:space="preserve">Appendix: 2,310 runs (462 allocations × 5 destinations)</t>
  </si>
  <si>
    <t xml:space="preserve">Destination sweep</t>
  </si>
  <si>
    <t xml:space="preserve">Appendix: 14 strategies × 5 destinations</t>
  </si>
  <si>
    <t xml:space="preserve">Proposal tests</t>
  </si>
  <si>
    <t xml:space="preserve">Appendix: every candidate change and package × 6 scenarios × 10 strategies</t>
  </si>
  <si>
    <t xml:space="preserve">1 · Executive comparison — Q8 (Q4 2024) outcomes</t>
  </si>
  <si>
    <t xml:space="preserve">Authored market, production starting company, identical event policy. Ranks and comparisons are formulas over the recorded results.</t>
  </si>
  <si>
    <t xml:space="preserve">Key findings</t>
  </si>
  <si>
    <t xml:space="preserve">• Consumer investment is not the dominant strategy. Consumer-only ranks 7th of 10 on Q8 share price and 8th on the terminal score, and sits at the 27th percentile of all 462 tested allocations. It is near the top only in Q1–Q2 (2nd–3rd, within $1 of the leader) and falls to 5th–7th from Q3.</t>
  </si>
  <si>
    <t xml:space="preserve">• AI/Product is the dominant investment. Every best allocation for every destination contains $10M AI/Product; the best allocation without AI scores $116–$133 against $156–$166 with it. An extra $10M a quarter in AI adds $25M of Q8 revenue versus $8M for Consumer.</t>
  </si>
  <si>
    <t xml:space="preserve">• Enterprise is not commercially viable as a lead strategy: Enterprise-only finishes last and Enterprise-led 9th in all ten market scenarios. Each extra $5M of Enterprise lowers the average Q8 price. University-led holds a $111 price but University revenue does not grow within eight quarters.</t>
  </si>
  <si>
    <t xml:space="preserve">• The strongest single play is Consumer + AI ($15M each, Consumer AI destination): $164.5 share price, 99th percentile. Consumer works as AI’s complement: it defends the 70% revenue base from the AI disruption (strategies without Consumer investment lose up to $19M of Consumer revenue by Q8), carries no recurring cost commitment and matures 50% in the quarter invested.</t>
  </si>
  <si>
    <t xml:space="preserve">Q8 outcomes by strategy</t>
  </si>
  <si>
    <t xml:space="preserve">Rows 1–10 are the required strategies; rows 11–14 are supplementary. Rank formulas rank the ten required strategies only.</t>
  </si>
  <si>
    <t xml:space="preserve">Strategy</t>
  </si>
  <si>
    <t xml:space="preserve">Allocation</t>
  </si>
  <si>
    <t xml:space="preserve">Destination</t>
  </si>
  <si>
    <t xml:space="preserve">Q8 revenue ($M)</t>
  </si>
  <si>
    <t xml:space="preserve">Q8 operating profit ($M)</t>
  </si>
  <si>
    <t xml:space="preserve">Cumulative OP Q1–Q8 ($M)</t>
  </si>
  <si>
    <t xml:space="preserve">Q8 cash ($M)</t>
  </si>
  <si>
    <t xml:space="preserve">Q8 debt ($M)</t>
  </si>
  <si>
    <t xml:space="preserve">Net cash ($M)</t>
  </si>
  <si>
    <t xml:space="preserve">Share price Q8 ($)</t>
  </si>
  <si>
    <t xml:space="preserve">Price change vs $100</t>
  </si>
  <si>
    <t xml:space="preserve">Financial</t>
  </si>
  <si>
    <t xml:space="preserve">Strategic</t>
  </si>
  <si>
    <t xml:space="preserve">Organizational</t>
  </si>
  <si>
    <t xml:space="preserve">Executive team avg</t>
  </si>
  <si>
    <t xml:space="preserve">CEO</t>
  </si>
  <si>
    <t xml:space="preserve">CFO</t>
  </si>
  <si>
    <t xml:space="preserve">CPO</t>
  </si>
  <si>
    <t xml:space="preserve">CGO</t>
  </si>
  <si>
    <t xml:space="preserve">CPeO</t>
  </si>
  <si>
    <t xml:space="preserve">Culture Q8</t>
  </si>
  <si>
    <t xml:space="preserve">Capability gain (pts)</t>
  </si>
  <si>
    <t xml:space="preserve">Financing raised ($M)</t>
  </si>
  <si>
    <t xml:space="preserve">Ever insolvent</t>
  </si>
  <si>
    <t xml:space="preserve">Distressed quarters</t>
  </si>
  <si>
    <t xml:space="preserve">Q8 option</t>
  </si>
  <si>
    <t xml:space="preserve">Q5 contract</t>
  </si>
  <si>
    <t xml:space="preserve">Grid percentile (price)</t>
  </si>
  <si>
    <t xml:space="preserve">Rank: price</t>
  </si>
  <si>
    <t xml:space="preserve">Rank: terminal</t>
  </si>
  <si>
    <t xml:space="preserve">Rank: cumulative OP</t>
  </si>
  <si>
    <t xml:space="preserve">consumer-ai</t>
  </si>
  <si>
    <t xml:space="preserve">no</t>
  </si>
  <si>
    <t xml:space="preserve">scale-independently</t>
  </si>
  <si>
    <t xml:space="preserve">declined</t>
  </si>
  <si>
    <t xml:space="preserve">enterprise-ai</t>
  </si>
  <si>
    <t xml:space="preserve">continue</t>
  </si>
  <si>
    <t xml:space="preserve">accepted</t>
  </si>
  <si>
    <t xml:space="preserve">premium-human-ai</t>
  </si>
  <si>
    <t xml:space="preserve">balanced-marketplace</t>
  </si>
  <si>
    <t xml:space="preserve">university-infrastructure</t>
  </si>
  <si>
    <t xml:space="preserve">n/a (not a constant $5M-step allocation)</t>
  </si>
  <si>
    <t xml:space="preserve">Does Consumer-only outperform most alternatives? (formulas over the table above)</t>
  </si>
  <si>
    <t xml:space="preserve">Required strategies with a lower Q8 share price than Consumer-only</t>
  </si>
  <si>
    <t xml:space="preserve">… with a lower terminal score</t>
  </si>
  <si>
    <t xml:space="preserve">… with lower Q8 revenue</t>
  </si>
  <si>
    <t xml:space="preserve">… with lower cumulative operating profit</t>
  </si>
  <si>
    <t xml:space="preserve">Consumer-only price gap to the best required strategy ($)</t>
  </si>
  <si>
    <t xml:space="preserve">Spread of Q8 share price across required strategies ($)</t>
  </si>
  <si>
    <t xml:space="preserve">Out of 9 alternatives. Consumer-only beats only Enterprise-led, Enterprise-only and (on price) Cash preservation.</t>
  </si>
  <si>
    <t xml:space="preserve">2 · Quarter-by-quarter results</t>
  </si>
  <si>
    <t xml:space="preserve">Every quarter of every strategy (authored market). Matrices at the right are SUMIFS formulas over the long table.</t>
  </si>
  <si>
    <t xml:space="preserve">Q</t>
  </si>
  <si>
    <t xml:space="preserve">Revenue</t>
  </si>
  <si>
    <t xml:space="preserve">AI-native</t>
  </si>
  <si>
    <t xml:space="preserve">Operating profit</t>
  </si>
  <si>
    <t xml:space="preserve">Margin</t>
  </si>
  <si>
    <t xml:space="preserve">Strategic investment</t>
  </si>
  <si>
    <t xml:space="preserve">Event costs</t>
  </si>
  <si>
    <t xml:space="preserve">Financing</t>
  </si>
  <si>
    <t xml:space="preserve">Debt</t>
  </si>
  <si>
    <t xml:space="preserve">Share price</t>
  </si>
  <si>
    <t xml:space="preserve">Culture</t>
  </si>
  <si>
    <t xml:space="preserve">Org capacity</t>
  </si>
  <si>
    <t xml:space="preserve">Load ÷ capacity</t>
  </si>
  <si>
    <t xml:space="preserve">Solvency</t>
  </si>
  <si>
    <t xml:space="preserve">Distressed</t>
  </si>
  <si>
    <t xml:space="preserve">Revenue ($M)</t>
  </si>
  <si>
    <t xml:space="preserve">healthy</t>
  </si>
  <si>
    <t xml:space="preserve">Q1</t>
  </si>
  <si>
    <t xml:space="preserve">Q2</t>
  </si>
  <si>
    <t xml:space="preserve">Q3</t>
  </si>
  <si>
    <t xml:space="preserve">Q4</t>
  </si>
  <si>
    <t xml:space="preserve">Q5</t>
  </si>
  <si>
    <t xml:space="preserve">Q6</t>
  </si>
  <si>
    <t xml:space="preserve">Q7</t>
  </si>
  <si>
    <t xml:space="preserve">Q8</t>
  </si>
  <si>
    <t xml:space="preserve">watch</t>
  </si>
  <si>
    <t xml:space="preserve">Operating profit ($M)</t>
  </si>
  <si>
    <t xml:space="preserve">Cash ($M)</t>
  </si>
  <si>
    <t xml:space="preserve">Share price ($)</t>
  </si>
  <si>
    <t xml:space="preserve">3 · Investment and capability outcomes</t>
  </si>
  <si>
    <t xml:space="preserve">Capabilities built by Q8, the marginal return of each bucket, allocation-grid main effects and the bucket economics that drive them.</t>
  </si>
  <si>
    <t xml:space="preserve">A · Capability and organizational state at Q8 (start: Consumer 55, Enterprise 30, AI 10, Talent 55, Credential 40, Culture 72; capability ceiling 120)</t>
  </si>
  <si>
    <t xml:space="preserve">Talent</t>
  </si>
  <si>
    <t xml:space="preserve">Credential</t>
  </si>
  <si>
    <t xml:space="preserve">Capability gain</t>
  </si>
  <si>
    <t xml:space="preserve">Consumer rev Q8</t>
  </si>
  <si>
    <t xml:space="preserve">Enterprise rev Q8</t>
  </si>
  <si>
    <t xml:space="preserve">University rev Q8</t>
  </si>
  <si>
    <t xml:space="preserve">AI-native rev Q8</t>
  </si>
  <si>
    <t xml:space="preserve">Δ Consumer rev vs Q0</t>
  </si>
  <si>
    <t xml:space="preserve">Δ Enterprise rev vs Q0</t>
  </si>
  <si>
    <t xml:space="preserve">Δ University rev vs Q0</t>
  </si>
  <si>
    <t xml:space="preserve">Δ AI-native rev vs Q0</t>
  </si>
  <si>
    <t xml:space="preserve">B · Marginal return of $10M a quarter in each bucket</t>
  </si>
  <si>
    <t xml:space="preserve">Base: $3M in each bucket + $15M reserve; one bucket +$10M, reserve −$10M; Balanced Marketplace destination; contract declined; 12 quarters (Q9–Q12 extend the last authored market). Deltas vs the base run.</t>
  </si>
  <si>
    <t xml:space="preserve">Starting mix</t>
  </si>
  <si>
    <t xml:space="preserve">Bucket</t>
  </si>
  <si>
    <t xml:space="preserve">Δ Rev Q2</t>
  </si>
  <si>
    <t xml:space="preserve">Δ Rev Q4</t>
  </si>
  <si>
    <t xml:space="preserve">Δ Rev Q8</t>
  </si>
  <si>
    <t xml:space="preserve">Δ Rev Q12</t>
  </si>
  <si>
    <t xml:space="preserve">Δ Cum OP Q8</t>
  </si>
  <si>
    <t xml:space="preserve">Δ Cum OP Q12</t>
  </si>
  <si>
    <t xml:space="preserve">Δ Net cash Q8</t>
  </si>
  <si>
    <t xml:space="preserve">Δ Price Q4</t>
  </si>
  <si>
    <t xml:space="preserve">Δ Price Q8</t>
  </si>
  <si>
    <t xml:space="preserve">Δ Consumer rev Q8</t>
  </si>
  <si>
    <t xml:space="preserve">Δ Enterprise rev Q8</t>
  </si>
  <si>
    <t xml:space="preserve">Δ University rev Q8</t>
  </si>
  <si>
    <t xml:space="preserve">Δ AI-native rev Q8</t>
  </si>
  <si>
    <t xml:space="preserve">Cum OP Q8 per $80M invested</t>
  </si>
  <si>
    <t xml:space="preserve">Baseline (production)</t>
  </si>
  <si>
    <t xml:space="preserve">AI/Product</t>
  </si>
  <si>
    <t xml:space="preserve">People</t>
  </si>
  <si>
    <t xml:space="preserve">Alt A re-based (proportional)</t>
  </si>
  <si>
    <t xml:space="preserve">Alt B re-based (proportional)</t>
  </si>
  <si>
    <t xml:space="preserve">Alt A re-based (AI reward fixed)</t>
  </si>
  <si>
    <t xml:space="preserve">Alt B re-based (AI reward fixed)</t>
  </si>
  <si>
    <t xml:space="preserve">C · Allocation-grid main effects (AVERAGEIFS over the Allocation grid, best destination per allocation)</t>
  </si>
  <si>
    <t xml:space="preserve">Average Q8 outcome of all allocations that put the given amount in the bucket. Reads as: how much does a bucket help on average, whatever else is funded.</t>
  </si>
  <si>
    <t xml:space="preserve">Mean Q8 share price ($)</t>
  </si>
  <si>
    <t xml:space="preserve">$0M</t>
  </si>
  <si>
    <t xml:space="preserve">$5M</t>
  </si>
  <si>
    <t xml:space="preserve">$10M</t>
  </si>
  <si>
    <t xml:space="preserve">$15M</t>
  </si>
  <si>
    <t xml:space="preserve">$20M</t>
  </si>
  <si>
    <t xml:space="preserve">$25M</t>
  </si>
  <si>
    <t xml:space="preserve">$30M</t>
  </si>
  <si>
    <t xml:space="preserve">Reserve</t>
  </si>
  <si>
    <t xml:space="preserve">Mean terminal score</t>
  </si>
  <si>
    <t xml:space="preserve">Mean Q8 revenue ($M)</t>
  </si>
  <si>
    <t xml:space="preserve">D · Bucket economics in the frozen engine (constants from src/simulation; for reference)</t>
  </si>
  <si>
    <t xml:space="preserve">Gain at $30M (pts)</t>
  </si>
  <si>
    <t xml:space="preserve">Secondary gains at $30M</t>
  </si>
  <si>
    <t xml:space="preserve">Maturation (in-quarter / +1 / +2)</t>
  </si>
  <si>
    <t xml:space="preserve">Transformation load at $30M</t>
  </si>
  <si>
    <t xml:space="preserve">Recurring cost commitment</t>
  </si>
  <si>
    <t xml:space="preserve">Commitment duration</t>
  </si>
  <si>
    <t xml:space="preserve">Revenue channel</t>
  </si>
  <si>
    <t xml:space="preserve">—</t>
  </si>
  <si>
    <t xml:space="preserve">50% / 35% / 15%</t>
  </si>
  <si>
    <t xml:space="preserve">none</t>
  </si>
  <si>
    <t xml:space="preserve">Retention and CAC on the $140M base (70% of revenue); acquisition</t>
  </si>
  <si>
    <t xml:space="preserve">Customer Success +5</t>
  </si>
  <si>
    <t xml:space="preserve">25% / 45% / 30%</t>
  </si>
  <si>
    <t xml:space="preserve">4% of investment per quarter</t>
  </si>
  <si>
    <t xml:space="preserve">6 quarters</t>
  </si>
  <si>
    <t xml:space="preserve">Pipeline inflow and win rate → bookings (ACV ÷ 4) recognized 25/50/25% over the next three quarters</t>
  </si>
  <si>
    <t xml:space="preserve">Product Quality +2</t>
  </si>
  <si>
    <t xml:space="preserve">20% / 40% / 40%</t>
  </si>
  <si>
    <t xml:space="preserve">6% of investment per quarter</t>
  </si>
  <si>
    <t xml:space="preserve">AI adoption → new AI-native monetization every quarter ($0.08M per adoption point above 10); retention and pricing synergies</t>
  </si>
  <si>
    <t xml:space="preserve">Org capacity +12, Product Quality +4</t>
  </si>
  <si>
    <t xml:space="preserve">8 quarters</t>
  </si>
  <si>
    <t xml:space="preserve">Indirect: capacity, absorption, AI readiness support</t>
  </si>
  <si>
    <t xml:space="preserve">University/Credentials</t>
  </si>
  <si>
    <t xml:space="preserve">Trust +2.5</t>
  </si>
  <si>
    <t xml:space="preserve">University pipeline (resolution 20%) → wins recognized 10/30/30/30% from Q+2 to Q+5; credential-network spillovers</t>
  </si>
  <si>
    <t xml:space="preserve">4 · Starting revenue distribution comparison</t>
  </si>
  <si>
    <t xml:space="preserve">Experimental only — production economics unchanged. Total revenue stays $200M in every mix.</t>
  </si>
  <si>
    <t xml:space="preserve">A · The three mixes</t>
  </si>
  <si>
    <t xml:space="preserve">Mix</t>
  </si>
  <si>
    <t xml:space="preserve">Total</t>
  </si>
  <si>
    <t xml:space="preserve">Consumer share</t>
  </si>
  <si>
    <t xml:space="preserve">Alternative A</t>
  </si>
  <si>
    <t xml:space="preserve">Alternative B</t>
  </si>
  <si>
    <t xml:space="preserve">B · Does the engine support changing the starting segment revenues? — No, not by itself</t>
  </si>
  <si>
    <t xml:space="preserve">Steady-state test: no investment, neutral market, three quarters. A valid opening barely moves (baseline drifts −$0.4M). “Naive” changes only the four revenues; “re-based” also changes the constants below.</t>
  </si>
  <si>
    <t xml:space="preserve">Variant</t>
  </si>
  <si>
    <t xml:space="preserve">Segment</t>
  </si>
  <si>
    <t xml:space="preserve">Q0</t>
  </si>
  <si>
    <t xml:space="preserve">Drift</t>
  </si>
  <si>
    <t xml:space="preserve">baseline</t>
  </si>
  <si>
    <t xml:space="preserve">consumer</t>
  </si>
  <si>
    <t xml:space="preserve">enterprise</t>
  </si>
  <si>
    <t xml:space="preserve">university</t>
  </si>
  <si>
    <t xml:space="preserve">aiNative</t>
  </si>
  <si>
    <t xml:space="preserve">operating profit</t>
  </si>
  <si>
    <t xml:space="preserve">altA:naive</t>
  </si>
  <si>
    <t xml:space="preserve">altA:rebased</t>
  </si>
  <si>
    <t xml:space="preserve">altA:rebased-aifixed</t>
  </si>
  <si>
    <t xml:space="preserve">altB:naive</t>
  </si>
  <si>
    <t xml:space="preserve">altB:rebased</t>
  </si>
  <si>
    <t xml:space="preserve">altB:rebased-aifixed</t>
  </si>
  <si>
    <t xml:space="preserve">C · Initial conditions that must change with the mix (proportional re-base)</t>
  </si>
  <si>
    <t xml:space="preserve">Each flow is calibrated so the starting company is a fixed point. Re-basing scales each segment’s flows by (new revenue ÷ baseline revenue).</t>
  </si>
  <si>
    <t xml:space="preserve">Constant (source)</t>
  </si>
  <si>
    <t xml:space="preserve">Baseline</t>
  </si>
  <si>
    <t xml:space="preserve">Alt A</t>
  </si>
  <si>
    <t xml:space="preserve">Alt B</t>
  </si>
  <si>
    <t xml:space="preserve">Why it must change</t>
  </si>
  <si>
    <t xml:space="preserve">Headroom anchor = starting segment revenue (revenue.start)</t>
  </si>
  <si>
    <t xml:space="preserve">140 / 40 / 16 / 4</t>
  </si>
  <si>
    <t xml:space="preserve">100 / 60 / 25 / 15</t>
  </si>
  <si>
    <t xml:space="preserve">80 / 70 / 30 / 20</t>
  </si>
  <si>
    <t xml:space="preserve">Headroom multiplier is 1 only at the anchor; otherwise growth is distorted from Q1</t>
  </si>
  <si>
    <t xml:space="preserve">Consumer base acquisition $M/q (revenue.consumer.baseAcquisition)</t>
  </si>
  <si>
    <t xml:space="preserve">Must equal baseline churn (base × 30% × 15%)</t>
  </si>
  <si>
    <t xml:space="preserve">Consumer acquisition spend $M/q (costs.variable)</t>
  </si>
  <si>
    <t xml:space="preserve">Marketing spend scales with the consumer base</t>
  </si>
  <si>
    <t xml:space="preserve">AI-native monetization to baseline $M/pt (revenue.aiNative)</t>
  </si>
  <si>
    <t xml:space="preserve">Must replace AI-native churn at starting adoption</t>
  </si>
  <si>
    <t xml:space="preserve">AI-native monetization above baseline $M/pt (revenue.aiNative)</t>
  </si>
  <si>
    <t xml:space="preserve">0.30 (proportional) or 0.08 (AI reward fixed)</t>
  </si>
  <si>
    <t xml:space="preserve">0.40 (proportional) or 0.08 (AI reward fixed)</t>
  </si>
  <si>
    <t xml:space="preserve">A choice, not a requirement: whether the AI growth reward scales with the AI base. Both variants are reported.</t>
  </si>
  <si>
    <t xml:space="preserve">Enterprise pipeline base inflow $M/q (commercial.enterprise.baseInflow)</t>
  </si>
  <si>
    <t xml:space="preserve">Bookings must replace enterprise churn</t>
  </si>
  <si>
    <t xml:space="preserve">Enterprise starting pipeline $M (commercial start)</t>
  </si>
  <si>
    <t xml:space="preserve">Pipeline stock at steady state</t>
  </si>
  <si>
    <t xml:space="preserve">University pipeline base inflow $M/q (commercial.university.baseInflow)</t>
  </si>
  <si>
    <t xml:space="preserve">Wins must replace university churn</t>
  </si>
  <si>
    <t xml:space="preserve">University starting pipeline $M (commercial start; also the adoption anchor)</t>
  </si>
  <si>
    <t xml:space="preserve">Pipeline stock; credential-network anchor</t>
  </si>
  <si>
    <t xml:space="preserve">Enterprise and University backlogs (state)</t>
  </si>
  <si>
    <t xml:space="preserve">steady state</t>
  </si>
  <si>
    <t xml:space="preserve">recomputed</t>
  </si>
  <si>
    <t xml:space="preserve">Contracted-not-live revenue consistent with the new churn</t>
  </si>
  <si>
    <t xml:space="preserve">Fixed/semi-fixed cost pool $M/q (state.costs)</t>
  </si>
  <si>
    <t xml:space="preserve">Keeps Q0 operating cost at $170M (profit $30M). Consumer carries the highest servicing rate (25.5%), so a naive mix raises Q0 profit by $2–4M.</t>
  </si>
  <si>
    <t xml:space="preserve">Segment capacity (market)</t>
  </si>
  <si>
    <t xml:space="preserve">300 / 120→135 / 40 / 80→150</t>
  </si>
  <si>
    <t xml:space="preserve">× 0.71 / × 1.5 / × 1.56 / × 3.75</t>
  </si>
  <si>
    <t xml:space="preserve">× 0.57 / × 1.75 / × 1.88 / × 5</t>
  </si>
  <si>
    <t xml:space="preserve">Keeps the starting market-fill ratio; University capacity 40 would otherwise bind at $30M</t>
  </si>
  <si>
    <t xml:space="preserve">Capabilities, culture, trust, cash and competitor benchmarks are held at production values to isolate the revenue-mix effect.</t>
  </si>
  <si>
    <t xml:space="preserve">D · Results by mix</t>
  </si>
  <si>
    <t xml:space="preserve">Share price from the experiment’s own starting point (=100 × P8 ÷ P0). Ranks are formulas within each variant.</t>
  </si>
  <si>
    <t xml:space="preserve">Q8 share price (from own start, $)</t>
  </si>
  <si>
    <t xml:space="preserve">A naive</t>
  </si>
  <si>
    <t xml:space="preserve">A re-based</t>
  </si>
  <si>
    <t xml:space="preserve">A re-based, AI fixed</t>
  </si>
  <si>
    <t xml:space="preserve">B naive</t>
  </si>
  <si>
    <t xml:space="preserve">B re-based</t>
  </si>
  <si>
    <t xml:space="preserve">B re-based, AI fixed</t>
  </si>
  <si>
    <t xml:space="preserve">Rank of Consumer-only</t>
  </si>
  <si>
    <t xml:space="preserve">Rank of Enterprise-only</t>
  </si>
  <si>
    <t xml:space="preserve">Best − worst</t>
  </si>
  <si>
    <t xml:space="preserve">Cumulative operating profit ($M)</t>
  </si>
  <si>
    <t xml:space="preserve">E · What the mix experiment shows</t>
  </si>
  <si>
    <t xml:space="preserve">• Changing only the four starting revenues is not valid: within three quarters with no investment, Consumer drifts +$9M (A) and +$14M (B) and AI-native −$3M to −$5M, because every flow is calibrated to the baseline mix. A proportional re-base (section C) makes both alternatives steady states (drift within the baseline’s −$0.4M).</t>
  </si>
  <si>
    <t xml:space="preserve">• With the AI growth reward held fixed, AI/Product is still the highest-return bucket in every mix (+$27–28M Q8 revenue for $10M a quarter; see Investment &amp; capability, B). AI dominance therefore comes from the investment-return formulas, not the mix.</t>
  </si>
  <si>
    <t xml:space="preserve">• Consumer’s return shrinks with its base (cumulative OP +$20M → +$13M → +$10M), and Enterprise-only rises from $75 to $96 (A) and $112 (B), mainly because less revenue is exposed to the consumer-side AI disruption. The Consumer-versus-Enterprise gap is partly a mix effect.</t>
  </si>
  <si>
    <t xml:space="preserve">• If the AI growth reward scales with the AI base (proportional variant), AI-led strategies reach $171–$182 and the imbalance becomes extreme. Any future mix change should keep the AI reward absolute.</t>
  </si>
  <si>
    <t xml:space="preserve">5 · Sensitivity analysis — ten market scenarios × ten strategies</t>
  </si>
  <si>
    <t xml:space="preserve">The engine market path is deterministic; scenarios are explicit variations through the supported market-override hook (definitions on the About sheet). Player briefings stay as authored.</t>
  </si>
  <si>
    <t xml:space="preserve">Mean</t>
  </si>
  <si>
    <t xml:space="preserve">Min</t>
  </si>
  <si>
    <t xml:space="preserve">Max</t>
  </si>
  <si>
    <t xml:space="preserve">Leader</t>
  </si>
  <si>
    <t xml:space="preserve">Best rank</t>
  </si>
  <si>
    <t xml:space="preserve">Worst rank</t>
  </si>
  <si>
    <t xml:space="preserve">Reading</t>
  </si>
  <si>
    <t xml:space="preserve">• Rankings are stable across all ten scenarios. Enterprise-only is last in every one and Enterprise-led 9th in every one. Consumer-only ranks 6th–7th everywhere: it is never dominant.</t>
  </si>
  <si>
    <t xml:space="preserve">• Even favourable conditions do not rescue the weak families. An Enterprise boom (demand ×1.2) adds only $3 to Enterprise-only, and a University boom adds $4 to University-led: their conversion formulas, not demand, limit them.</t>
  </si>
  <si>
    <t xml:space="preserve">• Consumer-led and Consumer-only do best without the AI disruption ($132 and $126, 4th and 6th). Adaptive or AI-led wins every scenario.</t>
  </si>
  <si>
    <t xml:space="preserve">6 · Contract, financing and recession audit</t>
  </si>
  <si>
    <t xml:space="preserve">Forced accept/decline of the Q5 contract and forced recession responses, everything else identical. Deltas are formulas.</t>
  </si>
  <si>
    <t xml:space="preserve">A · Does the strategic envelope cap investment regardless of cash? (direct engine validation)</t>
  </si>
  <si>
    <t xml:space="preserve">Check</t>
  </si>
  <si>
    <t xml:space="preserve">Result</t>
  </si>
  <si>
    <t xml:space="preserve">$30M invested within the $30M envelope</t>
  </si>
  <si>
    <t xml:space="preserve">$40M invested within the $30M envelope (e.g. after borrowing $20M)</t>
  </si>
  <si>
    <t xml:space="preserve">rejected: V2 allocation must total the strategic envelope 30, got 40</t>
  </si>
  <si>
    <t xml:space="preserve">$20M invested + $10M reserve within $30M</t>
  </si>
  <si>
    <t xml:space="preserve">$45M invested within the Q8 scale-independently envelope ($45M)</t>
  </si>
  <si>
    <t xml:space="preserve">B · Q5 global enterprise contract: accept vs decline</t>
  </si>
  <si>
    <t xml:space="preserve">Contract costs are event costs (cash) and a recurring delivery-team commitment; the Q5 investment and envelope are identical either way.</t>
  </si>
  <si>
    <t xml:space="preserve">Choice</t>
  </si>
  <si>
    <t xml:space="preserve">Q5 investment</t>
  </si>
  <si>
    <t xml:space="preserve">Q5 envelope</t>
  </si>
  <si>
    <t xml:space="preserve">Q5 contract cash cost</t>
  </si>
  <si>
    <t xml:space="preserve">Q5 closing cash</t>
  </si>
  <si>
    <t xml:space="preserve">Delivery team $M/q</t>
  </si>
  <si>
    <t xml:space="preserve">Load ÷ capacity Q5</t>
  </si>
  <si>
    <t xml:space="preserve">Q8 revenue</t>
  </si>
  <si>
    <t xml:space="preserve">Q8 Enterprise rev</t>
  </si>
  <si>
    <t xml:space="preserve">Cum OP</t>
  </si>
  <si>
    <t xml:space="preserve">Net cash Q8</t>
  </si>
  <si>
    <t xml:space="preserve">Price Q8</t>
  </si>
  <si>
    <t xml:space="preserve">Terminal</t>
  </si>
  <si>
    <t xml:space="preserve">Financing raised</t>
  </si>
  <si>
    <t xml:space="preserve">Insolvent</t>
  </si>
  <si>
    <t xml:space="preserve">accept</t>
  </si>
  <si>
    <t xml:space="preserve">decline</t>
  </si>
  <si>
    <t xml:space="preserve">Effect of accepting (accept − decline)</t>
  </si>
  <si>
    <t xml:space="preserve">Δ Q5 investment</t>
  </si>
  <si>
    <t xml:space="preserve">Contract cash</t>
  </si>
  <si>
    <t xml:space="preserve">Δ Q5 cash</t>
  </si>
  <si>
    <t xml:space="preserve">Delivery $M/q</t>
  </si>
  <si>
    <t xml:space="preserve">Δ Load</t>
  </si>
  <si>
    <t xml:space="preserve">Δ Q8 revenue</t>
  </si>
  <si>
    <t xml:space="preserve">Δ Q8 Enterprise</t>
  </si>
  <si>
    <t xml:space="preserve">Δ Cum OP</t>
  </si>
  <si>
    <t xml:space="preserve">Δ Net cash</t>
  </si>
  <si>
    <t xml:space="preserve">Δ Price</t>
  </si>
  <si>
    <t xml:space="preserve">Δ Terminal</t>
  </si>
  <si>
    <t xml:space="preserve">C · Financing: default debt-first policy vs refusing all financing</t>
  </si>
  <si>
    <t xml:space="preserve">Policy</t>
  </si>
  <si>
    <t xml:space="preserve">Q8 cash</t>
  </si>
  <si>
    <t xml:space="preserve">Minimum cash</t>
  </si>
  <si>
    <t xml:space="preserve">Q8 debt</t>
  </si>
  <si>
    <t xml:space="preserve">Equity raised</t>
  </si>
  <si>
    <t xml:space="preserve">Ownership</t>
  </si>
  <si>
    <t xml:space="preserve">Insolvent quarters</t>
  </si>
  <si>
    <t xml:space="preserve">debt-first (default)</t>
  </si>
  <si>
    <t xml:space="preserve">refuse all financing</t>
  </si>
  <si>
    <t xml:space="preserve">All-in + contract</t>
  </si>
  <si>
    <t xml:space="preserve">D · Q6 recession responses (forced)</t>
  </si>
  <si>
    <t xml:space="preserve">Hiring freeze is rejected by the engine whenever the quarter includes People investment. Deep reductions raise the share price for most strategies while lowering the terminal score.</t>
  </si>
  <si>
    <t xml:space="preserve">Response</t>
  </si>
  <si>
    <t xml:space="preserve">Feasible</t>
  </si>
  <si>
    <t xml:space="preserve">Q6 operating profit</t>
  </si>
  <si>
    <t xml:space="preserve">Talent Q8</t>
  </si>
  <si>
    <t xml:space="preserve">Δ Price vs no action</t>
  </si>
  <si>
    <t xml:space="preserve">Δ Terminal vs no action</t>
  </si>
  <si>
    <t xml:space="preserve">no action</t>
  </si>
  <si>
    <t xml:space="preserve">yes</t>
  </si>
  <si>
    <t xml:space="preserve">hiring freeze</t>
  </si>
  <si>
    <t xml:space="preserve">A hiring freeze cannot be combined with People investment in the same quarter</t>
  </si>
  <si>
    <t xml:space="preserve">targeted reduction (protect R&amp;D)</t>
  </si>
  <si>
    <t xml:space="preserve">deep reduction</t>
  </si>
  <si>
    <t xml:space="preserve">marketing 0.7 + freeze</t>
  </si>
  <si>
    <t xml:space="preserve">slow investment by $10M</t>
  </si>
  <si>
    <t xml:space="preserve">raise-growth-capital</t>
  </si>
  <si>
    <t xml:space="preserve">E · Answers</t>
  </si>
  <si>
    <t xml:space="preserve">• Contracts reduce cash, not investment capacity. Accepting costs $6.6–10.4M of Q5 cash, plus a $1.5M-a-quarter delivery team for six quarters and +0.07–0.25 on the load ratio. The Q5 investment and envelope are identical whether the contract is accepted or declined, for all ten strategies.</t>
  </si>
  <si>
    <t xml:space="preserve">• Teams can spend the full $30M and accept the contract in the same quarter. They can also borrow to cover the cash. Financing adds cash but never investment capacity: $40M within a $30M envelope is rejected. Only the Q8 options raise the envelope ($45M or $60M).</t>
  </si>
  <si>
    <t xml:space="preserve">• Most strategies never need financing. Only the Enterprise strategies drew on it ($27M debt for Enterprise-only). Refusing financing leaves them distressed for 1–2 quarters, with cash falling to $6M.</t>
  </si>
  <si>
    <t xml:space="preserve">• Recession responses are optional today. A hiring freeze is infeasible for 5 of the 10 strategies because they invest in People. A deep reduction raises the share price for 8 of 10 strategies (up to +$16) while cutting culture by about 20 points and the terminal score by 2–12: the share price rewards cuts the board report penalizes.</t>
  </si>
  <si>
    <t xml:space="preserve">7 · Findings and recommendations</t>
  </si>
  <si>
    <t xml:space="preserve">Answers draw on sheets 1–6. Package metrics are formulas over the Proposal tests appendix; grid metrics are recorded engine results.</t>
  </si>
  <si>
    <t xml:space="preserve">A · Answers</t>
  </si>
  <si>
    <t xml:space="preserve">Is Consumer investment disproportionately rewarded?</t>
  </si>
  <si>
    <t xml:space="preserve">Against Enterprise and University, yes; against AI/Product, no. $10M a quarter adds, by Q8: Consumer +$8.3M revenue, +$20M cumulative OP and +$10.9 a share; Enterprise +$2.0M, −$7.4M and +$3.1; University +$3.6M, +$6.7M and +$11.5 (price via strategic readiness, with almost no revenue); AI/Product +$25.0M, +$44.9M and +$30.3. Consumer’s advantage over Enterprise comes from defending the 70% Consumer base, which the AI disruption erodes by $11–19M by Q8 when neither Consumer nor People is funded (Enterprise-only −$19M, AI-only −$13M, Cash preservation −$11M), with no recurring cost commitment and fast maturation.</t>
  </si>
  <si>
    <t xml:space="preserve">Does a Consumer-only strategy outperform most alternatives?</t>
  </si>
  <si>
    <t xml:space="preserve">No. It ranks 7th of 10 on Q8 share price ($109.9) and 8th on the terminal score (61.8), and sits at the 27th percentile of 462 allocations on price (13th on score). It ranks 6th–7th in all ten market scenarios; it is 2nd–3rd in Q1–Q2, within $1 of the leader, and falls back from Q3. Consumer is valuable as a complement: Consumer + AI ($15M each) is the single best constant strategy ($164.5, 99th percentile).</t>
  </si>
  <si>
    <t xml:space="preserve">Are Enterprise, University and AI commercially viable strategic choices?</t>
  </si>
  <si>
    <t xml:space="preserve">AI: yes; it is the dominant and effectively mandatory investment. Every destination’s best allocation includes $10M AI, and the best allocation without AI is $116–133 against $156–166 with it. Enterprise: not as a lead investment. Enterprise capability reaches the 120 ceiling, yet win rate moves only 25% → 29% and Enterprise revenue only $40M → $46M (or $52M with the contract). Enterprise-only is last in every scenario, and each $5M of Enterprise lowers the average outcome. It works only paired with AI ($148). University: viable for share price ($111) and score but not commercially. University revenue stays at about $16M through Q8 even with Credential at 120, because wins are recognized from Q+2 to Q+5 and the $40M University market is small. Every destination is reachable at a similar best ($156–166), but only with AI.</t>
  </si>
  <si>
    <t xml:space="preserve">Does the starting revenue mix create the imbalance, or do the investment-return formulas?</t>
  </si>
  <si>
    <t xml:space="preserve">Mostly the formulas, with the mix amplifying Consumer over Enterprise. Under valid re-based mixes (AI reward held fixed), AI/Product remains the top-return bucket in every mix, and Enterprise’s return stays weak (cumulative OP still negative at Q8): formula effects. Consumer’s return falls as its base shrinks (+$20M → +$13M → +$10M cumulative OP), and Enterprise-only rises from $75 to $96–112 as less revenue is exposed to the consumer disruption: a mix effect. The engine does not support changing the mix on its own; the nine constants and the cost pool on the Starting revenue distribution sheet must change with it.</t>
  </si>
  <si>
    <t xml:space="preserve">What is the smallest set of economic changes needed for credible strategic trade-offs?</t>
  </si>
  <si>
    <t xml:space="preserve">Five calibration changes, all of which preserve the starting company exactly (package PR, below): (1) AI adoption reward above baseline $0.08M → $0.05M per point; (2) Enterprise conversion: win rate per point of relative capability 0.08 → 0.30 and pipeline inflow amplitude 1.2 → 3.0; (3) Enterprise bookings go live 50/50% over two quarters instead of 25/50/25% over three; (4) Enterprise delivery commitment 4% → 2%; (5) University pipeline: inflow amplitude 0.8 → 4.0 and resolution 0.2 → 0.4. Effects in the authored market: the lead-family price range narrows from $82–149 to $114–135. Enterprise-led moves from 9th to 5th, and AI-only falls from the 49th to the 17th percentile. Enterprise’s share of the top-5% allocations rises from $1.0M to $4.6M. Two issues remain: AI is still part of every winning allocation (a design choice, given the AI-disruption theme), and University revenue still does not grow within eight quarters, which needs a structural change (a larger University market or Credential in the win rate), not calibration.</t>
  </si>
  <si>
    <t xml:space="preserve">How should contract costs, recession actions and financing interact with the investment budget?</t>
  </si>
  <si>
    <t xml:space="preserve">Make each one a claim on the same capital decision, as set out in section C. The contract’s upfront cost should come out of that quarter’s strategic envelope. The recession response should be an explicit, always-feasible choice. Financing raised in a quarter should be able to expand that quarter’s envelope within debt, dilution, cash-floor and absorption limits, so long-payback strategies (Enterprise, University) have a funding path that costs something.</t>
  </si>
  <si>
    <t xml:space="preserve">B · Candidate calibration changes (tested in memory; not implemented)</t>
  </si>
  <si>
    <t xml:space="preserve">Change</t>
  </si>
  <si>
    <t xml:space="preserve">Constant</t>
  </si>
  <si>
    <t xml:space="preserve">Current</t>
  </si>
  <si>
    <t xml:space="preserve">Tested</t>
  </si>
  <si>
    <t xml:space="preserve">Rationale</t>
  </si>
  <si>
    <t xml:space="preserve">Moderate the AI adoption reward</t>
  </si>
  <si>
    <t xml:space="preserve">revenue.aiNative.monetizationPerPointAbove</t>
  </si>
  <si>
    <t xml:space="preserve">AI-native new monetization above the starting adoption level: $0.08M → $0.05M per adoption point per quarter. AI-native revenue currently compounds by $6–8M a quarter once adoption passes ~70, the largest growth flow in the model.</t>
  </si>
  <si>
    <t xml:space="preserve">Enterprise capability converts to bookings</t>
  </si>
  <si>
    <t xml:space="preserve">commercial.enterprise.winPerRelCapability</t>
  </si>
  <si>
    <t xml:space="preserve">Enterprise win rate per point of relative capability 0.08 → 0.30 and pipeline inflow amplitude 1.2 → 3.0. Enterprise capability 30 → 120 currently lifts the win rate ~4 points and Enterprise revenue only $40M → $46M by Q8.</t>
  </si>
  <si>
    <t xml:space="preserve">commercial.enterprise.inflowCapabilityAmplitude</t>
  </si>
  <si>
    <t xml:space="preserve">Enterprise bookings go live faster</t>
  </si>
  <si>
    <t xml:space="preserve">revenue.enterprise.recognition</t>
  </si>
  <si>
    <t xml:space="preserve">[[1, 0.25], [2, 0.5], [3, 0.25]]</t>
  </si>
  <si>
    <t xml:space="preserve">[[1, 0.5], [2, 0.5]]</t>
  </si>
  <si>
    <t xml:space="preserve">Recognition 25/50/25% over Q+1..Q+3 → 50/50% over Q+1..Q+2.</t>
  </si>
  <si>
    <t xml:space="preserve">Lower Enterprise run-cost commitment</t>
  </si>
  <si>
    <t xml:space="preserve">costs.commitments.enterprise.perDollar</t>
  </si>
  <si>
    <t xml:space="preserve">Delivery/CS commitment 4% → 2% of investment per quarter for 6 quarters.</t>
  </si>
  <si>
    <t xml:space="preserve">University pipeline responds to Credential</t>
  </si>
  <si>
    <t xml:space="preserve">commercial.university.inflowCapabilityAmplitude</t>
  </si>
  <si>
    <t xml:space="preserve">University pipeline inflow amplitude 0.8 → 4.0 and resolution 0.2 → 0.4. Credential 40 → 120 currently grows the pipeline 24 → 42 and University revenue not at all within eight quarters.</t>
  </si>
  <si>
    <t xml:space="preserve">commercial.university.resolutionRate</t>
  </si>
  <si>
    <t xml:space="preserve">University wins go live sooner</t>
  </si>
  <si>
    <t xml:space="preserve">revenue.university.recognition</t>
  </si>
  <si>
    <t xml:space="preserve">[[2, 0.1], [3, 0.3], [4, 0.3], [5, 0.3]]</t>
  </si>
  <si>
    <t xml:space="preserve">[[1, 0.3], [2, 0.4], [3, 0.3]]</t>
  </si>
  <si>
    <t xml:space="preserve">Recognition 10/30/30/30% over Q+2..Q+5 → 30/40/30% over Q+1..Q+3.</t>
  </si>
  <si>
    <t xml:space="preserve">C · Packages compared (formulas over the Proposal tests appendix)</t>
  </si>
  <si>
    <t xml:space="preserve">Lead family = Consumer-led, Enterprise-led, AI-led, University-led ($20M lead + $10M People).</t>
  </si>
  <si>
    <t xml:space="preserve">Package</t>
  </si>
  <si>
    <t xml:space="preserve">Contents</t>
  </si>
  <si>
    <t xml:space="preserve">Scenario</t>
  </si>
  <si>
    <t xml:space="preserve">Lead-family min price</t>
  </si>
  <si>
    <t xml:space="preserve">Lead-family max price</t>
  </si>
  <si>
    <t xml:space="preserve">Lead-family spread</t>
  </si>
  <si>
    <t xml:space="preserve">Enterprise-led price</t>
  </si>
  <si>
    <t xml:space="preserve">University-led price</t>
  </si>
  <si>
    <t xml:space="preserve">Consumer-only price</t>
  </si>
  <si>
    <t xml:space="preserve">AI-only price</t>
  </si>
  <si>
    <t xml:space="preserve">Best price (any)</t>
  </si>
  <si>
    <t xml:space="preserve">Lowest price (any)</t>
  </si>
  <si>
    <t xml:space="preserve">P0</t>
  </si>
  <si>
    <t xml:space="preserve">Current calibration</t>
  </si>
  <si>
    <t xml:space="preserve">P1</t>
  </si>
  <si>
    <t xml:space="preserve">AI moderation only</t>
  </si>
  <si>
    <t xml:space="preserve">P2</t>
  </si>
  <si>
    <t xml:space="preserve">Enterprise conversion only</t>
  </si>
  <si>
    <t xml:space="preserve">P3</t>
  </si>
  <si>
    <t xml:space="preserve">AI moderation + Enterprise conversion</t>
  </si>
  <si>
    <t xml:space="preserve">P4</t>
  </si>
  <si>
    <t xml:space="preserve">P3 + University conversion</t>
  </si>
  <si>
    <t xml:space="preserve">P5</t>
  </si>
  <si>
    <t xml:space="preserve">P4 + lower Enterprise commitment</t>
  </si>
  <si>
    <t xml:space="preserve">PR</t>
  </si>
  <si>
    <t xml:space="preserve">Recommended minimal set (P5 without University go-live, which adds nothing)</t>
  </si>
  <si>
    <t xml:space="preserve">D · Package effects on the full allocation grid (462 allocations × 5 destinations each; recorded results)</t>
  </si>
  <si>
    <t xml:space="preserve">Top-5% avg Consumer $M</t>
  </si>
  <si>
    <t xml:space="preserve">Top-5% avg Enterprise $M</t>
  </si>
  <si>
    <t xml:space="preserve">Top-5% avg AI $M</t>
  </si>
  <si>
    <t xml:space="preserve">Top-5% avg People $M</t>
  </si>
  <si>
    <t xml:space="preserve">Top-5% avg University $M</t>
  </si>
  <si>
    <t xml:space="preserve">Consumer-only pct</t>
  </si>
  <si>
    <t xml:space="preserve">Enterprise-only pct</t>
  </si>
  <si>
    <t xml:space="preserve">AI-only pct</t>
  </si>
  <si>
    <t xml:space="preserve">University-only pct</t>
  </si>
  <si>
    <t xml:space="preserve">Best price overall</t>
  </si>
  <si>
    <t xml:space="preserve">Spread of destination bests</t>
  </si>
  <si>
    <t xml:space="preserve">Best Enterprise AI</t>
  </si>
  <si>
    <t xml:space="preserve">E · Proposed rules for contracts, recession and financing (documented only — not implemented)</t>
  </si>
  <si>
    <t xml:space="preserve">Contract claims capital</t>
  </si>
  <si>
    <t xml:space="preserve">When the Q5 contract is accepted, its upfront cost (implementation + customization, $6.6–10.4M today) is deducted from that quarter’s strategic envelope, so the team chooses between the contract and part of its investment. The delivery team stays a recurring operating commitment and is shown in the next quarters’ plan as committed spend. Accepting with no room in the envelope requires financing (rule 3).</t>
  </si>
  <si>
    <t xml:space="preserve">Recession response: required and always feasible</t>
  </si>
  <si>
    <t xml:space="preserve">In Q6 the team must choose one stance: Protect (keep investing; the CFO forecast shows the cash consequence), Slow (move at least $5M of investment to reserve), or Cut (hiring freeze, targeted or deep reduction, marketing cut). When People investment is planned, a hiring freeze is offered as “freeze and move People investment to reserve” rather than rejected. Pair it with a valuation change (NXLN-VAL-1.1): an organizational-health term (culture and talent below their starting levels) in the retention-and-trust factor, so deep cuts are no longer a free share-price gain (today up to +$16 a share while culture falls about 20 points).</t>
  </si>
  <si>
    <t xml:space="preserve">Financing can expand investment, with limits</t>
  </si>
  <si>
    <t xml:space="preserve">Envelope(t) = $30M + min($15M, new capital raised in quarter t), in Q2–Q7. New capital = debt drawn + equity issued that quarter, and every dollar above $30M must be funded by it. Limits: debt within the existing debt capacity and covenants (interest is an operating cost; leverage lowers the financial-health factor); equity within the existing maximum share of pre-money, with dilution through ownership^0.6 in the price; the CFO forecast must show closing cash ≥ $25M after the expanded plan, or the expansion is refused; the extra spend adds transformation load, so the absorption curve penalizes over-expansion. Q8 options keep their $45M and $60M envelopes. This gives long-payback strategies a funding path with a visible cost.</t>
  </si>
  <si>
    <t xml:space="preserve">Secondary observations</t>
  </si>
  <si>
    <t xml:space="preserve">(a) A single bucket funded at $30M a quarter hits the 120 capability ceiling by Q6–Q7, and later spend is wasted; the decision screen could flag “near ceiling”. (b) Cash preservation builds $187M of cash but the price ignores cash above $40M by design, so hoarding is correctly unrewarded. (c) University-led’s $111 price comes from strategic readiness, not revenue; the report should say so.</t>
  </si>
  <si>
    <t xml:space="preserve">Appendix · Allocation grid — 462 allocations × 5 destinations</t>
  </si>
  <si>
    <t xml:space="preserve">Each row is one complete eight-quarter run. “Best dest.” = 1 for the destination with the highest Q8 price for that allocation.</t>
  </si>
  <si>
    <t xml:space="preserve">Rev Q2</t>
  </si>
  <si>
    <t xml:space="preserve">Rev Q4</t>
  </si>
  <si>
    <t xml:space="preserve">Rev Q8</t>
  </si>
  <si>
    <t xml:space="preserve">Price Q4</t>
  </si>
  <si>
    <t xml:space="preserve">Best dest.</t>
  </si>
  <si>
    <t xml:space="preserve">Appendix · Destination sweep — each strategy under each of the five Q4 destinations</t>
  </si>
  <si>
    <t xml:space="preserve">Exec team avg</t>
  </si>
  <si>
    <t xml:space="preserve">Contract</t>
  </si>
  <si>
    <t xml:space="preserve">Best for strategy (price)</t>
  </si>
  <si>
    <t xml:space="preserve">Appendix · Candidate calibration changes — tested in memory, not implemented</t>
  </si>
  <si>
    <t xml:space="preserve">Every row is a complete eight-quarter run with the package’s constants overridden for that run only.</t>
  </si>
  <si>
    <t xml:space="preserve">Q8 University rev</t>
  </si>
  <si>
    <t xml:space="preserve">Q8 AI-native rev</t>
  </si>
  <si>
    <t xml:space="preserve">ai-reward</t>
  </si>
  <si>
    <t xml:space="preserve">ent-convert</t>
  </si>
  <si>
    <t xml:space="preserve">ent-golive</t>
  </si>
  <si>
    <t xml:space="preserve">ent-commit</t>
  </si>
  <si>
    <t xml:space="preserve">uni-convert</t>
  </si>
  <si>
    <t xml:space="preserve">uni-golive</t>
  </si>
</sst>
</file>

<file path=xl/styles.xml><?xml version="1.0" encoding="utf-8"?>
<styleSheet xmlns="http://schemas.openxmlformats.org/spreadsheetml/2006/main">
  <numFmts count="9">
    <numFmt numFmtId="164" formatCode="General"/>
    <numFmt numFmtId="165" formatCode="#,##0.0;\(#,##0.0\);\-"/>
    <numFmt numFmtId="166" formatCode="\$#,##0.00"/>
    <numFmt numFmtId="167" formatCode="0.0%;\(0.0%\);\-"/>
    <numFmt numFmtId="168" formatCode="0.0"/>
    <numFmt numFmtId="169" formatCode="0"/>
    <numFmt numFmtId="170" formatCode="0%"/>
    <numFmt numFmtId="171" formatCode="0.00"/>
    <numFmt numFmtId="172" formatCode="#,##0;\(#,##0\);\-"/>
  </numFmts>
  <fonts count="19">
    <font>
      <sz val="11"/>
      <color theme="1"/>
      <name val="Calibri"/>
      <family val="2"/>
      <charset val="1"/>
    </font>
    <font>
      <sz val="10"/>
      <name val="Arial"/>
      <family val="0"/>
    </font>
    <font>
      <sz val="10"/>
      <name val="Arial"/>
      <family val="0"/>
    </font>
    <font>
      <sz val="10"/>
      <name val="Arial"/>
      <family val="0"/>
    </font>
    <font>
      <b val="true"/>
      <sz val="14"/>
      <color rgb="FF17232D"/>
      <name val="Arial"/>
      <family val="0"/>
      <charset val="1"/>
    </font>
    <font>
      <i val="true"/>
      <sz val="9"/>
      <color rgb="FF5B666D"/>
      <name val="Arial"/>
      <family val="0"/>
      <charset val="1"/>
    </font>
    <font>
      <b val="true"/>
      <sz val="11"/>
      <color rgb="FF193F3B"/>
      <name val="Arial"/>
      <family val="0"/>
      <charset val="1"/>
    </font>
    <font>
      <b val="true"/>
      <sz val="10"/>
      <color rgb="FF000000"/>
      <name val="Arial"/>
      <family val="0"/>
      <charset val="1"/>
    </font>
    <font>
      <sz val="10"/>
      <color rgb="FF000000"/>
      <name val="Arial"/>
      <family val="0"/>
      <charset val="1"/>
    </font>
    <font>
      <sz val="10"/>
      <name val="Arial"/>
      <family val="0"/>
      <charset val="1"/>
    </font>
    <font>
      <b val="true"/>
      <sz val="9"/>
      <color rgb="FFFFFFFF"/>
      <name val="Arial"/>
      <family val="0"/>
      <charset val="1"/>
    </font>
    <font>
      <sz val="10"/>
      <color rgb="FF5B666D"/>
      <name val="Arial"/>
      <family val="0"/>
      <charset val="1"/>
    </font>
    <font>
      <sz val="10"/>
      <name val="Arial"/>
      <family val="2"/>
    </font>
    <font>
      <b val="true"/>
      <sz val="10"/>
      <color rgb="FF193F3B"/>
      <name val="Arial"/>
      <family val="0"/>
      <charset val="1"/>
    </font>
    <font>
      <b val="true"/>
      <sz val="10"/>
      <name val="Arial"/>
      <family val="0"/>
      <charset val="1"/>
    </font>
    <font>
      <sz val="10"/>
      <color rgb="FF0000FF"/>
      <name val="Arial"/>
      <family val="0"/>
      <charset val="1"/>
    </font>
    <font>
      <i val="true"/>
      <sz val="10"/>
      <name val="Arial"/>
      <family val="0"/>
      <charset val="1"/>
    </font>
    <font>
      <sz val="10"/>
      <color rgb="FF8F3434"/>
      <name val="Arial"/>
      <family val="0"/>
      <charset val="1"/>
    </font>
    <font>
      <sz val="9"/>
      <name val="Arial"/>
      <family val="0"/>
      <charset val="1"/>
    </font>
  </fonts>
  <fills count="4">
    <fill>
      <patternFill patternType="none"/>
    </fill>
    <fill>
      <patternFill patternType="gray125"/>
    </fill>
    <fill>
      <patternFill patternType="solid">
        <fgColor rgb="FF193F3B"/>
        <bgColor rgb="FF003366"/>
      </patternFill>
    </fill>
    <fill>
      <patternFill patternType="solid">
        <fgColor rgb="FFFFF2CC"/>
        <bgColor rgb="FFFFFFFF"/>
      </patternFill>
    </fill>
  </fills>
  <borders count="2">
    <border diagonalUp="false" diagonalDown="false">
      <left/>
      <right/>
      <top/>
      <bottom/>
      <diagonal/>
    </border>
    <border diagonalUp="false" diagonalDown="false">
      <left/>
      <right/>
      <top/>
      <bottom style="thin">
        <color rgb="FFDDD8C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2" borderId="0" xfId="0" applyFont="true" applyBorder="fals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72" fontId="15" fillId="0" borderId="1" xfId="0" applyFont="true" applyBorder="tru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70"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8" fontId="1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A77A24"/>
      <rgbColor rgb="FF800080"/>
      <rgbColor rgb="FF008080"/>
      <rgbColor rgb="FFC0C0C0"/>
      <rgbColor rgb="FF808080"/>
      <rgbColor rgb="FF9999FF"/>
      <rgbColor rgb="FF8F3434"/>
      <rgbColor rgb="FFFFF2CC"/>
      <rgbColor rgb="FFCCFFFF"/>
      <rgbColor rgb="FF660066"/>
      <rgbColor rgb="FFFF8080"/>
      <rgbColor rgb="FF0066CC"/>
      <rgbColor rgb="FFDDD8C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66D"/>
      <rgbColor rgb="FF969696"/>
      <rgbColor rgb="FF003366"/>
      <rgbColor rgb="FF339966"/>
      <rgbColor rgb="FF17232D"/>
      <rgbColor rgb="FF333300"/>
      <rgbColor rgb="FF993300"/>
      <rgbColor rgb="FF993366"/>
      <rgbColor rgb="FF333399"/>
      <rgbColor rgb="FF193F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77A24"/>
    <pageSetUpPr fitToPage="true"/>
  </sheetPr>
  <dimension ref="A1:J6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22"/>
    <col collapsed="false" customWidth="true" hidden="false" outlineLevel="0" max="4" min="4" style="0" width="40"/>
    <col collapsed="false" customWidth="true" hidden="false" outlineLevel="0" max="10" min="5" style="0" width="2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true" outlineLevel="0" collapsed="false">
      <c r="A5" s="4" t="s">
        <v>3</v>
      </c>
      <c r="B5" s="5" t="s">
        <v>4</v>
      </c>
      <c r="C5" s="5"/>
      <c r="D5" s="5"/>
      <c r="E5" s="5"/>
      <c r="F5" s="5"/>
      <c r="G5" s="5"/>
      <c r="H5" s="5"/>
      <c r="I5" s="5"/>
      <c r="J5" s="5"/>
    </row>
    <row r="6" customFormat="false" ht="15" hidden="false" customHeight="true" outlineLevel="0" collapsed="false">
      <c r="A6" s="4" t="s">
        <v>5</v>
      </c>
      <c r="B6" s="5" t="s">
        <v>6</v>
      </c>
      <c r="C6" s="5"/>
      <c r="D6" s="5"/>
      <c r="E6" s="5"/>
      <c r="F6" s="5"/>
      <c r="G6" s="5"/>
      <c r="H6" s="5"/>
      <c r="I6" s="5"/>
      <c r="J6" s="5"/>
    </row>
    <row r="7" customFormat="false" ht="15" hidden="false" customHeight="true" outlineLevel="0" collapsed="false">
      <c r="A7" s="4" t="s">
        <v>7</v>
      </c>
      <c r="B7" s="5" t="s">
        <v>8</v>
      </c>
      <c r="C7" s="5"/>
      <c r="D7" s="5"/>
      <c r="E7" s="5"/>
      <c r="F7" s="5"/>
      <c r="G7" s="5"/>
      <c r="H7" s="5"/>
      <c r="I7" s="5"/>
      <c r="J7" s="5"/>
    </row>
    <row r="8" customFormat="false" ht="15" hidden="false" customHeight="true" outlineLevel="0" collapsed="false">
      <c r="A8" s="4" t="s">
        <v>9</v>
      </c>
      <c r="B8" s="5" t="s">
        <v>10</v>
      </c>
      <c r="C8" s="5"/>
      <c r="D8" s="5"/>
      <c r="E8" s="5"/>
      <c r="F8" s="5"/>
      <c r="G8" s="5"/>
      <c r="H8" s="5"/>
      <c r="I8" s="5"/>
      <c r="J8" s="5"/>
    </row>
    <row r="9" customFormat="false" ht="27.75" hidden="false" customHeight="true" outlineLevel="0" collapsed="false">
      <c r="A9" s="4" t="s">
        <v>11</v>
      </c>
      <c r="B9" s="5" t="s">
        <v>12</v>
      </c>
      <c r="C9" s="5"/>
      <c r="D9" s="5"/>
      <c r="E9" s="5"/>
      <c r="F9" s="5"/>
      <c r="G9" s="5"/>
      <c r="H9" s="5"/>
      <c r="I9" s="5"/>
      <c r="J9" s="5"/>
    </row>
    <row r="10" customFormat="false" ht="15" hidden="false" customHeight="true" outlineLevel="0" collapsed="false">
      <c r="A10" s="4" t="s">
        <v>13</v>
      </c>
      <c r="B10" s="5" t="s">
        <v>14</v>
      </c>
      <c r="C10" s="5"/>
      <c r="D10" s="5"/>
      <c r="E10" s="5"/>
      <c r="F10" s="5"/>
      <c r="G10" s="5"/>
      <c r="H10" s="5"/>
      <c r="I10" s="5"/>
      <c r="J10" s="5"/>
    </row>
    <row r="11" customFormat="false" ht="15" hidden="false" customHeight="true" outlineLevel="0" collapsed="false">
      <c r="A11" s="4" t="s">
        <v>15</v>
      </c>
      <c r="B11" s="5" t="s">
        <v>16</v>
      </c>
      <c r="C11" s="5"/>
      <c r="D11" s="5"/>
      <c r="E11" s="5"/>
      <c r="F11" s="5"/>
      <c r="G11" s="5"/>
      <c r="H11" s="5"/>
      <c r="I11" s="5"/>
      <c r="J11" s="5"/>
    </row>
    <row r="12" customFormat="false" ht="27.75" hidden="false" customHeight="true" outlineLevel="0" collapsed="false">
      <c r="A12" s="4" t="s">
        <v>17</v>
      </c>
      <c r="B12" s="5" t="s">
        <v>18</v>
      </c>
      <c r="C12" s="5"/>
      <c r="D12" s="5"/>
      <c r="E12" s="5"/>
      <c r="F12" s="5"/>
      <c r="G12" s="5"/>
      <c r="H12" s="5"/>
      <c r="I12" s="5"/>
      <c r="J12" s="5"/>
    </row>
    <row r="13" customFormat="false" ht="27.75" hidden="false" customHeight="true" outlineLevel="0" collapsed="false">
      <c r="A13" s="4" t="s">
        <v>19</v>
      </c>
      <c r="B13" s="5" t="s">
        <v>20</v>
      </c>
      <c r="C13" s="5"/>
      <c r="D13" s="5"/>
      <c r="E13" s="5"/>
      <c r="F13" s="5"/>
      <c r="G13" s="5"/>
      <c r="H13" s="5"/>
      <c r="I13" s="5"/>
      <c r="J13" s="5"/>
    </row>
    <row r="15" customFormat="false" ht="15" hidden="false" customHeight="false" outlineLevel="0" collapsed="false">
      <c r="A15" s="3" t="s">
        <v>21</v>
      </c>
    </row>
    <row r="16" customFormat="false" ht="30" hidden="false" customHeight="true" outlineLevel="0" collapsed="false">
      <c r="A16" s="6" t="s">
        <v>22</v>
      </c>
      <c r="B16" s="6"/>
      <c r="C16" s="6"/>
      <c r="D16" s="6"/>
      <c r="E16" s="6"/>
      <c r="F16" s="6"/>
      <c r="G16" s="6"/>
      <c r="H16" s="6"/>
      <c r="I16" s="6"/>
      <c r="J16" s="6"/>
    </row>
    <row r="17" customFormat="false" ht="30" hidden="false" customHeight="true" outlineLevel="0" collapsed="false">
      <c r="A17" s="6" t="s">
        <v>23</v>
      </c>
      <c r="B17" s="6"/>
      <c r="C17" s="6"/>
      <c r="D17" s="6"/>
      <c r="E17" s="6"/>
      <c r="F17" s="6"/>
      <c r="G17" s="6"/>
      <c r="H17" s="6"/>
      <c r="I17" s="6"/>
      <c r="J17" s="6"/>
    </row>
    <row r="18" customFormat="false" ht="30" hidden="false" customHeight="true" outlineLevel="0" collapsed="false">
      <c r="A18" s="6" t="s">
        <v>24</v>
      </c>
      <c r="B18" s="6"/>
      <c r="C18" s="6"/>
      <c r="D18" s="6"/>
      <c r="E18" s="6"/>
      <c r="F18" s="6"/>
      <c r="G18" s="6"/>
      <c r="H18" s="6"/>
      <c r="I18" s="6"/>
      <c r="J18" s="6"/>
    </row>
    <row r="19" customFormat="false" ht="30" hidden="false" customHeight="true" outlineLevel="0" collapsed="false">
      <c r="A19" s="6" t="s">
        <v>25</v>
      </c>
      <c r="B19" s="6"/>
      <c r="C19" s="6"/>
      <c r="D19" s="6"/>
      <c r="E19" s="6"/>
      <c r="F19" s="6"/>
      <c r="G19" s="6"/>
      <c r="H19" s="6"/>
      <c r="I19" s="6"/>
      <c r="J19" s="6"/>
    </row>
    <row r="20" customFormat="false" ht="30" hidden="false" customHeight="true" outlineLevel="0" collapsed="false">
      <c r="A20" s="6" t="s">
        <v>26</v>
      </c>
      <c r="B20" s="6"/>
      <c r="C20" s="6"/>
      <c r="D20" s="6"/>
      <c r="E20" s="6"/>
      <c r="F20" s="6"/>
      <c r="G20" s="6"/>
      <c r="H20" s="6"/>
      <c r="I20" s="6"/>
      <c r="J20" s="6"/>
    </row>
    <row r="21" customFormat="false" ht="30" hidden="false" customHeight="true" outlineLevel="0" collapsed="false">
      <c r="A21" s="6" t="s">
        <v>27</v>
      </c>
      <c r="B21" s="6"/>
      <c r="C21" s="6"/>
      <c r="D21" s="6"/>
      <c r="E21" s="6"/>
      <c r="F21" s="6"/>
      <c r="G21" s="6"/>
      <c r="H21" s="6"/>
      <c r="I21" s="6"/>
      <c r="J21" s="6"/>
    </row>
    <row r="22" customFormat="false" ht="30" hidden="false" customHeight="true" outlineLevel="0" collapsed="false">
      <c r="A22" s="6" t="s">
        <v>28</v>
      </c>
      <c r="B22" s="6"/>
      <c r="C22" s="6"/>
      <c r="D22" s="6"/>
      <c r="E22" s="6"/>
      <c r="F22" s="6"/>
      <c r="G22" s="6"/>
      <c r="H22" s="6"/>
      <c r="I22" s="6"/>
      <c r="J22" s="6"/>
    </row>
    <row r="24" customFormat="false" ht="15" hidden="false" customHeight="false" outlineLevel="0" collapsed="false">
      <c r="A24" s="3" t="s">
        <v>29</v>
      </c>
    </row>
    <row r="25" customFormat="false" ht="30" hidden="false" customHeight="true" outlineLevel="0" collapsed="false">
      <c r="A25" s="7" t="s">
        <v>30</v>
      </c>
      <c r="B25" s="7" t="s">
        <v>31</v>
      </c>
      <c r="C25" s="7" t="s">
        <v>32</v>
      </c>
      <c r="D25" s="7" t="s">
        <v>33</v>
      </c>
      <c r="E25" s="7" t="s">
        <v>34</v>
      </c>
    </row>
    <row r="26" customFormat="false" ht="27.75" hidden="false" customHeight="true" outlineLevel="0" collapsed="false">
      <c r="A26" s="8" t="s">
        <v>35</v>
      </c>
      <c r="B26" s="8" t="s">
        <v>36</v>
      </c>
      <c r="C26" s="8" t="s">
        <v>37</v>
      </c>
      <c r="D26" s="5" t="s">
        <v>38</v>
      </c>
      <c r="E26" s="5" t="s">
        <v>39</v>
      </c>
      <c r="F26" s="5"/>
      <c r="G26" s="5"/>
      <c r="H26" s="5"/>
      <c r="I26" s="5"/>
      <c r="J26" s="5"/>
    </row>
    <row r="27" customFormat="false" ht="27.75" hidden="false" customHeight="true" outlineLevel="0" collapsed="false">
      <c r="A27" s="8" t="s">
        <v>40</v>
      </c>
      <c r="B27" s="8" t="s">
        <v>41</v>
      </c>
      <c r="C27" s="8" t="s">
        <v>42</v>
      </c>
      <c r="D27" s="5" t="s">
        <v>43</v>
      </c>
      <c r="E27" s="5" t="s">
        <v>44</v>
      </c>
      <c r="F27" s="5"/>
      <c r="G27" s="5"/>
      <c r="H27" s="5"/>
      <c r="I27" s="5"/>
      <c r="J27" s="5"/>
    </row>
    <row r="28" customFormat="false" ht="27.75" hidden="false" customHeight="true" outlineLevel="0" collapsed="false">
      <c r="A28" s="8" t="s">
        <v>45</v>
      </c>
      <c r="B28" s="8" t="s">
        <v>46</v>
      </c>
      <c r="C28" s="8" t="s">
        <v>47</v>
      </c>
      <c r="D28" s="5" t="s">
        <v>48</v>
      </c>
      <c r="E28" s="5" t="s">
        <v>49</v>
      </c>
      <c r="F28" s="5"/>
      <c r="G28" s="5"/>
      <c r="H28" s="5"/>
      <c r="I28" s="5"/>
      <c r="J28" s="5"/>
    </row>
    <row r="29" customFormat="false" ht="27.75" hidden="false" customHeight="true" outlineLevel="0" collapsed="false">
      <c r="A29" s="8" t="s">
        <v>50</v>
      </c>
      <c r="B29" s="8" t="s">
        <v>51</v>
      </c>
      <c r="C29" s="8" t="s">
        <v>51</v>
      </c>
      <c r="D29" s="5" t="s">
        <v>52</v>
      </c>
      <c r="E29" s="5" t="s">
        <v>53</v>
      </c>
      <c r="F29" s="5"/>
      <c r="G29" s="5"/>
      <c r="H29" s="5"/>
      <c r="I29" s="5"/>
      <c r="J29" s="5"/>
    </row>
    <row r="30" customFormat="false" ht="27.75" hidden="false" customHeight="true" outlineLevel="0" collapsed="false">
      <c r="A30" s="8" t="s">
        <v>54</v>
      </c>
      <c r="B30" s="8" t="s">
        <v>55</v>
      </c>
      <c r="C30" s="8" t="s">
        <v>37</v>
      </c>
      <c r="D30" s="5" t="s">
        <v>56</v>
      </c>
      <c r="E30" s="5" t="s">
        <v>57</v>
      </c>
      <c r="F30" s="5"/>
      <c r="G30" s="5"/>
      <c r="H30" s="5"/>
      <c r="I30" s="5"/>
      <c r="J30" s="5"/>
    </row>
    <row r="31" customFormat="false" ht="27.75" hidden="false" customHeight="true" outlineLevel="0" collapsed="false">
      <c r="A31" s="8" t="s">
        <v>58</v>
      </c>
      <c r="B31" s="8" t="s">
        <v>59</v>
      </c>
      <c r="C31" s="8" t="s">
        <v>42</v>
      </c>
      <c r="D31" s="5" t="s">
        <v>60</v>
      </c>
      <c r="E31" s="5" t="s">
        <v>61</v>
      </c>
      <c r="F31" s="5"/>
      <c r="G31" s="5"/>
      <c r="H31" s="5"/>
      <c r="I31" s="5"/>
      <c r="J31" s="5"/>
    </row>
    <row r="32" customFormat="false" ht="27.75" hidden="false" customHeight="true" outlineLevel="0" collapsed="false">
      <c r="A32" s="8" t="s">
        <v>62</v>
      </c>
      <c r="B32" s="8" t="s">
        <v>63</v>
      </c>
      <c r="C32" s="8" t="s">
        <v>47</v>
      </c>
      <c r="D32" s="5" t="s">
        <v>64</v>
      </c>
      <c r="E32" s="5" t="s">
        <v>65</v>
      </c>
      <c r="F32" s="5"/>
      <c r="G32" s="5"/>
      <c r="H32" s="5"/>
      <c r="I32" s="5"/>
      <c r="J32" s="5"/>
    </row>
    <row r="33" customFormat="false" ht="27.75" hidden="false" customHeight="true" outlineLevel="0" collapsed="false">
      <c r="A33" s="8" t="s">
        <v>66</v>
      </c>
      <c r="B33" s="8" t="s">
        <v>67</v>
      </c>
      <c r="C33" s="8" t="s">
        <v>68</v>
      </c>
      <c r="D33" s="5" t="s">
        <v>69</v>
      </c>
      <c r="E33" s="5" t="s">
        <v>70</v>
      </c>
      <c r="F33" s="5"/>
      <c r="G33" s="5"/>
      <c r="H33" s="5"/>
      <c r="I33" s="5"/>
      <c r="J33" s="5"/>
    </row>
    <row r="34" customFormat="false" ht="27.75" hidden="false" customHeight="true" outlineLevel="0" collapsed="false">
      <c r="A34" s="8" t="s">
        <v>71</v>
      </c>
      <c r="B34" s="8" t="s">
        <v>72</v>
      </c>
      <c r="C34" s="8" t="s">
        <v>73</v>
      </c>
      <c r="D34" s="5" t="s">
        <v>74</v>
      </c>
      <c r="E34" s="5" t="s">
        <v>75</v>
      </c>
      <c r="F34" s="5"/>
      <c r="G34" s="5"/>
      <c r="H34" s="5"/>
      <c r="I34" s="5"/>
      <c r="J34" s="5"/>
    </row>
    <row r="35" customFormat="false" ht="27.75" hidden="false" customHeight="true" outlineLevel="0" collapsed="false">
      <c r="A35" s="8" t="s">
        <v>76</v>
      </c>
      <c r="B35" s="8" t="s">
        <v>77</v>
      </c>
      <c r="C35" s="8" t="s">
        <v>78</v>
      </c>
      <c r="D35" s="5" t="s">
        <v>79</v>
      </c>
      <c r="E35" s="5" t="s">
        <v>80</v>
      </c>
      <c r="F35" s="5"/>
      <c r="G35" s="5"/>
      <c r="H35" s="5"/>
      <c r="I35" s="5"/>
      <c r="J35" s="5"/>
    </row>
    <row r="36" customFormat="false" ht="27.75" hidden="false" customHeight="true" outlineLevel="0" collapsed="false">
      <c r="A36" s="8" t="s">
        <v>81</v>
      </c>
      <c r="B36" s="8" t="s">
        <v>82</v>
      </c>
      <c r="C36" s="8" t="s">
        <v>68</v>
      </c>
      <c r="D36" s="5" t="s">
        <v>83</v>
      </c>
      <c r="E36" s="5" t="s">
        <v>84</v>
      </c>
      <c r="F36" s="5"/>
      <c r="G36" s="5"/>
      <c r="H36" s="5"/>
      <c r="I36" s="5"/>
      <c r="J36" s="5"/>
    </row>
    <row r="37" customFormat="false" ht="27.75" hidden="false" customHeight="true" outlineLevel="0" collapsed="false">
      <c r="A37" s="8" t="s">
        <v>85</v>
      </c>
      <c r="B37" s="8" t="s">
        <v>86</v>
      </c>
      <c r="C37" s="8" t="s">
        <v>37</v>
      </c>
      <c r="D37" s="5" t="s">
        <v>87</v>
      </c>
      <c r="E37" s="5" t="s">
        <v>87</v>
      </c>
      <c r="F37" s="5"/>
      <c r="G37" s="5"/>
      <c r="H37" s="5"/>
      <c r="I37" s="5"/>
      <c r="J37" s="5"/>
    </row>
    <row r="38" customFormat="false" ht="27.75" hidden="false" customHeight="true" outlineLevel="0" collapsed="false">
      <c r="A38" s="8" t="s">
        <v>88</v>
      </c>
      <c r="B38" s="8" t="s">
        <v>89</v>
      </c>
      <c r="C38" s="8" t="s">
        <v>42</v>
      </c>
      <c r="D38" s="5" t="s">
        <v>90</v>
      </c>
      <c r="E38" s="5" t="s">
        <v>90</v>
      </c>
      <c r="F38" s="5"/>
      <c r="G38" s="5"/>
      <c r="H38" s="5"/>
      <c r="I38" s="5"/>
      <c r="J38" s="5"/>
    </row>
    <row r="39" customFormat="false" ht="27.75" hidden="false" customHeight="true" outlineLevel="0" collapsed="false">
      <c r="A39" s="8" t="s">
        <v>91</v>
      </c>
      <c r="B39" s="8" t="s">
        <v>92</v>
      </c>
      <c r="C39" s="8" t="s">
        <v>42</v>
      </c>
      <c r="D39" s="5" t="s">
        <v>93</v>
      </c>
      <c r="E39" s="5" t="s">
        <v>93</v>
      </c>
      <c r="F39" s="5"/>
      <c r="G39" s="5"/>
      <c r="H39" s="5"/>
      <c r="I39" s="5"/>
      <c r="J39" s="5"/>
    </row>
    <row r="41" customFormat="false" ht="15" hidden="false" customHeight="false" outlineLevel="0" collapsed="false">
      <c r="A41" s="3" t="s">
        <v>94</v>
      </c>
    </row>
    <row r="42" customFormat="false" ht="30" hidden="false" customHeight="true" outlineLevel="0" collapsed="false">
      <c r="A42" s="7" t="s">
        <v>30</v>
      </c>
      <c r="B42" s="7" t="s">
        <v>95</v>
      </c>
      <c r="C42" s="7" t="s">
        <v>96</v>
      </c>
    </row>
    <row r="43" customFormat="false" ht="15" hidden="false" customHeight="true" outlineLevel="0" collapsed="false">
      <c r="A43" s="8" t="s">
        <v>97</v>
      </c>
      <c r="B43" s="8" t="s">
        <v>98</v>
      </c>
      <c r="C43" s="5" t="s">
        <v>99</v>
      </c>
      <c r="D43" s="5"/>
      <c r="E43" s="5"/>
      <c r="F43" s="5"/>
      <c r="G43" s="5"/>
      <c r="H43" s="5"/>
      <c r="I43" s="5"/>
      <c r="J43" s="5"/>
    </row>
    <row r="44" customFormat="false" ht="15" hidden="false" customHeight="true" outlineLevel="0" collapsed="false">
      <c r="A44" s="8" t="s">
        <v>100</v>
      </c>
      <c r="B44" s="8" t="s">
        <v>101</v>
      </c>
      <c r="C44" s="5" t="s">
        <v>102</v>
      </c>
      <c r="D44" s="5"/>
      <c r="E44" s="5"/>
      <c r="F44" s="5"/>
      <c r="G44" s="5"/>
      <c r="H44" s="5"/>
      <c r="I44" s="5"/>
      <c r="J44" s="5"/>
    </row>
    <row r="45" customFormat="false" ht="15" hidden="false" customHeight="true" outlineLevel="0" collapsed="false">
      <c r="A45" s="8" t="s">
        <v>103</v>
      </c>
      <c r="B45" s="8" t="s">
        <v>104</v>
      </c>
      <c r="C45" s="5" t="s">
        <v>105</v>
      </c>
      <c r="D45" s="5"/>
      <c r="E45" s="5"/>
      <c r="F45" s="5"/>
      <c r="G45" s="5"/>
      <c r="H45" s="5"/>
      <c r="I45" s="5"/>
      <c r="J45" s="5"/>
    </row>
    <row r="46" customFormat="false" ht="15" hidden="false" customHeight="true" outlineLevel="0" collapsed="false">
      <c r="A46" s="8" t="s">
        <v>106</v>
      </c>
      <c r="B46" s="8" t="s">
        <v>107</v>
      </c>
      <c r="C46" s="5" t="s">
        <v>108</v>
      </c>
      <c r="D46" s="5"/>
      <c r="E46" s="5"/>
      <c r="F46" s="5"/>
      <c r="G46" s="5"/>
      <c r="H46" s="5"/>
      <c r="I46" s="5"/>
      <c r="J46" s="5"/>
    </row>
    <row r="47" customFormat="false" ht="15" hidden="false" customHeight="true" outlineLevel="0" collapsed="false">
      <c r="A47" s="8" t="s">
        <v>109</v>
      </c>
      <c r="B47" s="8" t="s">
        <v>110</v>
      </c>
      <c r="C47" s="5" t="s">
        <v>111</v>
      </c>
      <c r="D47" s="5"/>
      <c r="E47" s="5"/>
      <c r="F47" s="5"/>
      <c r="G47" s="5"/>
      <c r="H47" s="5"/>
      <c r="I47" s="5"/>
      <c r="J47" s="5"/>
    </row>
    <row r="48" customFormat="false" ht="15" hidden="false" customHeight="true" outlineLevel="0" collapsed="false">
      <c r="A48" s="8" t="s">
        <v>112</v>
      </c>
      <c r="B48" s="8" t="s">
        <v>113</v>
      </c>
      <c r="C48" s="5" t="s">
        <v>114</v>
      </c>
      <c r="D48" s="5"/>
      <c r="E48" s="5"/>
      <c r="F48" s="5"/>
      <c r="G48" s="5"/>
      <c r="H48" s="5"/>
      <c r="I48" s="5"/>
      <c r="J48" s="5"/>
    </row>
    <row r="49" customFormat="false" ht="15" hidden="false" customHeight="true" outlineLevel="0" collapsed="false">
      <c r="A49" s="8" t="s">
        <v>115</v>
      </c>
      <c r="B49" s="8" t="s">
        <v>116</v>
      </c>
      <c r="C49" s="5" t="s">
        <v>117</v>
      </c>
      <c r="D49" s="5"/>
      <c r="E49" s="5"/>
      <c r="F49" s="5"/>
      <c r="G49" s="5"/>
      <c r="H49" s="5"/>
      <c r="I49" s="5"/>
      <c r="J49" s="5"/>
    </row>
    <row r="50" customFormat="false" ht="15" hidden="false" customHeight="true" outlineLevel="0" collapsed="false">
      <c r="A50" s="8" t="s">
        <v>118</v>
      </c>
      <c r="B50" s="8" t="s">
        <v>119</v>
      </c>
      <c r="C50" s="5" t="s">
        <v>120</v>
      </c>
      <c r="D50" s="5"/>
      <c r="E50" s="5"/>
      <c r="F50" s="5"/>
      <c r="G50" s="5"/>
      <c r="H50" s="5"/>
      <c r="I50" s="5"/>
      <c r="J50" s="5"/>
    </row>
    <row r="51" customFormat="false" ht="15" hidden="false" customHeight="true" outlineLevel="0" collapsed="false">
      <c r="A51" s="8" t="s">
        <v>121</v>
      </c>
      <c r="B51" s="8" t="s">
        <v>122</v>
      </c>
      <c r="C51" s="5" t="s">
        <v>123</v>
      </c>
      <c r="D51" s="5"/>
      <c r="E51" s="5"/>
      <c r="F51" s="5"/>
      <c r="G51" s="5"/>
      <c r="H51" s="5"/>
      <c r="I51" s="5"/>
      <c r="J51" s="5"/>
    </row>
    <row r="52" customFormat="false" ht="15" hidden="false" customHeight="true" outlineLevel="0" collapsed="false">
      <c r="A52" s="8" t="s">
        <v>124</v>
      </c>
      <c r="B52" s="8" t="s">
        <v>125</v>
      </c>
      <c r="C52" s="5" t="s">
        <v>126</v>
      </c>
      <c r="D52" s="5"/>
      <c r="E52" s="5"/>
      <c r="F52" s="5"/>
      <c r="G52" s="5"/>
      <c r="H52" s="5"/>
      <c r="I52" s="5"/>
      <c r="J52" s="5"/>
    </row>
    <row r="54" customFormat="false" ht="15" hidden="false" customHeight="false" outlineLevel="0" collapsed="false">
      <c r="A54" s="3" t="s">
        <v>127</v>
      </c>
    </row>
    <row r="55" customFormat="false" ht="15" hidden="false" customHeight="false" outlineLevel="0" collapsed="false">
      <c r="A55" s="4" t="s">
        <v>128</v>
      </c>
      <c r="B55" s="8" t="s">
        <v>129</v>
      </c>
      <c r="C55" s="8"/>
      <c r="D55" s="8"/>
      <c r="E55" s="8"/>
      <c r="F55" s="8"/>
      <c r="G55" s="8"/>
      <c r="H55" s="8"/>
      <c r="I55" s="8"/>
      <c r="J55" s="8"/>
    </row>
    <row r="56" customFormat="false" ht="15" hidden="false" customHeight="false" outlineLevel="0" collapsed="false">
      <c r="A56" s="4" t="s">
        <v>130</v>
      </c>
      <c r="B56" s="8" t="s">
        <v>131</v>
      </c>
      <c r="C56" s="8"/>
      <c r="D56" s="8"/>
      <c r="E56" s="8"/>
      <c r="F56" s="8"/>
      <c r="G56" s="8"/>
      <c r="H56" s="8"/>
      <c r="I56" s="8"/>
      <c r="J56" s="8"/>
    </row>
    <row r="57" customFormat="false" ht="15" hidden="false" customHeight="false" outlineLevel="0" collapsed="false">
      <c r="A57" s="4" t="s">
        <v>132</v>
      </c>
      <c r="B57" s="8" t="s">
        <v>133</v>
      </c>
      <c r="C57" s="8"/>
      <c r="D57" s="8"/>
      <c r="E57" s="8"/>
      <c r="F57" s="8"/>
      <c r="G57" s="8"/>
      <c r="H57" s="8"/>
      <c r="I57" s="8"/>
      <c r="J57" s="8"/>
    </row>
    <row r="58" customFormat="false" ht="15" hidden="false" customHeight="false" outlineLevel="0" collapsed="false">
      <c r="A58" s="4" t="s">
        <v>134</v>
      </c>
      <c r="B58" s="8" t="s">
        <v>135</v>
      </c>
      <c r="C58" s="8"/>
      <c r="D58" s="8"/>
      <c r="E58" s="8"/>
      <c r="F58" s="8"/>
      <c r="G58" s="8"/>
      <c r="H58" s="8"/>
      <c r="I58" s="8"/>
      <c r="J58" s="8"/>
    </row>
    <row r="59" customFormat="false" ht="15" hidden="false" customHeight="false" outlineLevel="0" collapsed="false">
      <c r="A59" s="4" t="s">
        <v>136</v>
      </c>
      <c r="B59" s="8" t="s">
        <v>137</v>
      </c>
      <c r="C59" s="8"/>
      <c r="D59" s="8"/>
      <c r="E59" s="8"/>
      <c r="F59" s="8"/>
      <c r="G59" s="8"/>
      <c r="H59" s="8"/>
      <c r="I59" s="8"/>
      <c r="J59" s="8"/>
    </row>
    <row r="60" customFormat="false" ht="15" hidden="false" customHeight="false" outlineLevel="0" collapsed="false">
      <c r="A60" s="4" t="s">
        <v>138</v>
      </c>
      <c r="B60" s="8" t="s">
        <v>139</v>
      </c>
      <c r="C60" s="8"/>
      <c r="D60" s="8"/>
      <c r="E60" s="8"/>
      <c r="F60" s="8"/>
      <c r="G60" s="8"/>
      <c r="H60" s="8"/>
      <c r="I60" s="8"/>
      <c r="J60" s="8"/>
    </row>
    <row r="61" customFormat="false" ht="15" hidden="false" customHeight="false" outlineLevel="0" collapsed="false">
      <c r="A61" s="4" t="s">
        <v>140</v>
      </c>
      <c r="B61" s="8" t="s">
        <v>141</v>
      </c>
      <c r="C61" s="8"/>
      <c r="D61" s="8"/>
      <c r="E61" s="8"/>
      <c r="F61" s="8"/>
      <c r="G61" s="8"/>
      <c r="H61" s="8"/>
      <c r="I61" s="8"/>
      <c r="J61" s="8"/>
    </row>
    <row r="62" customFormat="false" ht="15" hidden="false" customHeight="false" outlineLevel="0" collapsed="false">
      <c r="A62" s="4" t="s">
        <v>142</v>
      </c>
      <c r="B62" s="8" t="s">
        <v>143</v>
      </c>
      <c r="C62" s="8"/>
      <c r="D62" s="8"/>
      <c r="E62" s="8"/>
      <c r="F62" s="8"/>
      <c r="G62" s="8"/>
      <c r="H62" s="8"/>
      <c r="I62" s="8"/>
      <c r="J62" s="8"/>
    </row>
    <row r="63" customFormat="false" ht="15" hidden="false" customHeight="false" outlineLevel="0" collapsed="false">
      <c r="A63" s="4" t="s">
        <v>144</v>
      </c>
      <c r="B63" s="8" t="s">
        <v>145</v>
      </c>
      <c r="C63" s="8"/>
      <c r="D63" s="8"/>
      <c r="E63" s="8"/>
      <c r="F63" s="8"/>
      <c r="G63" s="8"/>
      <c r="H63" s="8"/>
      <c r="I63" s="8"/>
      <c r="J63" s="8"/>
    </row>
    <row r="64" customFormat="false" ht="15" hidden="false" customHeight="false" outlineLevel="0" collapsed="false">
      <c r="A64" s="4" t="s">
        <v>146</v>
      </c>
      <c r="B64" s="8" t="s">
        <v>147</v>
      </c>
      <c r="C64" s="8"/>
      <c r="D64" s="8"/>
      <c r="E64" s="8"/>
      <c r="F64" s="8"/>
      <c r="G64" s="8"/>
      <c r="H64" s="8"/>
      <c r="I64" s="8"/>
      <c r="J64" s="8"/>
    </row>
  </sheetData>
  <mergeCells count="50">
    <mergeCell ref="B5:J5"/>
    <mergeCell ref="B6:J6"/>
    <mergeCell ref="B7:J7"/>
    <mergeCell ref="B8:J8"/>
    <mergeCell ref="B9:J9"/>
    <mergeCell ref="B10:J10"/>
    <mergeCell ref="B11:J11"/>
    <mergeCell ref="B12:J12"/>
    <mergeCell ref="B13:J13"/>
    <mergeCell ref="A16:J16"/>
    <mergeCell ref="A17:J17"/>
    <mergeCell ref="A18:J18"/>
    <mergeCell ref="A19:J19"/>
    <mergeCell ref="A20:J20"/>
    <mergeCell ref="A21:J21"/>
    <mergeCell ref="A22:J22"/>
    <mergeCell ref="E26:J26"/>
    <mergeCell ref="E27:J27"/>
    <mergeCell ref="E28:J28"/>
    <mergeCell ref="E29:J29"/>
    <mergeCell ref="E30:J30"/>
    <mergeCell ref="E31:J31"/>
    <mergeCell ref="E32:J32"/>
    <mergeCell ref="E33:J33"/>
    <mergeCell ref="E34:J34"/>
    <mergeCell ref="E35:J35"/>
    <mergeCell ref="E36:J36"/>
    <mergeCell ref="E37:J37"/>
    <mergeCell ref="E38:J38"/>
    <mergeCell ref="E39:J39"/>
    <mergeCell ref="C43:J43"/>
    <mergeCell ref="C44:J44"/>
    <mergeCell ref="C45:J45"/>
    <mergeCell ref="C46:J46"/>
    <mergeCell ref="C47:J47"/>
    <mergeCell ref="C48:J48"/>
    <mergeCell ref="C49:J49"/>
    <mergeCell ref="C50:J50"/>
    <mergeCell ref="C51:J51"/>
    <mergeCell ref="C52:J52"/>
    <mergeCell ref="B55:J55"/>
    <mergeCell ref="B56:J56"/>
    <mergeCell ref="B57:J57"/>
    <mergeCell ref="B58:J58"/>
    <mergeCell ref="B59:J59"/>
    <mergeCell ref="B60:J60"/>
    <mergeCell ref="B61:J61"/>
    <mergeCell ref="B62:J62"/>
    <mergeCell ref="B63:J63"/>
    <mergeCell ref="B64:J6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93F3B"/>
    <pageSetUpPr fitToPage="true"/>
  </sheetPr>
  <dimension ref="A1:AG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
    <col collapsed="false" customWidth="true" hidden="false" outlineLevel="0" max="3" min="3" style="0" width="40"/>
    <col collapsed="false" customWidth="true" hidden="false" outlineLevel="0" max="4" min="4" style="0" width="24"/>
    <col collapsed="false" customWidth="true" hidden="false" outlineLevel="0" max="34" min="5" style="0" width="11"/>
  </cols>
  <sheetData>
    <row r="1" customFormat="false" ht="17.35" hidden="false" customHeight="false" outlineLevel="0" collapsed="false">
      <c r="A1" s="1" t="s">
        <v>148</v>
      </c>
    </row>
    <row r="2" customFormat="false" ht="15" hidden="false" customHeight="false" outlineLevel="0" collapsed="false">
      <c r="A2" s="2" t="s">
        <v>149</v>
      </c>
    </row>
    <row r="4" customFormat="false" ht="15" hidden="false" customHeight="false" outlineLevel="0" collapsed="false">
      <c r="A4" s="3" t="s">
        <v>150</v>
      </c>
    </row>
    <row r="5" customFormat="false" ht="27.75" hidden="false" customHeight="true" outlineLevel="0" collapsed="false">
      <c r="A5" s="6" t="s">
        <v>151</v>
      </c>
      <c r="B5" s="6"/>
      <c r="C5" s="6"/>
      <c r="D5" s="6"/>
      <c r="E5" s="6"/>
      <c r="F5" s="6"/>
      <c r="G5" s="6"/>
      <c r="H5" s="6"/>
      <c r="I5" s="6"/>
      <c r="J5" s="6"/>
      <c r="K5" s="6"/>
      <c r="L5" s="6"/>
      <c r="M5" s="6"/>
      <c r="N5" s="6"/>
    </row>
    <row r="6" customFormat="false" ht="27.75" hidden="false" customHeight="true" outlineLevel="0" collapsed="false">
      <c r="A6" s="6" t="s">
        <v>152</v>
      </c>
      <c r="B6" s="6"/>
      <c r="C6" s="6"/>
      <c r="D6" s="6"/>
      <c r="E6" s="6"/>
      <c r="F6" s="6"/>
      <c r="G6" s="6"/>
      <c r="H6" s="6"/>
      <c r="I6" s="6"/>
      <c r="J6" s="6"/>
      <c r="K6" s="6"/>
      <c r="L6" s="6"/>
      <c r="M6" s="6"/>
      <c r="N6" s="6"/>
    </row>
    <row r="7" customFormat="false" ht="27.75" hidden="false" customHeight="true" outlineLevel="0" collapsed="false">
      <c r="A7" s="6" t="s">
        <v>153</v>
      </c>
      <c r="B7" s="6"/>
      <c r="C7" s="6"/>
      <c r="D7" s="6"/>
      <c r="E7" s="6"/>
      <c r="F7" s="6"/>
      <c r="G7" s="6"/>
      <c r="H7" s="6"/>
      <c r="I7" s="6"/>
      <c r="J7" s="6"/>
      <c r="K7" s="6"/>
      <c r="L7" s="6"/>
      <c r="M7" s="6"/>
      <c r="N7" s="6"/>
    </row>
    <row r="8" customFormat="false" ht="27.75" hidden="false" customHeight="true" outlineLevel="0" collapsed="false">
      <c r="A8" s="6" t="s">
        <v>154</v>
      </c>
      <c r="B8" s="6"/>
      <c r="C8" s="6"/>
      <c r="D8" s="6"/>
      <c r="E8" s="6"/>
      <c r="F8" s="6"/>
      <c r="G8" s="6"/>
      <c r="H8" s="6"/>
      <c r="I8" s="6"/>
      <c r="J8" s="6"/>
      <c r="K8" s="6"/>
      <c r="L8" s="6"/>
      <c r="M8" s="6"/>
      <c r="N8" s="6"/>
    </row>
    <row r="10" customFormat="false" ht="15" hidden="false" customHeight="false" outlineLevel="0" collapsed="false">
      <c r="A10" s="3" t="s">
        <v>155</v>
      </c>
    </row>
    <row r="11" customFormat="false" ht="15" hidden="false" customHeight="false" outlineLevel="0" collapsed="false">
      <c r="A11" s="2" t="s">
        <v>156</v>
      </c>
    </row>
    <row r="12" customFormat="false" ht="30" hidden="false" customHeight="true" outlineLevel="0" collapsed="false">
      <c r="A12" s="7" t="s">
        <v>157</v>
      </c>
      <c r="B12" s="7" t="s">
        <v>32</v>
      </c>
      <c r="C12" s="7" t="s">
        <v>158</v>
      </c>
      <c r="D12" s="7" t="s">
        <v>159</v>
      </c>
      <c r="E12" s="7" t="s">
        <v>160</v>
      </c>
      <c r="F12" s="7" t="s">
        <v>161</v>
      </c>
      <c r="G12" s="7" t="s">
        <v>162</v>
      </c>
      <c r="H12" s="7" t="s">
        <v>163</v>
      </c>
      <c r="I12" s="7" t="s">
        <v>164</v>
      </c>
      <c r="J12" s="7" t="s">
        <v>165</v>
      </c>
      <c r="K12" s="7" t="s">
        <v>166</v>
      </c>
      <c r="L12" s="7" t="s">
        <v>167</v>
      </c>
      <c r="M12" s="7" t="s">
        <v>9</v>
      </c>
      <c r="N12" s="7" t="s">
        <v>168</v>
      </c>
      <c r="O12" s="7" t="s">
        <v>169</v>
      </c>
      <c r="P12" s="7" t="s">
        <v>170</v>
      </c>
      <c r="Q12" s="7" t="s">
        <v>171</v>
      </c>
      <c r="R12" s="7" t="s">
        <v>172</v>
      </c>
      <c r="S12" s="7" t="s">
        <v>173</v>
      </c>
      <c r="T12" s="7" t="s">
        <v>174</v>
      </c>
      <c r="U12" s="7" t="s">
        <v>175</v>
      </c>
      <c r="V12" s="7" t="s">
        <v>176</v>
      </c>
      <c r="W12" s="7" t="s">
        <v>177</v>
      </c>
      <c r="X12" s="7" t="s">
        <v>178</v>
      </c>
      <c r="Y12" s="7" t="s">
        <v>179</v>
      </c>
      <c r="Z12" s="7" t="s">
        <v>180</v>
      </c>
      <c r="AA12" s="7" t="s">
        <v>181</v>
      </c>
      <c r="AB12" s="7" t="s">
        <v>182</v>
      </c>
      <c r="AC12" s="7" t="s">
        <v>183</v>
      </c>
      <c r="AD12" s="7" t="s">
        <v>184</v>
      </c>
      <c r="AE12" s="7" t="s">
        <v>185</v>
      </c>
      <c r="AF12" s="7" t="s">
        <v>186</v>
      </c>
      <c r="AG12" s="7" t="s">
        <v>187</v>
      </c>
    </row>
    <row r="13" customFormat="false" ht="15" hidden="false" customHeight="false" outlineLevel="0" collapsed="false">
      <c r="A13" s="8" t="s">
        <v>36</v>
      </c>
      <c r="B13" s="8" t="s">
        <v>37</v>
      </c>
      <c r="C13" s="8" t="s">
        <v>38</v>
      </c>
      <c r="D13" s="8" t="s">
        <v>188</v>
      </c>
      <c r="E13" s="9" t="n">
        <v>212.370707115408</v>
      </c>
      <c r="F13" s="9" t="n">
        <v>34.5301885337631</v>
      </c>
      <c r="G13" s="9" t="n">
        <v>249.952847937679</v>
      </c>
      <c r="H13" s="9" t="n">
        <v>46.64690991472</v>
      </c>
      <c r="I13" s="9" t="n">
        <v>0</v>
      </c>
      <c r="J13" s="9" t="n">
        <f aca="false">H13-I13</f>
        <v>46.64690991472</v>
      </c>
      <c r="K13" s="10" t="n">
        <v>116.216235692558</v>
      </c>
      <c r="L13" s="11" t="n">
        <f aca="false">K13/100-1</f>
        <v>0.162162356925584</v>
      </c>
      <c r="M13" s="12" t="n">
        <v>68.0630162501727</v>
      </c>
      <c r="N13" s="12" t="n">
        <v>58.2353309623704</v>
      </c>
      <c r="O13" s="12" t="n">
        <v>73.4502237861832</v>
      </c>
      <c r="P13" s="12" t="n">
        <v>76.2452221602419</v>
      </c>
      <c r="Q13" s="12" t="n">
        <v>64.1569370750712</v>
      </c>
      <c r="R13" s="12" t="n">
        <v>71.7935642313049</v>
      </c>
      <c r="S13" s="12" t="n">
        <v>62.5867962118088</v>
      </c>
      <c r="T13" s="12" t="n">
        <v>59.5168519653769</v>
      </c>
      <c r="U13" s="12" t="n">
        <v>61.3442258283536</v>
      </c>
      <c r="V13" s="12" t="n">
        <v>65.5432471385117</v>
      </c>
      <c r="W13" s="12" t="n">
        <v>72</v>
      </c>
      <c r="X13" s="12" t="n">
        <v>111.042229453637</v>
      </c>
      <c r="Y13" s="9" t="n">
        <v>0</v>
      </c>
      <c r="Z13" s="8" t="s">
        <v>189</v>
      </c>
      <c r="AA13" s="13" t="n">
        <v>0</v>
      </c>
      <c r="AB13" s="8" t="s">
        <v>190</v>
      </c>
      <c r="AC13" s="8" t="s">
        <v>191</v>
      </c>
      <c r="AD13" s="14" t="n">
        <v>0.374458874458874</v>
      </c>
      <c r="AE13" s="13" t="n">
        <f aca="false">RANK(K13,$K$13:$K$22)</f>
        <v>5</v>
      </c>
      <c r="AF13" s="13" t="n">
        <f aca="false">RANK(M13,$M$13:$M$22)</f>
        <v>5</v>
      </c>
      <c r="AG13" s="13" t="n">
        <f aca="false">RANK(G13,$G$13:$G$22)</f>
        <v>6</v>
      </c>
    </row>
    <row r="14" customFormat="false" ht="15" hidden="false" customHeight="false" outlineLevel="0" collapsed="false">
      <c r="A14" s="8" t="s">
        <v>41</v>
      </c>
      <c r="B14" s="8" t="s">
        <v>42</v>
      </c>
      <c r="C14" s="8" t="s">
        <v>43</v>
      </c>
      <c r="D14" s="8" t="s">
        <v>192</v>
      </c>
      <c r="E14" s="9" t="n">
        <v>197.524078527406</v>
      </c>
      <c r="F14" s="9" t="n">
        <v>23.3056653190229</v>
      </c>
      <c r="G14" s="9" t="n">
        <v>199.832100696294</v>
      </c>
      <c r="H14" s="9" t="n">
        <v>25</v>
      </c>
      <c r="I14" s="9" t="n">
        <v>0.0658654334160929</v>
      </c>
      <c r="J14" s="9" t="n">
        <f aca="false">H14-I14</f>
        <v>24.9341345665839</v>
      </c>
      <c r="K14" s="10" t="n">
        <v>81.785812560389</v>
      </c>
      <c r="L14" s="11" t="n">
        <f aca="false">K14/100-1</f>
        <v>-0.18214187439611</v>
      </c>
      <c r="M14" s="12" t="n">
        <v>58.631731521967</v>
      </c>
      <c r="N14" s="12" t="n">
        <v>49.0652565851326</v>
      </c>
      <c r="O14" s="12" t="n">
        <v>63.7164973875588</v>
      </c>
      <c r="P14" s="12" t="n">
        <v>66.8194192090737</v>
      </c>
      <c r="Q14" s="12" t="n">
        <v>48.8876574280537</v>
      </c>
      <c r="R14" s="12" t="n">
        <v>60.9692058962741</v>
      </c>
      <c r="S14" s="12" t="n">
        <v>40.5578965488637</v>
      </c>
      <c r="T14" s="12" t="n">
        <v>48.5512785952205</v>
      </c>
      <c r="U14" s="12" t="n">
        <v>43.2595548348111</v>
      </c>
      <c r="V14" s="12" t="n">
        <v>51.1003512650994</v>
      </c>
      <c r="W14" s="12" t="n">
        <v>63</v>
      </c>
      <c r="X14" s="12" t="n">
        <v>137.083483526605</v>
      </c>
      <c r="Y14" s="9" t="n">
        <v>0.0658654334160929</v>
      </c>
      <c r="Z14" s="8" t="s">
        <v>189</v>
      </c>
      <c r="AA14" s="13" t="n">
        <v>0</v>
      </c>
      <c r="AB14" s="8" t="s">
        <v>193</v>
      </c>
      <c r="AC14" s="8" t="s">
        <v>194</v>
      </c>
      <c r="AD14" s="14" t="n">
        <v>0.0670995670995671</v>
      </c>
      <c r="AE14" s="13" t="n">
        <f aca="false">RANK(K14,$K$13:$K$22)</f>
        <v>9</v>
      </c>
      <c r="AF14" s="13" t="n">
        <f aca="false">RANK(M14,$M$13:$M$22)</f>
        <v>9</v>
      </c>
      <c r="AG14" s="13" t="n">
        <f aca="false">RANK(G14,$G$13:$G$22)</f>
        <v>9</v>
      </c>
    </row>
    <row r="15" customFormat="false" ht="15" hidden="false" customHeight="false" outlineLevel="0" collapsed="false">
      <c r="A15" s="8" t="s">
        <v>46</v>
      </c>
      <c r="B15" s="8" t="s">
        <v>47</v>
      </c>
      <c r="C15" s="8" t="s">
        <v>48</v>
      </c>
      <c r="D15" s="8" t="s">
        <v>195</v>
      </c>
      <c r="E15" s="9" t="n">
        <v>234.700094015825</v>
      </c>
      <c r="F15" s="9" t="n">
        <v>45.626066536685</v>
      </c>
      <c r="G15" s="9" t="n">
        <v>277.757568723759</v>
      </c>
      <c r="H15" s="9" t="n">
        <v>84.5075687237593</v>
      </c>
      <c r="I15" s="9" t="n">
        <v>0</v>
      </c>
      <c r="J15" s="9" t="n">
        <f aca="false">H15-I15</f>
        <v>84.5075687237593</v>
      </c>
      <c r="K15" s="10" t="n">
        <v>148.513018511566</v>
      </c>
      <c r="L15" s="11" t="n">
        <f aca="false">K15/100-1</f>
        <v>0.485130185115655</v>
      </c>
      <c r="M15" s="12" t="n">
        <v>80.4911097263577</v>
      </c>
      <c r="N15" s="12" t="n">
        <v>77.6754114985626</v>
      </c>
      <c r="O15" s="12" t="n">
        <v>87.1691038179902</v>
      </c>
      <c r="P15" s="12" t="n">
        <v>75.6470351625442</v>
      </c>
      <c r="Q15" s="12" t="n">
        <v>73.5024762163575</v>
      </c>
      <c r="R15" s="12" t="n">
        <v>78.6595251498953</v>
      </c>
      <c r="S15" s="12" t="n">
        <v>74.3808158818668</v>
      </c>
      <c r="T15" s="12" t="n">
        <v>80.373535507936</v>
      </c>
      <c r="U15" s="12" t="n">
        <v>65.1374033703415</v>
      </c>
      <c r="V15" s="12" t="n">
        <v>68.9611011717478</v>
      </c>
      <c r="W15" s="12" t="n">
        <v>67.7058291157245</v>
      </c>
      <c r="X15" s="12" t="n">
        <v>134.075188712936</v>
      </c>
      <c r="Y15" s="9" t="n">
        <v>0</v>
      </c>
      <c r="Z15" s="8" t="s">
        <v>189</v>
      </c>
      <c r="AA15" s="13" t="n">
        <v>0</v>
      </c>
      <c r="AB15" s="8" t="s">
        <v>190</v>
      </c>
      <c r="AC15" s="8" t="s">
        <v>191</v>
      </c>
      <c r="AD15" s="14" t="n">
        <v>0.80952380952381</v>
      </c>
      <c r="AE15" s="13" t="n">
        <f aca="false">RANK(K15,$K$13:$K$22)</f>
        <v>2</v>
      </c>
      <c r="AF15" s="13" t="n">
        <f aca="false">RANK(M15,$M$13:$M$22)</f>
        <v>1</v>
      </c>
      <c r="AG15" s="13" t="n">
        <f aca="false">RANK(G15,$G$13:$G$22)</f>
        <v>1</v>
      </c>
    </row>
    <row r="16" customFormat="false" ht="15" hidden="false" customHeight="false" outlineLevel="0" collapsed="false">
      <c r="A16" s="8" t="s">
        <v>51</v>
      </c>
      <c r="B16" s="8" t="s">
        <v>51</v>
      </c>
      <c r="C16" s="8" t="s">
        <v>52</v>
      </c>
      <c r="D16" s="8" t="s">
        <v>196</v>
      </c>
      <c r="E16" s="9" t="n">
        <v>226.219991539104</v>
      </c>
      <c r="F16" s="9" t="n">
        <v>46.0403580204834</v>
      </c>
      <c r="G16" s="9" t="n">
        <v>273.093995484319</v>
      </c>
      <c r="H16" s="9" t="n">
        <v>76.4202948494421</v>
      </c>
      <c r="I16" s="9" t="n">
        <v>0</v>
      </c>
      <c r="J16" s="9" t="n">
        <f aca="false">H16-I16</f>
        <v>76.4202948494421</v>
      </c>
      <c r="K16" s="10" t="n">
        <v>143.753308710913</v>
      </c>
      <c r="L16" s="11" t="n">
        <f aca="false">K16/100-1</f>
        <v>0.437533087109127</v>
      </c>
      <c r="M16" s="12" t="n">
        <v>76.7158581337386</v>
      </c>
      <c r="N16" s="12" t="n">
        <v>75.1387498349074</v>
      </c>
      <c r="O16" s="12" t="n">
        <v>92.8178746466569</v>
      </c>
      <c r="P16" s="12" t="n">
        <v>56.6964082937831</v>
      </c>
      <c r="Q16" s="12" t="n">
        <v>72.3100933040847</v>
      </c>
      <c r="R16" s="12" t="n">
        <v>82.7283664305743</v>
      </c>
      <c r="S16" s="12" t="n">
        <v>73.9195179668074</v>
      </c>
      <c r="T16" s="12" t="n">
        <v>72.7276743431704</v>
      </c>
      <c r="U16" s="12" t="n">
        <v>68.7008984319614</v>
      </c>
      <c r="V16" s="12" t="n">
        <v>63.4740093479101</v>
      </c>
      <c r="W16" s="12" t="n">
        <v>69.4516451809628</v>
      </c>
      <c r="X16" s="12" t="n">
        <v>194.490022111345</v>
      </c>
      <c r="Y16" s="9" t="n">
        <v>0</v>
      </c>
      <c r="Z16" s="8" t="s">
        <v>189</v>
      </c>
      <c r="AA16" s="13" t="n">
        <v>0</v>
      </c>
      <c r="AB16" s="8" t="s">
        <v>190</v>
      </c>
      <c r="AC16" s="8" t="s">
        <v>191</v>
      </c>
      <c r="AD16" s="14" t="n">
        <v>0.91991341991342</v>
      </c>
      <c r="AE16" s="13" t="n">
        <f aca="false">RANK(K16,$K$13:$K$22)</f>
        <v>3</v>
      </c>
      <c r="AF16" s="13" t="n">
        <f aca="false">RANK(M16,$M$13:$M$22)</f>
        <v>3</v>
      </c>
      <c r="AG16" s="13" t="n">
        <f aca="false">RANK(G16,$G$13:$G$22)</f>
        <v>2</v>
      </c>
    </row>
    <row r="17" customFormat="false" ht="15" hidden="false" customHeight="false" outlineLevel="0" collapsed="false">
      <c r="A17" s="8" t="s">
        <v>55</v>
      </c>
      <c r="B17" s="8" t="s">
        <v>37</v>
      </c>
      <c r="C17" s="8" t="s">
        <v>56</v>
      </c>
      <c r="D17" s="8" t="s">
        <v>188</v>
      </c>
      <c r="E17" s="9" t="n">
        <v>203.893159816572</v>
      </c>
      <c r="F17" s="9" t="n">
        <v>34.7475339026949</v>
      </c>
      <c r="G17" s="9" t="n">
        <v>257.077331171122</v>
      </c>
      <c r="H17" s="9" t="n">
        <v>56.3913350461927</v>
      </c>
      <c r="I17" s="9" t="n">
        <v>0</v>
      </c>
      <c r="J17" s="9" t="n">
        <f aca="false">H17-I17</f>
        <v>56.3913350461927</v>
      </c>
      <c r="K17" s="10" t="n">
        <v>109.882212011446</v>
      </c>
      <c r="L17" s="11" t="n">
        <f aca="false">K17/100-1</f>
        <v>0.0988221201144581</v>
      </c>
      <c r="M17" s="12" t="n">
        <v>61.8035853090846</v>
      </c>
      <c r="N17" s="12" t="n">
        <v>56.2125264721002</v>
      </c>
      <c r="O17" s="12" t="n">
        <v>71.6104829996345</v>
      </c>
      <c r="P17" s="12" t="n">
        <v>57.0196226814898</v>
      </c>
      <c r="Q17" s="12" t="n">
        <v>58.5631559561693</v>
      </c>
      <c r="R17" s="12" t="n">
        <v>66.1653193670673</v>
      </c>
      <c r="S17" s="12" t="n">
        <v>62.9791382592514</v>
      </c>
      <c r="T17" s="12" t="n">
        <v>52.3905337263766</v>
      </c>
      <c r="U17" s="12" t="n">
        <v>54.5155324665401</v>
      </c>
      <c r="V17" s="12" t="n">
        <v>56.7652559616112</v>
      </c>
      <c r="W17" s="12" t="n">
        <v>70.5</v>
      </c>
      <c r="X17" s="12" t="n">
        <v>65.3800663599514</v>
      </c>
      <c r="Y17" s="9" t="n">
        <v>0</v>
      </c>
      <c r="Z17" s="8" t="s">
        <v>189</v>
      </c>
      <c r="AA17" s="13" t="n">
        <v>0</v>
      </c>
      <c r="AB17" s="8" t="s">
        <v>190</v>
      </c>
      <c r="AC17" s="8" t="s">
        <v>191</v>
      </c>
      <c r="AD17" s="14" t="n">
        <v>0.266233766233766</v>
      </c>
      <c r="AE17" s="13" t="n">
        <f aca="false">RANK(K17,$K$13:$K$22)</f>
        <v>7</v>
      </c>
      <c r="AF17" s="13" t="n">
        <f aca="false">RANK(M17,$M$13:$M$22)</f>
        <v>8</v>
      </c>
      <c r="AG17" s="13" t="n">
        <f aca="false">RANK(G17,$G$13:$G$22)</f>
        <v>5</v>
      </c>
    </row>
    <row r="18" customFormat="false" ht="15" hidden="false" customHeight="false" outlineLevel="0" collapsed="false">
      <c r="A18" s="8" t="s">
        <v>59</v>
      </c>
      <c r="B18" s="8" t="s">
        <v>42</v>
      </c>
      <c r="C18" s="8" t="s">
        <v>60</v>
      </c>
      <c r="D18" s="8" t="s">
        <v>192</v>
      </c>
      <c r="E18" s="9" t="n">
        <v>193.278429750093</v>
      </c>
      <c r="F18" s="9" t="n">
        <v>22.3350797975274</v>
      </c>
      <c r="G18" s="9" t="n">
        <v>196.935099803728</v>
      </c>
      <c r="H18" s="9" t="n">
        <v>25</v>
      </c>
      <c r="I18" s="9" t="n">
        <v>26.6816580251418</v>
      </c>
      <c r="J18" s="9" t="n">
        <f aca="false">H18-I18</f>
        <v>-1.68165802514184</v>
      </c>
      <c r="K18" s="10" t="n">
        <v>74.7460254168548</v>
      </c>
      <c r="L18" s="11" t="n">
        <f aca="false">K18/100-1</f>
        <v>-0.252539745831452</v>
      </c>
      <c r="M18" s="12" t="n">
        <v>51.7174939108118</v>
      </c>
      <c r="N18" s="12" t="n">
        <v>45.5324970595546</v>
      </c>
      <c r="O18" s="12" t="n">
        <v>62.6587369808125</v>
      </c>
      <c r="P18" s="12" t="n">
        <v>46.2957485748222</v>
      </c>
      <c r="Q18" s="12" t="n">
        <v>43.0224013575707</v>
      </c>
      <c r="R18" s="12" t="n">
        <v>56.6977879129192</v>
      </c>
      <c r="S18" s="12" t="n">
        <v>37.5525874920165</v>
      </c>
      <c r="T18" s="12" t="n">
        <v>42.4371747101072</v>
      </c>
      <c r="U18" s="12" t="n">
        <v>38.9134591366097</v>
      </c>
      <c r="V18" s="12" t="n">
        <v>39.5109975362012</v>
      </c>
      <c r="W18" s="12" t="n">
        <v>61.5</v>
      </c>
      <c r="X18" s="12" t="n">
        <v>106.257180071718</v>
      </c>
      <c r="Y18" s="9" t="n">
        <v>26.6816580251418</v>
      </c>
      <c r="Z18" s="8" t="s">
        <v>189</v>
      </c>
      <c r="AA18" s="13" t="n">
        <v>0</v>
      </c>
      <c r="AB18" s="8" t="s">
        <v>193</v>
      </c>
      <c r="AC18" s="8" t="s">
        <v>194</v>
      </c>
      <c r="AD18" s="14" t="n">
        <v>0.025974025974026</v>
      </c>
      <c r="AE18" s="13" t="n">
        <f aca="false">RANK(K18,$K$13:$K$22)</f>
        <v>10</v>
      </c>
      <c r="AF18" s="13" t="n">
        <f aca="false">RANK(M18,$M$13:$M$22)</f>
        <v>10</v>
      </c>
      <c r="AG18" s="13" t="n">
        <f aca="false">RANK(G18,$G$13:$G$22)</f>
        <v>10</v>
      </c>
    </row>
    <row r="19" customFormat="false" ht="15" hidden="false" customHeight="false" outlineLevel="0" collapsed="false">
      <c r="A19" s="8" t="s">
        <v>63</v>
      </c>
      <c r="B19" s="8" t="s">
        <v>47</v>
      </c>
      <c r="C19" s="8" t="s">
        <v>64</v>
      </c>
      <c r="D19" s="8" t="s">
        <v>188</v>
      </c>
      <c r="E19" s="9" t="n">
        <v>220.943888387599</v>
      </c>
      <c r="F19" s="9" t="n">
        <v>38.9825389229843</v>
      </c>
      <c r="G19" s="9" t="n">
        <v>258.249273648956</v>
      </c>
      <c r="H19" s="9" t="n">
        <v>60.2694259405635</v>
      </c>
      <c r="I19" s="9" t="n">
        <v>0</v>
      </c>
      <c r="J19" s="9" t="n">
        <f aca="false">H19-I19</f>
        <v>60.2694259405635</v>
      </c>
      <c r="K19" s="10" t="n">
        <v>127.259220008078</v>
      </c>
      <c r="L19" s="11" t="n">
        <f aca="false">K19/100-1</f>
        <v>0.272592200080776</v>
      </c>
      <c r="M19" s="12" t="n">
        <v>69.2609583126287</v>
      </c>
      <c r="N19" s="12" t="n">
        <v>68.3039051520585</v>
      </c>
      <c r="O19" s="12" t="n">
        <v>78.8694525889372</v>
      </c>
      <c r="P19" s="12" t="n">
        <v>57.340351382709</v>
      </c>
      <c r="Q19" s="12" t="n">
        <v>65.8006333236125</v>
      </c>
      <c r="R19" s="12" t="n">
        <v>77.7263297077625</v>
      </c>
      <c r="S19" s="12" t="n">
        <v>66.6239651853177</v>
      </c>
      <c r="T19" s="12" t="n">
        <v>72.7972734606632</v>
      </c>
      <c r="U19" s="12" t="n">
        <v>51.1064661271105</v>
      </c>
      <c r="V19" s="12" t="n">
        <v>60.7491321372087</v>
      </c>
      <c r="W19" s="12" t="n">
        <v>70.5</v>
      </c>
      <c r="X19" s="12" t="n">
        <v>111.730255348988</v>
      </c>
      <c r="Y19" s="9" t="n">
        <v>0</v>
      </c>
      <c r="Z19" s="8" t="s">
        <v>189</v>
      </c>
      <c r="AA19" s="13" t="n">
        <v>0</v>
      </c>
      <c r="AB19" s="8" t="s">
        <v>190</v>
      </c>
      <c r="AC19" s="8" t="s">
        <v>191</v>
      </c>
      <c r="AD19" s="14" t="n">
        <v>0.491341991341991</v>
      </c>
      <c r="AE19" s="13" t="n">
        <f aca="false">RANK(K19,$K$13:$K$22)</f>
        <v>4</v>
      </c>
      <c r="AF19" s="13" t="n">
        <f aca="false">RANK(M19,$M$13:$M$22)</f>
        <v>4</v>
      </c>
      <c r="AG19" s="13" t="n">
        <f aca="false">RANK(G19,$G$13:$G$22)</f>
        <v>4</v>
      </c>
    </row>
    <row r="20" customFormat="false" ht="15" hidden="false" customHeight="false" outlineLevel="0" collapsed="false">
      <c r="A20" s="8" t="s">
        <v>67</v>
      </c>
      <c r="B20" s="8" t="s">
        <v>68</v>
      </c>
      <c r="C20" s="8" t="s">
        <v>69</v>
      </c>
      <c r="D20" s="8" t="s">
        <v>197</v>
      </c>
      <c r="E20" s="9" t="n">
        <v>198.164187821147</v>
      </c>
      <c r="F20" s="9" t="n">
        <v>24.7038968155871</v>
      </c>
      <c r="G20" s="9" t="n">
        <v>214.012726287484</v>
      </c>
      <c r="H20" s="9" t="n">
        <v>32.5127262874841</v>
      </c>
      <c r="I20" s="9" t="n">
        <v>0</v>
      </c>
      <c r="J20" s="9" t="n">
        <f aca="false">H20-I20</f>
        <v>32.5127262874841</v>
      </c>
      <c r="K20" s="10" t="n">
        <v>110.903443154202</v>
      </c>
      <c r="L20" s="11" t="n">
        <f aca="false">K20/100-1</f>
        <v>0.109034431542017</v>
      </c>
      <c r="M20" s="12" t="n">
        <v>63.6532932047838</v>
      </c>
      <c r="N20" s="12" t="n">
        <v>48.9615071626757</v>
      </c>
      <c r="O20" s="12" t="n">
        <v>67.1973185968199</v>
      </c>
      <c r="P20" s="12" t="n">
        <v>82.1985153233064</v>
      </c>
      <c r="Q20" s="12" t="n">
        <v>59.6811526623173</v>
      </c>
      <c r="R20" s="12" t="n">
        <v>68.6501744977001</v>
      </c>
      <c r="S20" s="12" t="n">
        <v>51.5961755232282</v>
      </c>
      <c r="T20" s="12" t="n">
        <v>62.6468791296738</v>
      </c>
      <c r="U20" s="12" t="n">
        <v>52.9818455301439</v>
      </c>
      <c r="V20" s="12" t="n">
        <v>62.5306886308403</v>
      </c>
      <c r="W20" s="12" t="n">
        <v>72</v>
      </c>
      <c r="X20" s="12" t="n">
        <v>125</v>
      </c>
      <c r="Y20" s="9" t="n">
        <v>0</v>
      </c>
      <c r="Z20" s="8" t="s">
        <v>189</v>
      </c>
      <c r="AA20" s="13" t="n">
        <v>0</v>
      </c>
      <c r="AB20" s="8" t="s">
        <v>193</v>
      </c>
      <c r="AC20" s="8" t="s">
        <v>191</v>
      </c>
      <c r="AD20" s="14" t="n">
        <v>0.283549783549784</v>
      </c>
      <c r="AE20" s="13" t="n">
        <f aca="false">RANK(K20,$K$13:$K$22)</f>
        <v>6</v>
      </c>
      <c r="AF20" s="13" t="n">
        <f aca="false">RANK(M20,$M$13:$M$22)</f>
        <v>7</v>
      </c>
      <c r="AG20" s="13" t="n">
        <f aca="false">RANK(G20,$G$13:$G$22)</f>
        <v>8</v>
      </c>
    </row>
    <row r="21" customFormat="false" ht="15" hidden="false" customHeight="false" outlineLevel="0" collapsed="false">
      <c r="A21" s="8" t="s">
        <v>72</v>
      </c>
      <c r="B21" s="8" t="s">
        <v>73</v>
      </c>
      <c r="C21" s="8" t="s">
        <v>74</v>
      </c>
      <c r="D21" s="8" t="s">
        <v>196</v>
      </c>
      <c r="E21" s="9" t="n">
        <v>196.351794110749</v>
      </c>
      <c r="F21" s="9" t="n">
        <v>28.102657726447</v>
      </c>
      <c r="G21" s="9" t="n">
        <v>223.165781054338</v>
      </c>
      <c r="H21" s="9" t="n">
        <v>186.793796927354</v>
      </c>
      <c r="I21" s="9" t="n">
        <v>0</v>
      </c>
      <c r="J21" s="9" t="n">
        <f aca="false">H21-I21</f>
        <v>186.793796927354</v>
      </c>
      <c r="K21" s="10" t="n">
        <v>102.814591851321</v>
      </c>
      <c r="L21" s="11" t="n">
        <f aca="false">K21/100-1</f>
        <v>0.02814591851321</v>
      </c>
      <c r="M21" s="12" t="n">
        <v>64.4334498341436</v>
      </c>
      <c r="N21" s="12" t="n">
        <v>61.5534477349494</v>
      </c>
      <c r="O21" s="12" t="n">
        <v>73.1197331805134</v>
      </c>
      <c r="P21" s="12" t="n">
        <v>56.8806565079365</v>
      </c>
      <c r="Q21" s="12" t="n">
        <v>55.2704796867667</v>
      </c>
      <c r="R21" s="12" t="n">
        <v>63.5271442597123</v>
      </c>
      <c r="S21" s="12" t="n">
        <v>55.4299677797655</v>
      </c>
      <c r="T21" s="12" t="n">
        <v>57.8896014161677</v>
      </c>
      <c r="U21" s="12" t="n">
        <v>46.4824221445831</v>
      </c>
      <c r="V21" s="12" t="n">
        <v>53.0232628336048</v>
      </c>
      <c r="W21" s="12" t="n">
        <v>69.5240571428572</v>
      </c>
      <c r="X21" s="12" t="n">
        <v>84.8404700665088</v>
      </c>
      <c r="Y21" s="9" t="n">
        <v>0</v>
      </c>
      <c r="Z21" s="8" t="s">
        <v>189</v>
      </c>
      <c r="AA21" s="13" t="n">
        <v>0</v>
      </c>
      <c r="AB21" s="8" t="s">
        <v>190</v>
      </c>
      <c r="AC21" s="8" t="s">
        <v>191</v>
      </c>
      <c r="AD21" s="8" t="s">
        <v>198</v>
      </c>
      <c r="AE21" s="13" t="n">
        <f aca="false">RANK(K21,$K$13:$K$22)</f>
        <v>8</v>
      </c>
      <c r="AF21" s="13" t="n">
        <f aca="false">RANK(M21,$M$13:$M$22)</f>
        <v>6</v>
      </c>
      <c r="AG21" s="13" t="n">
        <f aca="false">RANK(G21,$G$13:$G$22)</f>
        <v>7</v>
      </c>
    </row>
    <row r="22" customFormat="false" ht="15" hidden="false" customHeight="false" outlineLevel="0" collapsed="false">
      <c r="A22" s="8" t="s">
        <v>77</v>
      </c>
      <c r="B22" s="8" t="s">
        <v>78</v>
      </c>
      <c r="C22" s="8" t="s">
        <v>79</v>
      </c>
      <c r="D22" s="8" t="s">
        <v>192</v>
      </c>
      <c r="E22" s="9" t="n">
        <v>233.349231609353</v>
      </c>
      <c r="F22" s="9" t="n">
        <v>47.0539280009771</v>
      </c>
      <c r="G22" s="9" t="n">
        <v>262.124995596988</v>
      </c>
      <c r="H22" s="9" t="n">
        <v>80.9044195188667</v>
      </c>
      <c r="I22" s="9" t="n">
        <v>0</v>
      </c>
      <c r="J22" s="9" t="n">
        <f aca="false">H22-I22</f>
        <v>80.9044195188667</v>
      </c>
      <c r="K22" s="10" t="n">
        <v>148.821126742347</v>
      </c>
      <c r="L22" s="11" t="n">
        <f aca="false">K22/100-1</f>
        <v>0.488211267423468</v>
      </c>
      <c r="M22" s="12" t="n">
        <v>80.3311388707526</v>
      </c>
      <c r="N22" s="12" t="n">
        <v>79.9246486990128</v>
      </c>
      <c r="O22" s="12" t="n">
        <v>86.8732440816011</v>
      </c>
      <c r="P22" s="12" t="n">
        <v>71.8225758503483</v>
      </c>
      <c r="Q22" s="12" t="n">
        <v>76.1393359829545</v>
      </c>
      <c r="R22" s="12" t="n">
        <v>86.3848880020312</v>
      </c>
      <c r="S22" s="12" t="n">
        <v>73.0449401236062</v>
      </c>
      <c r="T22" s="12" t="n">
        <v>75.5744883843752</v>
      </c>
      <c r="U22" s="12" t="n">
        <v>71.5518715242282</v>
      </c>
      <c r="V22" s="12" t="n">
        <v>74.1404918805318</v>
      </c>
      <c r="W22" s="12" t="n">
        <v>72</v>
      </c>
      <c r="X22" s="12" t="n">
        <v>197.826652275269</v>
      </c>
      <c r="Y22" s="9" t="n">
        <v>0</v>
      </c>
      <c r="Z22" s="8" t="s">
        <v>189</v>
      </c>
      <c r="AA22" s="13" t="n">
        <v>0</v>
      </c>
      <c r="AB22" s="8" t="s">
        <v>190</v>
      </c>
      <c r="AC22" s="8" t="s">
        <v>194</v>
      </c>
      <c r="AD22" s="8" t="s">
        <v>198</v>
      </c>
      <c r="AE22" s="13" t="n">
        <f aca="false">RANK(K22,$K$13:$K$22)</f>
        <v>1</v>
      </c>
      <c r="AF22" s="13" t="n">
        <f aca="false">RANK(M22,$M$13:$M$22)</f>
        <v>2</v>
      </c>
      <c r="AG22" s="13" t="n">
        <f aca="false">RANK(G22,$G$13:$G$22)</f>
        <v>3</v>
      </c>
    </row>
    <row r="23" customFormat="false" ht="15" hidden="false" customHeight="false" outlineLevel="0" collapsed="false">
      <c r="A23" s="8" t="s">
        <v>82</v>
      </c>
      <c r="B23" s="8" t="s">
        <v>68</v>
      </c>
      <c r="C23" s="8" t="s">
        <v>83</v>
      </c>
      <c r="D23" s="8" t="s">
        <v>197</v>
      </c>
      <c r="E23" s="9" t="n">
        <v>190.773505347924</v>
      </c>
      <c r="F23" s="9" t="n">
        <v>25.1500625247968</v>
      </c>
      <c r="G23" s="9" t="n">
        <v>218.922041116199</v>
      </c>
      <c r="H23" s="9" t="n">
        <v>37.4220411161986</v>
      </c>
      <c r="I23" s="9" t="n">
        <v>0</v>
      </c>
      <c r="J23" s="9" t="n">
        <f aca="false">H23-I23</f>
        <v>37.4220411161986</v>
      </c>
      <c r="K23" s="10" t="n">
        <v>111.107861581178</v>
      </c>
      <c r="L23" s="11" t="n">
        <f aca="false">K23/100-1</f>
        <v>0.111078615811782</v>
      </c>
      <c r="M23" s="12" t="n">
        <v>60.8841187793358</v>
      </c>
      <c r="N23" s="12" t="n">
        <v>47.2278555037531</v>
      </c>
      <c r="O23" s="12" t="n">
        <v>73.9812247348648</v>
      </c>
      <c r="P23" s="12" t="n">
        <v>64.3981916825277</v>
      </c>
      <c r="Q23" s="12" t="n">
        <v>55.9043342278721</v>
      </c>
      <c r="R23" s="12" t="n">
        <v>64.5371323308128</v>
      </c>
      <c r="S23" s="12" t="n">
        <v>54.9019459994326</v>
      </c>
      <c r="T23" s="12" t="n">
        <v>58.0241637642744</v>
      </c>
      <c r="U23" s="12" t="n">
        <v>48.3022804574189</v>
      </c>
      <c r="V23" s="12" t="n">
        <v>53.7561485874221</v>
      </c>
      <c r="W23" s="12" t="n">
        <v>70.5</v>
      </c>
      <c r="X23" s="12" t="n">
        <v>78.5</v>
      </c>
      <c r="Y23" s="9" t="n">
        <v>0</v>
      </c>
      <c r="Z23" s="8" t="s">
        <v>189</v>
      </c>
      <c r="AA23" s="13" t="n">
        <v>0</v>
      </c>
      <c r="AB23" s="8" t="s">
        <v>190</v>
      </c>
      <c r="AC23" s="8" t="s">
        <v>191</v>
      </c>
      <c r="AD23" s="14" t="n">
        <v>0.29004329004329</v>
      </c>
    </row>
    <row r="24" customFormat="false" ht="15" hidden="false" customHeight="false" outlineLevel="0" collapsed="false">
      <c r="A24" s="8" t="s">
        <v>86</v>
      </c>
      <c r="B24" s="8" t="s">
        <v>37</v>
      </c>
      <c r="C24" s="8" t="s">
        <v>87</v>
      </c>
      <c r="D24" s="8" t="s">
        <v>188</v>
      </c>
      <c r="E24" s="9" t="n">
        <v>241.530319216222</v>
      </c>
      <c r="F24" s="9" t="n">
        <v>57.9493468533375</v>
      </c>
      <c r="G24" s="9" t="n">
        <v>312.17063986321</v>
      </c>
      <c r="H24" s="9" t="n">
        <v>110.771547245254</v>
      </c>
      <c r="I24" s="9" t="n">
        <v>0</v>
      </c>
      <c r="J24" s="9" t="n">
        <f aca="false">H24-I24</f>
        <v>110.771547245254</v>
      </c>
      <c r="K24" s="10" t="n">
        <v>164.53243513427</v>
      </c>
      <c r="L24" s="11" t="n">
        <f aca="false">K24/100-1</f>
        <v>0.645324351342698</v>
      </c>
      <c r="M24" s="12" t="n">
        <v>81.5932251285584</v>
      </c>
      <c r="N24" s="12" t="n">
        <v>85.6688923478875</v>
      </c>
      <c r="O24" s="12" t="n">
        <v>94.2308005511384</v>
      </c>
      <c r="P24" s="12" t="n">
        <v>57.37955198602</v>
      </c>
      <c r="Q24" s="12" t="n">
        <v>79.7271884979626</v>
      </c>
      <c r="R24" s="12" t="n">
        <v>89.2377226760129</v>
      </c>
      <c r="S24" s="12" t="n">
        <v>85.340108172079</v>
      </c>
      <c r="T24" s="12" t="n">
        <v>78.5120124249313</v>
      </c>
      <c r="U24" s="12" t="n">
        <v>76.68130710519</v>
      </c>
      <c r="V24" s="12" t="n">
        <v>68.8647921115997</v>
      </c>
      <c r="W24" s="12" t="n">
        <v>70.5</v>
      </c>
      <c r="X24" s="12" t="n">
        <v>168.379577114354</v>
      </c>
      <c r="Y24" s="9" t="n">
        <v>0</v>
      </c>
      <c r="Z24" s="8" t="s">
        <v>189</v>
      </c>
      <c r="AA24" s="13" t="n">
        <v>0</v>
      </c>
      <c r="AB24" s="8" t="s">
        <v>190</v>
      </c>
      <c r="AC24" s="8" t="s">
        <v>191</v>
      </c>
      <c r="AD24" s="14" t="n">
        <v>0.991341991341991</v>
      </c>
    </row>
    <row r="25" customFormat="false" ht="15" hidden="false" customHeight="false" outlineLevel="0" collapsed="false">
      <c r="A25" s="8" t="s">
        <v>89</v>
      </c>
      <c r="B25" s="8" t="s">
        <v>42</v>
      </c>
      <c r="C25" s="8" t="s">
        <v>90</v>
      </c>
      <c r="D25" s="8" t="s">
        <v>192</v>
      </c>
      <c r="E25" s="9" t="n">
        <v>229.379120444057</v>
      </c>
      <c r="F25" s="9" t="n">
        <v>43.6428209669373</v>
      </c>
      <c r="G25" s="9" t="n">
        <v>254.01797609038</v>
      </c>
      <c r="H25" s="9" t="n">
        <v>44.3398719664078</v>
      </c>
      <c r="I25" s="9" t="n">
        <v>0</v>
      </c>
      <c r="J25" s="9" t="n">
        <f aca="false">H25-I25</f>
        <v>44.3398719664078</v>
      </c>
      <c r="K25" s="10" t="n">
        <v>145.254317899383</v>
      </c>
      <c r="L25" s="11" t="n">
        <f aca="false">K25/100-1</f>
        <v>0.452543178993829</v>
      </c>
      <c r="M25" s="12" t="n">
        <v>75.0132054987736</v>
      </c>
      <c r="N25" s="12" t="n">
        <v>74.429964050792</v>
      </c>
      <c r="O25" s="12" t="n">
        <v>88.3748258755428</v>
      </c>
      <c r="P25" s="12" t="n">
        <v>57.2401232880671</v>
      </c>
      <c r="Q25" s="12" t="n">
        <v>71.2972646650045</v>
      </c>
      <c r="R25" s="12" t="n">
        <v>84.2573666627844</v>
      </c>
      <c r="S25" s="12" t="n">
        <v>70.5443301819305</v>
      </c>
      <c r="T25" s="12" t="n">
        <v>73.1281105817418</v>
      </c>
      <c r="U25" s="12" t="n">
        <v>63.9541268949602</v>
      </c>
      <c r="V25" s="12" t="n">
        <v>64.6023890036054</v>
      </c>
      <c r="W25" s="12" t="n">
        <v>70.5</v>
      </c>
      <c r="X25" s="12" t="n">
        <v>216.798542858745</v>
      </c>
      <c r="Y25" s="9" t="n">
        <v>0</v>
      </c>
      <c r="Z25" s="8" t="s">
        <v>189</v>
      </c>
      <c r="AA25" s="13" t="n">
        <v>0</v>
      </c>
      <c r="AB25" s="8" t="s">
        <v>190</v>
      </c>
      <c r="AC25" s="8" t="s">
        <v>194</v>
      </c>
      <c r="AD25" s="14" t="n">
        <v>0.753246753246753</v>
      </c>
    </row>
    <row r="26" customFormat="false" ht="15" hidden="false" customHeight="false" outlineLevel="0" collapsed="false">
      <c r="A26" s="8" t="s">
        <v>92</v>
      </c>
      <c r="B26" s="8" t="s">
        <v>42</v>
      </c>
      <c r="C26" s="8" t="s">
        <v>93</v>
      </c>
      <c r="D26" s="8" t="s">
        <v>192</v>
      </c>
      <c r="E26" s="9" t="n">
        <v>233.409852496534</v>
      </c>
      <c r="F26" s="9" t="n">
        <v>44.191944262978</v>
      </c>
      <c r="G26" s="9" t="n">
        <v>252.583512399621</v>
      </c>
      <c r="H26" s="9" t="n">
        <v>43.0968978307691</v>
      </c>
      <c r="I26" s="9" t="n">
        <v>0</v>
      </c>
      <c r="J26" s="9" t="n">
        <f aca="false">H26-I26</f>
        <v>43.0968978307691</v>
      </c>
      <c r="K26" s="10" t="n">
        <v>148.269271778725</v>
      </c>
      <c r="L26" s="11" t="n">
        <f aca="false">K26/100-1</f>
        <v>0.482692717787248</v>
      </c>
      <c r="M26" s="12" t="n">
        <v>79.1459125848699</v>
      </c>
      <c r="N26" s="12" t="n">
        <v>76.2241084784567</v>
      </c>
      <c r="O26" s="12" t="n">
        <v>87.9099113061541</v>
      </c>
      <c r="P26" s="12" t="n">
        <v>71.5512009453333</v>
      </c>
      <c r="Q26" s="12" t="n">
        <v>74.9220135718491</v>
      </c>
      <c r="R26" s="12" t="n">
        <v>87.1355680492909</v>
      </c>
      <c r="S26" s="12" t="n">
        <v>70.8020943506093</v>
      </c>
      <c r="T26" s="12" t="n">
        <v>75.9267303680768</v>
      </c>
      <c r="U26" s="12" t="n">
        <v>67.3623638043035</v>
      </c>
      <c r="V26" s="12" t="n">
        <v>73.3833112869651</v>
      </c>
      <c r="W26" s="12" t="n">
        <v>72</v>
      </c>
      <c r="X26" s="12" t="n">
        <v>224.501457455816</v>
      </c>
      <c r="Y26" s="9" t="n">
        <v>0</v>
      </c>
      <c r="Z26" s="8" t="s">
        <v>189</v>
      </c>
      <c r="AA26" s="13" t="n">
        <v>0</v>
      </c>
      <c r="AB26" s="8" t="s">
        <v>190</v>
      </c>
      <c r="AC26" s="8" t="s">
        <v>194</v>
      </c>
      <c r="AD26" s="14" t="n">
        <v>0.803030303030303</v>
      </c>
    </row>
    <row r="28" customFormat="false" ht="15" hidden="false" customHeight="false" outlineLevel="0" collapsed="false">
      <c r="A28" s="3" t="s">
        <v>199</v>
      </c>
    </row>
    <row r="29" customFormat="false" ht="15" hidden="false" customHeight="false" outlineLevel="0" collapsed="false">
      <c r="A29" s="8" t="s">
        <v>200</v>
      </c>
      <c r="B29" s="8"/>
      <c r="C29" s="8"/>
      <c r="D29" s="8"/>
      <c r="E29" s="15" t="n">
        <f aca="false">COUNTIF($K$13:$K$22,"&lt;"&amp;K17)</f>
        <v>3</v>
      </c>
    </row>
    <row r="30" customFormat="false" ht="15" hidden="false" customHeight="false" outlineLevel="0" collapsed="false">
      <c r="A30" s="8" t="s">
        <v>201</v>
      </c>
      <c r="B30" s="8"/>
      <c r="C30" s="8"/>
      <c r="D30" s="8"/>
      <c r="E30" s="15" t="n">
        <f aca="false">COUNTIF($M$13:$M$22,"&lt;"&amp;M17)</f>
        <v>2</v>
      </c>
    </row>
    <row r="31" customFormat="false" ht="15" hidden="false" customHeight="false" outlineLevel="0" collapsed="false">
      <c r="A31" s="8" t="s">
        <v>202</v>
      </c>
      <c r="B31" s="8"/>
      <c r="C31" s="8"/>
      <c r="D31" s="8"/>
      <c r="E31" s="15" t="n">
        <f aca="false">COUNTIF($E$13:$E$22,"&lt;"&amp;E17)</f>
        <v>4</v>
      </c>
    </row>
    <row r="32" customFormat="false" ht="15" hidden="false" customHeight="false" outlineLevel="0" collapsed="false">
      <c r="A32" s="8" t="s">
        <v>203</v>
      </c>
      <c r="B32" s="8"/>
      <c r="C32" s="8"/>
      <c r="D32" s="8"/>
      <c r="E32" s="15" t="n">
        <f aca="false">COUNTIF($G$13:$G$22,"&lt;"&amp;G17)</f>
        <v>5</v>
      </c>
    </row>
    <row r="33" customFormat="false" ht="15" hidden="false" customHeight="false" outlineLevel="0" collapsed="false">
      <c r="A33" s="8" t="s">
        <v>204</v>
      </c>
      <c r="B33" s="8"/>
      <c r="C33" s="8"/>
      <c r="D33" s="8"/>
      <c r="E33" s="16" t="n">
        <f aca="false">K17-MAX($K$13:$K$22)</f>
        <v>-38.938914730901</v>
      </c>
    </row>
    <row r="34" customFormat="false" ht="15" hidden="false" customHeight="false" outlineLevel="0" collapsed="false">
      <c r="A34" s="8" t="s">
        <v>205</v>
      </c>
      <c r="B34" s="8"/>
      <c r="C34" s="8"/>
      <c r="D34" s="8"/>
      <c r="E34" s="16" t="n">
        <f aca="false">MAX($K$13:$K$22)-MIN($K$13:$K$22)</f>
        <v>74.075101325492</v>
      </c>
    </row>
    <row r="35" customFormat="false" ht="15" hidden="false" customHeight="false" outlineLevel="0" collapsed="false">
      <c r="A35" s="17" t="s">
        <v>206</v>
      </c>
    </row>
  </sheetData>
  <mergeCells count="10">
    <mergeCell ref="A5:N5"/>
    <mergeCell ref="A6:N6"/>
    <mergeCell ref="A7:N7"/>
    <mergeCell ref="A8:N8"/>
    <mergeCell ref="A29:D29"/>
    <mergeCell ref="A30:D30"/>
    <mergeCell ref="A31:D31"/>
    <mergeCell ref="A32:D32"/>
    <mergeCell ref="A33:D33"/>
    <mergeCell ref="A34:D3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93F3B"/>
    <pageSetUpPr fitToPage="true"/>
  </sheetPr>
  <dimension ref="A1:AD1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6"/>
    <col collapsed="false" customWidth="true" hidden="false" outlineLevel="0" max="21" min="3" style="0" width="11"/>
    <col collapsed="false" customWidth="true" hidden="false" outlineLevel="0" max="22" min="22" style="0" width="24"/>
    <col collapsed="false" customWidth="true" hidden="false" outlineLevel="0" max="24" min="23" style="0" width="11"/>
  </cols>
  <sheetData>
    <row r="1" customFormat="false" ht="17.35" hidden="false" customHeight="false" outlineLevel="0" collapsed="false">
      <c r="A1" s="1" t="s">
        <v>207</v>
      </c>
    </row>
    <row r="2" customFormat="false" ht="15" hidden="false" customHeight="false" outlineLevel="0" collapsed="false">
      <c r="A2" s="2" t="s">
        <v>208</v>
      </c>
    </row>
    <row r="4" customFormat="false" ht="30" hidden="false" customHeight="true" outlineLevel="0" collapsed="false">
      <c r="A4" s="7" t="s">
        <v>157</v>
      </c>
      <c r="B4" s="7" t="s">
        <v>209</v>
      </c>
      <c r="C4" s="7" t="s">
        <v>210</v>
      </c>
      <c r="D4" s="7" t="s">
        <v>37</v>
      </c>
      <c r="E4" s="7" t="s">
        <v>42</v>
      </c>
      <c r="F4" s="7" t="s">
        <v>68</v>
      </c>
      <c r="G4" s="7" t="s">
        <v>211</v>
      </c>
      <c r="H4" s="7" t="s">
        <v>212</v>
      </c>
      <c r="I4" s="7" t="s">
        <v>213</v>
      </c>
      <c r="J4" s="7" t="s">
        <v>214</v>
      </c>
      <c r="K4" s="7" t="s">
        <v>215</v>
      </c>
      <c r="L4" s="7" t="s">
        <v>216</v>
      </c>
      <c r="M4" s="7" t="s">
        <v>73</v>
      </c>
      <c r="N4" s="7" t="s">
        <v>217</v>
      </c>
      <c r="O4" s="7" t="s">
        <v>218</v>
      </c>
      <c r="P4" s="7" t="s">
        <v>219</v>
      </c>
      <c r="Q4" s="7" t="s">
        <v>220</v>
      </c>
      <c r="R4" s="7" t="s">
        <v>221</v>
      </c>
      <c r="S4" s="7" t="s">
        <v>222</v>
      </c>
      <c r="T4" s="7" t="s">
        <v>223</v>
      </c>
      <c r="V4" s="18" t="s">
        <v>224</v>
      </c>
    </row>
    <row r="5" customFormat="false" ht="30" hidden="false" customHeight="true" outlineLevel="0" collapsed="false">
      <c r="A5" s="8" t="s">
        <v>36</v>
      </c>
      <c r="B5" s="13" t="n">
        <v>1</v>
      </c>
      <c r="C5" s="9" t="n">
        <v>200.289309312247</v>
      </c>
      <c r="D5" s="9" t="n">
        <v>140.286164312247</v>
      </c>
      <c r="E5" s="9" t="n">
        <v>40</v>
      </c>
      <c r="F5" s="9" t="n">
        <v>15.99968</v>
      </c>
      <c r="G5" s="9" t="n">
        <v>4.003465</v>
      </c>
      <c r="H5" s="9" t="n">
        <v>30.2158816626239</v>
      </c>
      <c r="I5" s="11" t="n">
        <f aca="false">IF(C5=0,0,H5/C5)</f>
        <v>0.150861180591112</v>
      </c>
      <c r="J5" s="9" t="n">
        <v>30</v>
      </c>
      <c r="K5" s="9" t="n">
        <v>0</v>
      </c>
      <c r="L5" s="9" t="n">
        <v>0</v>
      </c>
      <c r="M5" s="9" t="n">
        <v>60.2158816626239</v>
      </c>
      <c r="N5" s="9" t="n">
        <v>0</v>
      </c>
      <c r="O5" s="10" t="n">
        <v>100.691897902309</v>
      </c>
      <c r="P5" s="12" t="n">
        <v>72</v>
      </c>
      <c r="Q5" s="12" t="n">
        <v>62.8875</v>
      </c>
      <c r="R5" s="19" t="n">
        <v>0.429338103756708</v>
      </c>
      <c r="S5" s="8" t="s">
        <v>225</v>
      </c>
      <c r="T5" s="8" t="s">
        <v>189</v>
      </c>
      <c r="V5" s="7" t="s">
        <v>157</v>
      </c>
      <c r="W5" s="7" t="s">
        <v>226</v>
      </c>
      <c r="X5" s="7" t="s">
        <v>227</v>
      </c>
      <c r="Y5" s="7" t="s">
        <v>228</v>
      </c>
      <c r="Z5" s="7" t="s">
        <v>229</v>
      </c>
      <c r="AA5" s="7" t="s">
        <v>230</v>
      </c>
      <c r="AB5" s="7" t="s">
        <v>231</v>
      </c>
      <c r="AC5" s="7" t="s">
        <v>232</v>
      </c>
      <c r="AD5" s="7" t="s">
        <v>233</v>
      </c>
    </row>
    <row r="6" customFormat="false" ht="15" hidden="false" customHeight="false" outlineLevel="0" collapsed="false">
      <c r="A6" s="8" t="s">
        <v>36</v>
      </c>
      <c r="B6" s="13" t="n">
        <v>2</v>
      </c>
      <c r="C6" s="9" t="n">
        <v>199.526475318262</v>
      </c>
      <c r="D6" s="9" t="n">
        <v>139.228100057565</v>
      </c>
      <c r="E6" s="9" t="n">
        <v>40.0005452966385</v>
      </c>
      <c r="F6" s="9" t="n">
        <v>15.99879201792</v>
      </c>
      <c r="G6" s="9" t="n">
        <v>4.29903794613885</v>
      </c>
      <c r="H6" s="9" t="n">
        <v>29.6938485348192</v>
      </c>
      <c r="I6" s="11" t="n">
        <f aca="false">IF(C6=0,0,H6/C6)</f>
        <v>0.148821596168904</v>
      </c>
      <c r="J6" s="9" t="n">
        <v>30</v>
      </c>
      <c r="K6" s="9" t="n">
        <v>0</v>
      </c>
      <c r="L6" s="9" t="n">
        <v>0</v>
      </c>
      <c r="M6" s="9" t="n">
        <v>59.9097301974431</v>
      </c>
      <c r="N6" s="9" t="n">
        <v>0</v>
      </c>
      <c r="O6" s="10" t="n">
        <v>99.9413847755677</v>
      </c>
      <c r="P6" s="12" t="n">
        <v>72</v>
      </c>
      <c r="Q6" s="12" t="n">
        <v>67.8117464221825</v>
      </c>
      <c r="R6" s="19" t="n">
        <v>0.398161106659949</v>
      </c>
      <c r="S6" s="8" t="s">
        <v>225</v>
      </c>
      <c r="T6" s="8" t="s">
        <v>189</v>
      </c>
      <c r="V6" s="8" t="s">
        <v>36</v>
      </c>
      <c r="W6" s="9" t="n">
        <f aca="false">SUMIFS($C$5:$C$116,$A$5:$A$116,$V6,$B$5:$B$116,1)</f>
        <v>200.289309312247</v>
      </c>
      <c r="X6" s="9" t="n">
        <f aca="false">SUMIFS($C$5:$C$116,$A$5:$A$116,$V6,$B$5:$B$116,2)</f>
        <v>199.526475318262</v>
      </c>
      <c r="Y6" s="9" t="n">
        <f aca="false">SUMIFS($C$5:$C$116,$A$5:$A$116,$V6,$B$5:$B$116,3)</f>
        <v>199.728075015651</v>
      </c>
      <c r="Z6" s="9" t="n">
        <f aca="false">SUMIFS($C$5:$C$116,$A$5:$A$116,$V6,$B$5:$B$116,4)</f>
        <v>201.433579443434</v>
      </c>
      <c r="AA6" s="9" t="n">
        <f aca="false">SUMIFS($C$5:$C$116,$A$5:$A$116,$V6,$B$5:$B$116,5)</f>
        <v>205.03170128181</v>
      </c>
      <c r="AB6" s="9" t="n">
        <f aca="false">SUMIFS($C$5:$C$116,$A$5:$A$116,$V6,$B$5:$B$116,6)</f>
        <v>207.604800462537</v>
      </c>
      <c r="AC6" s="9" t="n">
        <f aca="false">SUMIFS($C$5:$C$116,$A$5:$A$116,$V6,$B$5:$B$116,7)</f>
        <v>207.608352175083</v>
      </c>
      <c r="AD6" s="9" t="n">
        <f aca="false">SUMIFS($C$5:$C$116,$A$5:$A$116,$V6,$B$5:$B$116,8)</f>
        <v>212.370707115408</v>
      </c>
    </row>
    <row r="7" customFormat="false" ht="15" hidden="false" customHeight="false" outlineLevel="0" collapsed="false">
      <c r="A7" s="8" t="s">
        <v>36</v>
      </c>
      <c r="B7" s="13" t="n">
        <v>3</v>
      </c>
      <c r="C7" s="9" t="n">
        <v>199.728075015651</v>
      </c>
      <c r="D7" s="9" t="n">
        <v>139.253726758795</v>
      </c>
      <c r="E7" s="9" t="n">
        <v>40.0047777161639</v>
      </c>
      <c r="F7" s="9" t="n">
        <v>15.9979454836694</v>
      </c>
      <c r="G7" s="9" t="n">
        <v>4.47162505702215</v>
      </c>
      <c r="H7" s="9" t="n">
        <v>28.9469409405123</v>
      </c>
      <c r="I7" s="11" t="n">
        <f aca="false">IF(C7=0,0,H7/C7)</f>
        <v>0.144931757532055</v>
      </c>
      <c r="J7" s="9" t="n">
        <v>30</v>
      </c>
      <c r="K7" s="9" t="n">
        <v>0</v>
      </c>
      <c r="L7" s="9" t="n">
        <v>0</v>
      </c>
      <c r="M7" s="9" t="n">
        <v>58.8566711379554</v>
      </c>
      <c r="N7" s="9" t="n">
        <v>0</v>
      </c>
      <c r="O7" s="10" t="n">
        <v>101.911840587598</v>
      </c>
      <c r="P7" s="12" t="n">
        <v>72</v>
      </c>
      <c r="Q7" s="12" t="n">
        <v>73.6364730877152</v>
      </c>
      <c r="R7" s="19" t="n">
        <v>0.366666121662804</v>
      </c>
      <c r="S7" s="8" t="s">
        <v>225</v>
      </c>
      <c r="T7" s="8" t="s">
        <v>189</v>
      </c>
      <c r="V7" s="8" t="s">
        <v>41</v>
      </c>
      <c r="W7" s="9" t="n">
        <f aca="false">SUMIFS($C$5:$C$116,$A$5:$A$116,$V7,$B$5:$B$116,1)</f>
        <v>200.076230736885</v>
      </c>
      <c r="X7" s="9" t="n">
        <f aca="false">SUMIFS($C$5:$C$116,$A$5:$A$116,$V7,$B$5:$B$116,2)</f>
        <v>198.701466848688</v>
      </c>
      <c r="Y7" s="9" t="n">
        <f aca="false">SUMIFS($C$5:$C$116,$A$5:$A$116,$V7,$B$5:$B$116,3)</f>
        <v>197.690153329005</v>
      </c>
      <c r="Z7" s="9" t="n">
        <f aca="false">SUMIFS($C$5:$C$116,$A$5:$A$116,$V7,$B$5:$B$116,4)</f>
        <v>197.127056999279</v>
      </c>
      <c r="AA7" s="9" t="n">
        <f aca="false">SUMIFS($C$5:$C$116,$A$5:$A$116,$V7,$B$5:$B$116,5)</f>
        <v>197.131437193337</v>
      </c>
      <c r="AB7" s="9" t="n">
        <f aca="false">SUMIFS($C$5:$C$116,$A$5:$A$116,$V7,$B$5:$B$116,6)</f>
        <v>198.039971433746</v>
      </c>
      <c r="AC7" s="9" t="n">
        <f aca="false">SUMIFS($C$5:$C$116,$A$5:$A$116,$V7,$B$5:$B$116,7)</f>
        <v>196.091533013658</v>
      </c>
      <c r="AD7" s="9" t="n">
        <f aca="false">SUMIFS($C$5:$C$116,$A$5:$A$116,$V7,$B$5:$B$116,8)</f>
        <v>197.524078527406</v>
      </c>
    </row>
    <row r="8" customFormat="false" ht="15" hidden="false" customHeight="false" outlineLevel="0" collapsed="false">
      <c r="A8" s="8" t="s">
        <v>36</v>
      </c>
      <c r="B8" s="13" t="n">
        <v>4</v>
      </c>
      <c r="C8" s="9" t="n">
        <v>201.433579443434</v>
      </c>
      <c r="D8" s="9" t="n">
        <v>140.772140366308</v>
      </c>
      <c r="E8" s="9" t="n">
        <v>40.02818676833</v>
      </c>
      <c r="F8" s="9" t="n">
        <v>15.9967360947163</v>
      </c>
      <c r="G8" s="9" t="n">
        <v>4.63651621408042</v>
      </c>
      <c r="H8" s="9" t="n">
        <v>29.5017105098974</v>
      </c>
      <c r="I8" s="11" t="n">
        <f aca="false">IF(C8=0,0,H8/C8)</f>
        <v>0.146458751273801</v>
      </c>
      <c r="J8" s="9" t="n">
        <v>30</v>
      </c>
      <c r="K8" s="9" t="n">
        <v>0</v>
      </c>
      <c r="L8" s="9" t="n">
        <v>0</v>
      </c>
      <c r="M8" s="9" t="n">
        <v>58.3583816478528</v>
      </c>
      <c r="N8" s="9" t="n">
        <v>0</v>
      </c>
      <c r="O8" s="10" t="n">
        <v>106.809559455902</v>
      </c>
      <c r="P8" s="12" t="n">
        <v>72</v>
      </c>
      <c r="Q8" s="12" t="n">
        <v>79.452458371267</v>
      </c>
      <c r="R8" s="19" t="n">
        <v>0.405788592995378</v>
      </c>
      <c r="S8" s="8" t="s">
        <v>225</v>
      </c>
      <c r="T8" s="8" t="s">
        <v>189</v>
      </c>
      <c r="V8" s="8" t="s">
        <v>46</v>
      </c>
      <c r="W8" s="9" t="n">
        <f aca="false">SUMIFS($C$5:$C$116,$A$5:$A$116,$V8,$B$5:$B$116,1)</f>
        <v>200.069933003538</v>
      </c>
      <c r="X8" s="9" t="n">
        <f aca="false">SUMIFS($C$5:$C$116,$A$5:$A$116,$V8,$B$5:$B$116,2)</f>
        <v>199.738569190855</v>
      </c>
      <c r="Y8" s="9" t="n">
        <f aca="false">SUMIFS($C$5:$C$116,$A$5:$A$116,$V8,$B$5:$B$116,3)</f>
        <v>202.030689125943</v>
      </c>
      <c r="Z8" s="9" t="n">
        <f aca="false">SUMIFS($C$5:$C$116,$A$5:$A$116,$V8,$B$5:$B$116,4)</f>
        <v>207.598781488884</v>
      </c>
      <c r="AA8" s="9" t="n">
        <f aca="false">SUMIFS($C$5:$C$116,$A$5:$A$116,$V8,$B$5:$B$116,5)</f>
        <v>215.296437049799</v>
      </c>
      <c r="AB8" s="9" t="n">
        <f aca="false">SUMIFS($C$5:$C$116,$A$5:$A$116,$V8,$B$5:$B$116,6)</f>
        <v>220.842666573292</v>
      </c>
      <c r="AC8" s="9" t="n">
        <f aca="false">SUMIFS($C$5:$C$116,$A$5:$A$116,$V8,$B$5:$B$116,7)</f>
        <v>224.977771557379</v>
      </c>
      <c r="AD8" s="9" t="n">
        <f aca="false">SUMIFS($C$5:$C$116,$A$5:$A$116,$V8,$B$5:$B$116,8)</f>
        <v>234.700094015825</v>
      </c>
    </row>
    <row r="9" customFormat="false" ht="15" hidden="false" customHeight="false" outlineLevel="0" collapsed="false">
      <c r="A9" s="8" t="s">
        <v>36</v>
      </c>
      <c r="B9" s="13" t="n">
        <v>5</v>
      </c>
      <c r="C9" s="9" t="n">
        <v>205.03170128181</v>
      </c>
      <c r="D9" s="9" t="n">
        <v>144.222092479621</v>
      </c>
      <c r="E9" s="9" t="n">
        <v>40.0525209244992</v>
      </c>
      <c r="F9" s="9" t="n">
        <v>15.9930128707279</v>
      </c>
      <c r="G9" s="9" t="n">
        <v>4.76407500696183</v>
      </c>
      <c r="H9" s="9" t="n">
        <v>31.4441732735111</v>
      </c>
      <c r="I9" s="11" t="n">
        <f aca="false">IF(C9=0,0,H9/C9)</f>
        <v>0.15336249505286</v>
      </c>
      <c r="J9" s="9" t="n">
        <v>30</v>
      </c>
      <c r="K9" s="9" t="n">
        <v>0</v>
      </c>
      <c r="L9" s="9" t="n">
        <v>0</v>
      </c>
      <c r="M9" s="9" t="n">
        <v>59.8025549213639</v>
      </c>
      <c r="N9" s="9" t="n">
        <v>0</v>
      </c>
      <c r="O9" s="10" t="n">
        <v>112.371776644173</v>
      </c>
      <c r="P9" s="12" t="n">
        <v>72</v>
      </c>
      <c r="Q9" s="12" t="n">
        <v>85.2881049412713</v>
      </c>
      <c r="R9" s="19" t="n">
        <v>0.366298457610384</v>
      </c>
      <c r="S9" s="8" t="s">
        <v>225</v>
      </c>
      <c r="T9" s="8" t="s">
        <v>189</v>
      </c>
      <c r="V9" s="8" t="s">
        <v>51</v>
      </c>
      <c r="W9" s="9" t="n">
        <f aca="false">SUMIFS($C$5:$C$116,$A$5:$A$116,$V9,$B$5:$B$116,1)</f>
        <v>200.148538819166</v>
      </c>
      <c r="X9" s="9" t="n">
        <f aca="false">SUMIFS($C$5:$C$116,$A$5:$A$116,$V9,$B$5:$B$116,2)</f>
        <v>199.168788268214</v>
      </c>
      <c r="Y9" s="9" t="n">
        <f aca="false">SUMIFS($C$5:$C$116,$A$5:$A$116,$V9,$B$5:$B$116,3)</f>
        <v>199.761847129601</v>
      </c>
      <c r="Z9" s="9" t="n">
        <f aca="false">SUMIFS($C$5:$C$116,$A$5:$A$116,$V9,$B$5:$B$116,4)</f>
        <v>202.690695979576</v>
      </c>
      <c r="AA9" s="9" t="n">
        <f aca="false">SUMIFS($C$5:$C$116,$A$5:$A$116,$V9,$B$5:$B$116,5)</f>
        <v>207.920767821049</v>
      </c>
      <c r="AB9" s="9" t="n">
        <f aca="false">SUMIFS($C$5:$C$116,$A$5:$A$116,$V9,$B$5:$B$116,6)</f>
        <v>211.856482258373</v>
      </c>
      <c r="AC9" s="9" t="n">
        <f aca="false">SUMIFS($C$5:$C$116,$A$5:$A$116,$V9,$B$5:$B$116,7)</f>
        <v>217.201485596577</v>
      </c>
      <c r="AD9" s="9" t="n">
        <f aca="false">SUMIFS($C$5:$C$116,$A$5:$A$116,$V9,$B$5:$B$116,8)</f>
        <v>226.219991539104</v>
      </c>
    </row>
    <row r="10" customFormat="false" ht="15" hidden="false" customHeight="false" outlineLevel="0" collapsed="false">
      <c r="A10" s="8" t="s">
        <v>36</v>
      </c>
      <c r="B10" s="13" t="n">
        <v>6</v>
      </c>
      <c r="C10" s="9" t="n">
        <v>207.604800462537</v>
      </c>
      <c r="D10" s="9" t="n">
        <v>147.01072181805</v>
      </c>
      <c r="E10" s="9" t="n">
        <v>39.8342994161736</v>
      </c>
      <c r="F10" s="9" t="n">
        <v>15.9738983495997</v>
      </c>
      <c r="G10" s="9" t="n">
        <v>4.78588087871414</v>
      </c>
      <c r="H10" s="9" t="n">
        <v>33.507525496114</v>
      </c>
      <c r="I10" s="11" t="n">
        <f aca="false">IF(C10=0,0,H10/C10)</f>
        <v>0.161400533231699</v>
      </c>
      <c r="J10" s="9" t="n">
        <v>30</v>
      </c>
      <c r="K10" s="9" t="n">
        <v>0</v>
      </c>
      <c r="L10" s="9" t="n">
        <v>0</v>
      </c>
      <c r="M10" s="9" t="n">
        <v>63.3100804174779</v>
      </c>
      <c r="N10" s="9" t="n">
        <v>0</v>
      </c>
      <c r="O10" s="10" t="n">
        <v>113.450714764564</v>
      </c>
      <c r="P10" s="12" t="n">
        <v>72</v>
      </c>
      <c r="Q10" s="12" t="n">
        <v>91.1667501444423</v>
      </c>
      <c r="R10" s="19" t="n">
        <v>0.33230808755184</v>
      </c>
      <c r="S10" s="8" t="s">
        <v>225</v>
      </c>
      <c r="T10" s="8" t="s">
        <v>189</v>
      </c>
      <c r="V10" s="8" t="s">
        <v>55</v>
      </c>
      <c r="W10" s="9" t="n">
        <f aca="false">SUMIFS($C$5:$C$116,$A$5:$A$116,$V10,$B$5:$B$116,1)</f>
        <v>200.270869988366</v>
      </c>
      <c r="X10" s="9" t="n">
        <f aca="false">SUMIFS($C$5:$C$116,$A$5:$A$116,$V10,$B$5:$B$116,2)</f>
        <v>199.343454632818</v>
      </c>
      <c r="Y10" s="9" t="n">
        <f aca="false">SUMIFS($C$5:$C$116,$A$5:$A$116,$V10,$B$5:$B$116,3)</f>
        <v>199.233235738744</v>
      </c>
      <c r="Z10" s="9" t="n">
        <f aca="false">SUMIFS($C$5:$C$116,$A$5:$A$116,$V10,$B$5:$B$116,4)</f>
        <v>200.499987828783</v>
      </c>
      <c r="AA10" s="9" t="n">
        <f aca="false">SUMIFS($C$5:$C$116,$A$5:$A$116,$V10,$B$5:$B$116,5)</f>
        <v>203.005581489307</v>
      </c>
      <c r="AB10" s="9" t="n">
        <f aca="false">SUMIFS($C$5:$C$116,$A$5:$A$116,$V10,$B$5:$B$116,6)</f>
        <v>203.932915760741</v>
      </c>
      <c r="AC10" s="9" t="n">
        <f aca="false">SUMIFS($C$5:$C$116,$A$5:$A$116,$V10,$B$5:$B$116,7)</f>
        <v>201.648534096313</v>
      </c>
      <c r="AD10" s="9" t="n">
        <f aca="false">SUMIFS($C$5:$C$116,$A$5:$A$116,$V10,$B$5:$B$116,8)</f>
        <v>203.893159816572</v>
      </c>
    </row>
    <row r="11" customFormat="false" ht="15" hidden="false" customHeight="false" outlineLevel="0" collapsed="false">
      <c r="A11" s="8" t="s">
        <v>36</v>
      </c>
      <c r="B11" s="13" t="n">
        <v>7</v>
      </c>
      <c r="C11" s="9" t="n">
        <v>207.608352175083</v>
      </c>
      <c r="D11" s="9" t="n">
        <v>147.108963529238</v>
      </c>
      <c r="E11" s="9" t="n">
        <v>39.6826186138225</v>
      </c>
      <c r="F11" s="9" t="n">
        <v>15.9419631711565</v>
      </c>
      <c r="G11" s="9" t="n">
        <v>4.8748068608657</v>
      </c>
      <c r="H11" s="9" t="n">
        <v>32.1125789864383</v>
      </c>
      <c r="I11" s="11" t="n">
        <f aca="false">IF(C11=0,0,H11/C11)</f>
        <v>0.154678646836697</v>
      </c>
      <c r="J11" s="9" t="n">
        <v>30</v>
      </c>
      <c r="K11" s="9" t="n">
        <v>12.0559380229593</v>
      </c>
      <c r="L11" s="9" t="n">
        <v>0</v>
      </c>
      <c r="M11" s="9" t="n">
        <v>53.3667213809569</v>
      </c>
      <c r="N11" s="9" t="n">
        <v>0</v>
      </c>
      <c r="O11" s="10" t="n">
        <v>108.284637298749</v>
      </c>
      <c r="P11" s="12" t="n">
        <v>72</v>
      </c>
      <c r="Q11" s="12" t="n">
        <v>97.0867655500487</v>
      </c>
      <c r="R11" s="19" t="n">
        <v>0.319302016339388</v>
      </c>
      <c r="S11" s="8" t="s">
        <v>225</v>
      </c>
      <c r="T11" s="8" t="s">
        <v>189</v>
      </c>
      <c r="V11" s="8" t="s">
        <v>59</v>
      </c>
      <c r="W11" s="9" t="n">
        <f aca="false">SUMIFS($C$5:$C$116,$A$5:$A$116,$V11,$B$5:$B$116,1)</f>
        <v>200.020835423408</v>
      </c>
      <c r="X11" s="9" t="n">
        <f aca="false">SUMIFS($C$5:$C$116,$A$5:$A$116,$V11,$B$5:$B$116,2)</f>
        <v>198.386345375576</v>
      </c>
      <c r="Y11" s="9" t="n">
        <f aca="false">SUMIFS($C$5:$C$116,$A$5:$A$116,$V11,$B$5:$B$116,3)</f>
        <v>196.892971585518</v>
      </c>
      <c r="Z11" s="9" t="n">
        <f aca="false">SUMIFS($C$5:$C$116,$A$5:$A$116,$V11,$B$5:$B$116,4)</f>
        <v>195.633052540802</v>
      </c>
      <c r="AA11" s="9" t="n">
        <f aca="false">SUMIFS($C$5:$C$116,$A$5:$A$116,$V11,$B$5:$B$116,5)</f>
        <v>194.780298515396</v>
      </c>
      <c r="AB11" s="9" t="n">
        <f aca="false">SUMIFS($C$5:$C$116,$A$5:$A$116,$V11,$B$5:$B$116,6)</f>
        <v>194.933567066531</v>
      </c>
      <c r="AC11" s="9" t="n">
        <f aca="false">SUMIFS($C$5:$C$116,$A$5:$A$116,$V11,$B$5:$B$116,7)</f>
        <v>192.3364909727</v>
      </c>
      <c r="AD11" s="9" t="n">
        <f aca="false">SUMIFS($C$5:$C$116,$A$5:$A$116,$V11,$B$5:$B$116,8)</f>
        <v>193.278429750093</v>
      </c>
    </row>
    <row r="12" customFormat="false" ht="15" hidden="false" customHeight="false" outlineLevel="0" collapsed="false">
      <c r="A12" s="8" t="s">
        <v>36</v>
      </c>
      <c r="B12" s="13" t="n">
        <v>8</v>
      </c>
      <c r="C12" s="9" t="n">
        <v>212.370707115408</v>
      </c>
      <c r="D12" s="9" t="n">
        <v>151.884958032545</v>
      </c>
      <c r="E12" s="9" t="n">
        <v>39.5421810417664</v>
      </c>
      <c r="F12" s="9" t="n">
        <v>15.9058606326434</v>
      </c>
      <c r="G12" s="9" t="n">
        <v>5.03770740845352</v>
      </c>
      <c r="H12" s="9" t="n">
        <v>34.5301885337631</v>
      </c>
      <c r="I12" s="11" t="n">
        <f aca="false">IF(C12=0,0,H12/C12)</f>
        <v>0.162593933046512</v>
      </c>
      <c r="J12" s="9" t="n">
        <v>41.25</v>
      </c>
      <c r="K12" s="9" t="n">
        <v>0</v>
      </c>
      <c r="L12" s="9" t="n">
        <v>0</v>
      </c>
      <c r="M12" s="9" t="n">
        <v>46.64690991472</v>
      </c>
      <c r="N12" s="9" t="n">
        <v>0</v>
      </c>
      <c r="O12" s="10" t="n">
        <v>116.216235692558</v>
      </c>
      <c r="P12" s="12" t="n">
        <v>72</v>
      </c>
      <c r="Q12" s="12" t="n">
        <v>100</v>
      </c>
      <c r="R12" s="19" t="n">
        <v>0.32</v>
      </c>
      <c r="S12" s="8" t="s">
        <v>225</v>
      </c>
      <c r="T12" s="8" t="s">
        <v>189</v>
      </c>
      <c r="V12" s="8" t="s">
        <v>63</v>
      </c>
      <c r="W12" s="9" t="n">
        <f aca="false">SUMIFS($C$5:$C$116,$A$5:$A$116,$V12,$B$5:$B$116,1)</f>
        <v>200.017710375638</v>
      </c>
      <c r="X12" s="9" t="n">
        <f aca="false">SUMIFS($C$5:$C$116,$A$5:$A$116,$V12,$B$5:$B$116,2)</f>
        <v>199.649513811613</v>
      </c>
      <c r="Y12" s="9" t="n">
        <f aca="false">SUMIFS($C$5:$C$116,$A$5:$A$116,$V12,$B$5:$B$116,3)</f>
        <v>201.463750127718</v>
      </c>
      <c r="Z12" s="9" t="n">
        <f aca="false">SUMIFS($C$5:$C$116,$A$5:$A$116,$V12,$B$5:$B$116,4)</f>
        <v>205.481216192181</v>
      </c>
      <c r="AA12" s="9" t="n">
        <f aca="false">SUMIFS($C$5:$C$116,$A$5:$A$116,$V12,$B$5:$B$116,5)</f>
        <v>210.862124053943</v>
      </c>
      <c r="AB12" s="9" t="n">
        <f aca="false">SUMIFS($C$5:$C$116,$A$5:$A$116,$V12,$B$5:$B$116,6)</f>
        <v>213.473002817268</v>
      </c>
      <c r="AC12" s="9" t="n">
        <f aca="false">SUMIFS($C$5:$C$116,$A$5:$A$116,$V12,$B$5:$B$116,7)</f>
        <v>214.956436703371</v>
      </c>
      <c r="AD12" s="9" t="n">
        <f aca="false">SUMIFS($C$5:$C$116,$A$5:$A$116,$V12,$B$5:$B$116,8)</f>
        <v>220.943888387599</v>
      </c>
    </row>
    <row r="13" customFormat="false" ht="15" hidden="false" customHeight="false" outlineLevel="0" collapsed="false">
      <c r="A13" s="8" t="s">
        <v>41</v>
      </c>
      <c r="B13" s="13" t="n">
        <v>1</v>
      </c>
      <c r="C13" s="9" t="n">
        <v>200.076230736885</v>
      </c>
      <c r="D13" s="9" t="n">
        <v>140.039076570219</v>
      </c>
      <c r="E13" s="9" t="n">
        <v>40.0339791666667</v>
      </c>
      <c r="F13" s="9" t="n">
        <v>15.99968</v>
      </c>
      <c r="G13" s="9" t="n">
        <v>4.003495</v>
      </c>
      <c r="H13" s="9" t="n">
        <v>30.0590101281462</v>
      </c>
      <c r="I13" s="11" t="n">
        <f aca="false">IF(C13=0,0,H13/C13)</f>
        <v>0.150237786954693</v>
      </c>
      <c r="J13" s="9" t="n">
        <v>30</v>
      </c>
      <c r="K13" s="9" t="n">
        <v>0</v>
      </c>
      <c r="L13" s="9" t="n">
        <v>0</v>
      </c>
      <c r="M13" s="9" t="n">
        <v>60.0590101281462</v>
      </c>
      <c r="N13" s="9" t="n">
        <v>0</v>
      </c>
      <c r="O13" s="10" t="n">
        <v>100.196206063313</v>
      </c>
      <c r="P13" s="12" t="n">
        <v>72</v>
      </c>
      <c r="Q13" s="12" t="n">
        <v>62.9125</v>
      </c>
      <c r="R13" s="19" t="n">
        <v>0.397377309755613</v>
      </c>
      <c r="S13" s="8" t="s">
        <v>225</v>
      </c>
      <c r="T13" s="8" t="s">
        <v>189</v>
      </c>
      <c r="V13" s="8" t="s">
        <v>67</v>
      </c>
      <c r="W13" s="9" t="n">
        <f aca="false">SUMIFS($C$5:$C$116,$A$5:$A$116,$V13,$B$5:$B$116,1)</f>
        <v>200.06279095104</v>
      </c>
      <c r="X13" s="9" t="n">
        <f aca="false">SUMIFS($C$5:$C$116,$A$5:$A$116,$V13,$B$5:$B$116,2)</f>
        <v>198.658200590388</v>
      </c>
      <c r="Y13" s="9" t="n">
        <f aca="false">SUMIFS($C$5:$C$116,$A$5:$A$116,$V13,$B$5:$B$116,3)</f>
        <v>197.699582038245</v>
      </c>
      <c r="Z13" s="9" t="n">
        <f aca="false">SUMIFS($C$5:$C$116,$A$5:$A$116,$V13,$B$5:$B$116,4)</f>
        <v>197.413592175692</v>
      </c>
      <c r="AA13" s="9" t="n">
        <f aca="false">SUMIFS($C$5:$C$116,$A$5:$A$116,$V13,$B$5:$B$116,5)</f>
        <v>197.979511712292</v>
      </c>
      <c r="AB13" s="9" t="n">
        <f aca="false">SUMIFS($C$5:$C$116,$A$5:$A$116,$V13,$B$5:$B$116,6)</f>
        <v>197.077384378033</v>
      </c>
      <c r="AC13" s="9" t="n">
        <f aca="false">SUMIFS($C$5:$C$116,$A$5:$A$116,$V13,$B$5:$B$116,7)</f>
        <v>195.912667383286</v>
      </c>
      <c r="AD13" s="9" t="n">
        <f aca="false">SUMIFS($C$5:$C$116,$A$5:$A$116,$V13,$B$5:$B$116,8)</f>
        <v>198.164187821147</v>
      </c>
    </row>
    <row r="14" customFormat="false" ht="15" hidden="false" customHeight="false" outlineLevel="0" collapsed="false">
      <c r="A14" s="8" t="s">
        <v>41</v>
      </c>
      <c r="B14" s="13" t="n">
        <v>2</v>
      </c>
      <c r="C14" s="9" t="n">
        <v>198.701466848688</v>
      </c>
      <c r="D14" s="9" t="n">
        <v>138.239387216093</v>
      </c>
      <c r="E14" s="9" t="n">
        <v>40.1640872147686</v>
      </c>
      <c r="F14" s="9" t="n">
        <v>15.99879201792</v>
      </c>
      <c r="G14" s="9" t="n">
        <v>4.29920039990709</v>
      </c>
      <c r="H14" s="9" t="n">
        <v>28.2981526830604</v>
      </c>
      <c r="I14" s="11" t="n">
        <f aca="false">IF(C14=0,0,H14/C14)</f>
        <v>0.142415419130295</v>
      </c>
      <c r="J14" s="9" t="n">
        <v>30</v>
      </c>
      <c r="K14" s="9" t="n">
        <v>0</v>
      </c>
      <c r="L14" s="9" t="n">
        <v>0</v>
      </c>
      <c r="M14" s="9" t="n">
        <v>58.3571628112066</v>
      </c>
      <c r="N14" s="9" t="n">
        <v>0</v>
      </c>
      <c r="O14" s="10" t="n">
        <v>97.5656559467772</v>
      </c>
      <c r="P14" s="12" t="n">
        <v>72</v>
      </c>
      <c r="Q14" s="12" t="n">
        <v>67.8782170176833</v>
      </c>
      <c r="R14" s="19" t="n">
        <v>0.368306668890362</v>
      </c>
      <c r="S14" s="8" t="s">
        <v>225</v>
      </c>
      <c r="T14" s="8" t="s">
        <v>189</v>
      </c>
      <c r="V14" s="8" t="s">
        <v>72</v>
      </c>
      <c r="W14" s="9" t="n">
        <f aca="false">SUMIFS($C$5:$C$116,$A$5:$A$116,$V14,$B$5:$B$116,1)</f>
        <v>200.054736890248</v>
      </c>
      <c r="X14" s="9" t="n">
        <f aca="false">SUMIFS($C$5:$C$116,$A$5:$A$116,$V14,$B$5:$B$116,2)</f>
        <v>198.494664086773</v>
      </c>
      <c r="Y14" s="9" t="n">
        <f aca="false">SUMIFS($C$5:$C$116,$A$5:$A$116,$V14,$B$5:$B$116,3)</f>
        <v>197.269715432457</v>
      </c>
      <c r="Z14" s="9" t="n">
        <f aca="false">SUMIFS($C$5:$C$116,$A$5:$A$116,$V14,$B$5:$B$116,4)</f>
        <v>196.611177136829</v>
      </c>
      <c r="AA14" s="9" t="n">
        <f aca="false">SUMIFS($C$5:$C$116,$A$5:$A$116,$V14,$B$5:$B$116,5)</f>
        <v>196.718662265089</v>
      </c>
      <c r="AB14" s="9" t="n">
        <f aca="false">SUMIFS($C$5:$C$116,$A$5:$A$116,$V14,$B$5:$B$116,6)</f>
        <v>195.064015769484</v>
      </c>
      <c r="AC14" s="9" t="n">
        <f aca="false">SUMIFS($C$5:$C$116,$A$5:$A$116,$V14,$B$5:$B$116,7)</f>
        <v>194.181323518282</v>
      </c>
      <c r="AD14" s="9" t="n">
        <f aca="false">SUMIFS($C$5:$C$116,$A$5:$A$116,$V14,$B$5:$B$116,8)</f>
        <v>196.351794110749</v>
      </c>
    </row>
    <row r="15" customFormat="false" ht="15" hidden="false" customHeight="false" outlineLevel="0" collapsed="false">
      <c r="A15" s="8" t="s">
        <v>41</v>
      </c>
      <c r="B15" s="13" t="n">
        <v>3</v>
      </c>
      <c r="C15" s="9" t="n">
        <v>197.690153329005</v>
      </c>
      <c r="D15" s="9" t="n">
        <v>136.770970922281</v>
      </c>
      <c r="E15" s="9" t="n">
        <v>40.4492698677827</v>
      </c>
      <c r="F15" s="9" t="n">
        <v>15.9979454836694</v>
      </c>
      <c r="G15" s="9" t="n">
        <v>4.4719670552715</v>
      </c>
      <c r="H15" s="9" t="n">
        <v>25.8526160396824</v>
      </c>
      <c r="I15" s="11" t="n">
        <f aca="false">IF(C15=0,0,H15/C15)</f>
        <v>0.13077341286016</v>
      </c>
      <c r="J15" s="9" t="n">
        <v>30</v>
      </c>
      <c r="K15" s="9" t="n">
        <v>0</v>
      </c>
      <c r="L15" s="9" t="n">
        <v>0</v>
      </c>
      <c r="M15" s="9" t="n">
        <v>54.209778850889</v>
      </c>
      <c r="N15" s="9" t="n">
        <v>0</v>
      </c>
      <c r="O15" s="10" t="n">
        <v>96.937105795502</v>
      </c>
      <c r="P15" s="12" t="n">
        <v>72</v>
      </c>
      <c r="Q15" s="12" t="n">
        <v>73.7496139283938</v>
      </c>
      <c r="R15" s="19" t="n">
        <v>0.338984825388692</v>
      </c>
      <c r="S15" s="8" t="s">
        <v>225</v>
      </c>
      <c r="T15" s="8" t="s">
        <v>189</v>
      </c>
      <c r="V15" s="8" t="s">
        <v>77</v>
      </c>
      <c r="W15" s="9" t="n">
        <f aca="false">SUMIFS($C$5:$C$116,$A$5:$A$116,$V15,$B$5:$B$116,1)</f>
        <v>200.098553042328</v>
      </c>
      <c r="X15" s="9" t="n">
        <f aca="false">SUMIFS($C$5:$C$116,$A$5:$A$116,$V15,$B$5:$B$116,2)</f>
        <v>198.932692469571</v>
      </c>
      <c r="Y15" s="9" t="n">
        <f aca="false">SUMIFS($C$5:$C$116,$A$5:$A$116,$V15,$B$5:$B$116,3)</f>
        <v>198.956282157462</v>
      </c>
      <c r="Z15" s="9" t="n">
        <f aca="false">SUMIFS($C$5:$C$116,$A$5:$A$116,$V15,$B$5:$B$116,4)</f>
        <v>201.051569845675</v>
      </c>
      <c r="AA15" s="9" t="n">
        <f aca="false">SUMIFS($C$5:$C$116,$A$5:$A$116,$V15,$B$5:$B$116,5)</f>
        <v>205.305291663449</v>
      </c>
      <c r="AB15" s="9" t="n">
        <f aca="false">SUMIFS($C$5:$C$116,$A$5:$A$116,$V15,$B$5:$B$116,6)</f>
        <v>211.759322169054</v>
      </c>
      <c r="AC15" s="9" t="n">
        <f aca="false">SUMIFS($C$5:$C$116,$A$5:$A$116,$V15,$B$5:$B$116,7)</f>
        <v>221.271908451957</v>
      </c>
      <c r="AD15" s="9" t="n">
        <f aca="false">SUMIFS($C$5:$C$116,$A$5:$A$116,$V15,$B$5:$B$116,8)</f>
        <v>233.349231609353</v>
      </c>
    </row>
    <row r="16" customFormat="false" ht="15" hidden="false" customHeight="false" outlineLevel="0" collapsed="false">
      <c r="A16" s="8" t="s">
        <v>41</v>
      </c>
      <c r="B16" s="13" t="n">
        <v>4</v>
      </c>
      <c r="C16" s="9" t="n">
        <v>197.127056999279</v>
      </c>
      <c r="D16" s="9" t="n">
        <v>135.524555525039</v>
      </c>
      <c r="E16" s="9" t="n">
        <v>40.9688352987213</v>
      </c>
      <c r="F16" s="9" t="n">
        <v>15.9967360947163</v>
      </c>
      <c r="G16" s="9" t="n">
        <v>4.63693008080221</v>
      </c>
      <c r="H16" s="9" t="n">
        <v>23.9004448019577</v>
      </c>
      <c r="I16" s="11" t="n">
        <f aca="false">IF(C16=0,0,H16/C16)</f>
        <v>0.121243857468258</v>
      </c>
      <c r="J16" s="9" t="n">
        <v>30</v>
      </c>
      <c r="K16" s="9" t="n">
        <v>0</v>
      </c>
      <c r="L16" s="9" t="n">
        <v>0</v>
      </c>
      <c r="M16" s="9" t="n">
        <v>48.1102236528467</v>
      </c>
      <c r="N16" s="9" t="n">
        <v>0</v>
      </c>
      <c r="O16" s="10" t="n">
        <v>95.2932690742153</v>
      </c>
      <c r="P16" s="12" t="n">
        <v>72</v>
      </c>
      <c r="Q16" s="12" t="n">
        <v>79.5810802268113</v>
      </c>
      <c r="R16" s="19" t="n">
        <v>0.414878799882121</v>
      </c>
      <c r="S16" s="8" t="s">
        <v>225</v>
      </c>
      <c r="T16" s="8" t="s">
        <v>189</v>
      </c>
      <c r="V16" s="8" t="s">
        <v>82</v>
      </c>
      <c r="W16" s="9" t="n">
        <f aca="false">SUMIFS($C$5:$C$116,$A$5:$A$116,$V16,$B$5:$B$116,1)</f>
        <v>199.995816670354</v>
      </c>
      <c r="X16" s="9" t="n">
        <f aca="false">SUMIFS($C$5:$C$116,$A$5:$A$116,$V16,$B$5:$B$116,2)</f>
        <v>198.287194283214</v>
      </c>
      <c r="Y16" s="9" t="n">
        <f aca="false">SUMIFS($C$5:$C$116,$A$5:$A$116,$V16,$B$5:$B$116,3)</f>
        <v>196.755925274112</v>
      </c>
      <c r="Z16" s="9" t="n">
        <f aca="false">SUMIFS($C$5:$C$116,$A$5:$A$116,$V16,$B$5:$B$116,4)</f>
        <v>195.640700237777</v>
      </c>
      <c r="AA16" s="9" t="n">
        <f aca="false">SUMIFS($C$5:$C$116,$A$5:$A$116,$V16,$B$5:$B$116,5)</f>
        <v>195.156351615399</v>
      </c>
      <c r="AB16" s="9" t="n">
        <f aca="false">SUMIFS($C$5:$C$116,$A$5:$A$116,$V16,$B$5:$B$116,6)</f>
        <v>193.047547880635</v>
      </c>
      <c r="AC16" s="9" t="n">
        <f aca="false">SUMIFS($C$5:$C$116,$A$5:$A$116,$V16,$B$5:$B$116,7)</f>
        <v>190.268117104678</v>
      </c>
      <c r="AD16" s="9" t="n">
        <f aca="false">SUMIFS($C$5:$C$116,$A$5:$A$116,$V16,$B$5:$B$116,8)</f>
        <v>190.773505347924</v>
      </c>
    </row>
    <row r="17" customFormat="false" ht="15" hidden="false" customHeight="false" outlineLevel="0" collapsed="false">
      <c r="A17" s="8" t="s">
        <v>41</v>
      </c>
      <c r="B17" s="13" t="n">
        <v>5</v>
      </c>
      <c r="C17" s="9" t="n">
        <v>197.131437193337</v>
      </c>
      <c r="D17" s="9" t="n">
        <v>134.535983166128</v>
      </c>
      <c r="E17" s="9" t="n">
        <v>41.8380881396993</v>
      </c>
      <c r="F17" s="9" t="n">
        <v>15.9930128707279</v>
      </c>
      <c r="G17" s="9" t="n">
        <v>4.76435301678272</v>
      </c>
      <c r="H17" s="9" t="n">
        <v>22.3708522220838</v>
      </c>
      <c r="I17" s="11" t="n">
        <f aca="false">IF(C17=0,0,H17/C17)</f>
        <v>0.113481911056852</v>
      </c>
      <c r="J17" s="9" t="n">
        <v>30</v>
      </c>
      <c r="K17" s="9" t="n">
        <v>9.64070949149458</v>
      </c>
      <c r="L17" s="9" t="n">
        <v>0</v>
      </c>
      <c r="M17" s="9" t="n">
        <v>30.8403663834359</v>
      </c>
      <c r="N17" s="9" t="n">
        <v>0</v>
      </c>
      <c r="O17" s="10" t="n">
        <v>89.1764403200869</v>
      </c>
      <c r="P17" s="12" t="n">
        <v>72</v>
      </c>
      <c r="Q17" s="12" t="n">
        <v>85.3498774550182</v>
      </c>
      <c r="R17" s="19" t="n">
        <v>0.451659170031819</v>
      </c>
      <c r="S17" s="8" t="s">
        <v>234</v>
      </c>
      <c r="T17" s="8" t="s">
        <v>189</v>
      </c>
      <c r="V17" s="8" t="s">
        <v>86</v>
      </c>
      <c r="W17" s="9" t="n">
        <f aca="false">SUMIFS($C$5:$C$116,$A$5:$A$116,$V17,$B$5:$B$116,1)</f>
        <v>200.175831531423</v>
      </c>
      <c r="X17" s="9" t="n">
        <f aca="false">SUMIFS($C$5:$C$116,$A$5:$A$116,$V17,$B$5:$B$116,2)</f>
        <v>199.553806776193</v>
      </c>
      <c r="Y17" s="9" t="n">
        <f aca="false">SUMIFS($C$5:$C$116,$A$5:$A$116,$V17,$B$5:$B$116,3)</f>
        <v>201.118203074436</v>
      </c>
      <c r="Z17" s="9" t="n">
        <f aca="false">SUMIFS($C$5:$C$116,$A$5:$A$116,$V17,$B$5:$B$116,4)</f>
        <v>206.094791121562</v>
      </c>
      <c r="AA17" s="9" t="n">
        <f aca="false">SUMIFS($C$5:$C$116,$A$5:$A$116,$V17,$B$5:$B$116,5)</f>
        <v>214.110444753759</v>
      </c>
      <c r="AB17" s="9" t="n">
        <f aca="false">SUMIFS($C$5:$C$116,$A$5:$A$116,$V17,$B$5:$B$116,6)</f>
        <v>221.42377883105</v>
      </c>
      <c r="AC17" s="9" t="n">
        <f aca="false">SUMIFS($C$5:$C$116,$A$5:$A$116,$V17,$B$5:$B$116,7)</f>
        <v>228.925706353771</v>
      </c>
      <c r="AD17" s="9" t="n">
        <f aca="false">SUMIFS($C$5:$C$116,$A$5:$A$116,$V17,$B$5:$B$116,8)</f>
        <v>241.530319216222</v>
      </c>
    </row>
    <row r="18" customFormat="false" ht="15" hidden="false" customHeight="false" outlineLevel="0" collapsed="false">
      <c r="A18" s="8" t="s">
        <v>41</v>
      </c>
      <c r="B18" s="13" t="n">
        <v>6</v>
      </c>
      <c r="C18" s="9" t="n">
        <v>198.039971433746</v>
      </c>
      <c r="D18" s="9" t="n">
        <v>131.453509392216</v>
      </c>
      <c r="E18" s="9" t="n">
        <v>45.8443518981531</v>
      </c>
      <c r="F18" s="9" t="n">
        <v>15.9738983495997</v>
      </c>
      <c r="G18" s="9" t="n">
        <v>4.76821179377688</v>
      </c>
      <c r="H18" s="9" t="n">
        <v>24.8455540364675</v>
      </c>
      <c r="I18" s="11" t="n">
        <f aca="false">IF(C18=0,0,H18/C18)</f>
        <v>0.125457269341102</v>
      </c>
      <c r="J18" s="9" t="n">
        <v>20</v>
      </c>
      <c r="K18" s="9" t="n">
        <v>6.49421879683272</v>
      </c>
      <c r="L18" s="9" t="n">
        <v>0</v>
      </c>
      <c r="M18" s="9" t="n">
        <v>29.1917016230707</v>
      </c>
      <c r="N18" s="9" t="n">
        <v>0</v>
      </c>
      <c r="O18" s="10" t="n">
        <v>88.9030041213465</v>
      </c>
      <c r="P18" s="12" t="n">
        <v>65</v>
      </c>
      <c r="Q18" s="12" t="n">
        <v>82.2198387482</v>
      </c>
      <c r="R18" s="19" t="n">
        <v>0.372769580678871</v>
      </c>
      <c r="S18" s="8" t="s">
        <v>234</v>
      </c>
      <c r="T18" s="8" t="s">
        <v>189</v>
      </c>
      <c r="V18" s="8" t="s">
        <v>89</v>
      </c>
      <c r="W18" s="9" t="n">
        <f aca="false">SUMIFS($C$5:$C$116,$A$5:$A$116,$V18,$B$5:$B$116,1)</f>
        <v>200.007493856797</v>
      </c>
      <c r="X18" s="9" t="n">
        <f aca="false">SUMIFS($C$5:$C$116,$A$5:$A$116,$V18,$B$5:$B$116,2)</f>
        <v>198.904521036622</v>
      </c>
      <c r="Y18" s="9" t="n">
        <f aca="false">SUMIFS($C$5:$C$116,$A$5:$A$116,$V18,$B$5:$B$116,3)</f>
        <v>199.3545132694</v>
      </c>
      <c r="Z18" s="9" t="n">
        <f aca="false">SUMIFS($C$5:$C$116,$A$5:$A$116,$V18,$B$5:$B$116,4)</f>
        <v>201.915978410429</v>
      </c>
      <c r="AA18" s="9" t="n">
        <f aca="false">SUMIFS($C$5:$C$116,$A$5:$A$116,$V18,$B$5:$B$116,5)</f>
        <v>206.053834728215</v>
      </c>
      <c r="AB18" s="9" t="n">
        <f aca="false">SUMIFS($C$5:$C$116,$A$5:$A$116,$V18,$B$5:$B$116,6)</f>
        <v>211.552004125527</v>
      </c>
      <c r="AC18" s="9" t="n">
        <f aca="false">SUMIFS($C$5:$C$116,$A$5:$A$116,$V18,$B$5:$B$116,7)</f>
        <v>219.657842157548</v>
      </c>
      <c r="AD18" s="9" t="n">
        <f aca="false">SUMIFS($C$5:$C$116,$A$5:$A$116,$V18,$B$5:$B$116,8)</f>
        <v>229.379120444057</v>
      </c>
    </row>
    <row r="19" customFormat="false" ht="15" hidden="false" customHeight="false" outlineLevel="0" collapsed="false">
      <c r="A19" s="8" t="s">
        <v>41</v>
      </c>
      <c r="B19" s="13" t="n">
        <v>7</v>
      </c>
      <c r="C19" s="9" t="n">
        <v>196.091533013658</v>
      </c>
      <c r="D19" s="9" t="n">
        <v>128.602974547202</v>
      </c>
      <c r="E19" s="9" t="n">
        <v>46.7333115365693</v>
      </c>
      <c r="F19" s="9" t="n">
        <v>15.9363404089243</v>
      </c>
      <c r="G19" s="9" t="n">
        <v>4.81890652096276</v>
      </c>
      <c r="H19" s="9" t="n">
        <v>21.1998054658733</v>
      </c>
      <c r="I19" s="11" t="n">
        <f aca="false">IF(C19=0,0,H19/C19)</f>
        <v>0.108111784022804</v>
      </c>
      <c r="J19" s="9" t="n">
        <v>23.9249843950769</v>
      </c>
      <c r="K19" s="9" t="n">
        <v>1.49663484965138</v>
      </c>
      <c r="L19" s="9" t="n">
        <v>0.0301121557843374</v>
      </c>
      <c r="M19" s="9" t="n">
        <v>25</v>
      </c>
      <c r="N19" s="9" t="n">
        <v>0.0301121557843374</v>
      </c>
      <c r="O19" s="10" t="n">
        <v>76.2787381819398</v>
      </c>
      <c r="P19" s="12" t="n">
        <v>64</v>
      </c>
      <c r="Q19" s="12" t="n">
        <v>84.2531906349173</v>
      </c>
      <c r="R19" s="19" t="n">
        <v>0.287081619231292</v>
      </c>
      <c r="S19" s="8" t="s">
        <v>234</v>
      </c>
      <c r="T19" s="8" t="s">
        <v>189</v>
      </c>
      <c r="V19" s="8" t="s">
        <v>92</v>
      </c>
      <c r="W19" s="9" t="n">
        <f aca="false">SUMIFS($C$5:$C$116,$A$5:$A$116,$V19,$B$5:$B$116,1)</f>
        <v>200.027827251661</v>
      </c>
      <c r="X19" s="9" t="n">
        <f aca="false">SUMIFS($C$5:$C$116,$A$5:$A$116,$V19,$B$5:$B$116,2)</f>
        <v>198.854388620731</v>
      </c>
      <c r="Y19" s="9" t="n">
        <f aca="false">SUMIFS($C$5:$C$116,$A$5:$A$116,$V19,$B$5:$B$116,3)</f>
        <v>199.155440088663</v>
      </c>
      <c r="Z19" s="9" t="n">
        <f aca="false">SUMIFS($C$5:$C$116,$A$5:$A$116,$V19,$B$5:$B$116,4)</f>
        <v>201.685214985035</v>
      </c>
      <c r="AA19" s="9" t="n">
        <f aca="false">SUMIFS($C$5:$C$116,$A$5:$A$116,$V19,$B$5:$B$116,5)</f>
        <v>206.340554423319</v>
      </c>
      <c r="AB19" s="9" t="n">
        <f aca="false">SUMIFS($C$5:$C$116,$A$5:$A$116,$V19,$B$5:$B$116,6)</f>
        <v>212.74416882609</v>
      </c>
      <c r="AC19" s="9" t="n">
        <f aca="false">SUMIFS($C$5:$C$116,$A$5:$A$116,$V19,$B$5:$B$116,7)</f>
        <v>222.132380303303</v>
      </c>
      <c r="AD19" s="9" t="n">
        <f aca="false">SUMIFS($C$5:$C$116,$A$5:$A$116,$V19,$B$5:$B$116,8)</f>
        <v>233.409852496534</v>
      </c>
    </row>
    <row r="20" customFormat="false" ht="15" hidden="false" customHeight="false" outlineLevel="0" collapsed="false">
      <c r="A20" s="8" t="s">
        <v>41</v>
      </c>
      <c r="B20" s="13" t="n">
        <v>8</v>
      </c>
      <c r="C20" s="9" t="n">
        <v>197.524078527406</v>
      </c>
      <c r="D20" s="9" t="n">
        <v>126.614348836562</v>
      </c>
      <c r="E20" s="9" t="n">
        <v>50.1021650036316</v>
      </c>
      <c r="F20" s="9" t="n">
        <v>15.8894021171473</v>
      </c>
      <c r="G20" s="9" t="n">
        <v>4.91816257006477</v>
      </c>
      <c r="H20" s="9" t="n">
        <v>23.3056653190229</v>
      </c>
      <c r="I20" s="11" t="n">
        <f aca="false">IF(C20=0,0,H20/C20)</f>
        <v>0.117988983888814</v>
      </c>
      <c r="J20" s="9" t="n">
        <v>23.1841398909774</v>
      </c>
      <c r="K20" s="9" t="n">
        <v>0.157278705677263</v>
      </c>
      <c r="L20" s="9" t="n">
        <v>0.0357532776317555</v>
      </c>
      <c r="M20" s="9" t="n">
        <v>25</v>
      </c>
      <c r="N20" s="9" t="n">
        <v>0.0658654334160929</v>
      </c>
      <c r="O20" s="10" t="n">
        <v>81.785812560389</v>
      </c>
      <c r="P20" s="12" t="n">
        <v>63</v>
      </c>
      <c r="Q20" s="12" t="n">
        <v>86.0308218824434</v>
      </c>
      <c r="R20" s="19" t="n">
        <v>0.201212583534774</v>
      </c>
      <c r="S20" s="8" t="s">
        <v>234</v>
      </c>
      <c r="T20" s="8" t="s">
        <v>189</v>
      </c>
    </row>
    <row r="21" customFormat="false" ht="15" hidden="false" customHeight="false" outlineLevel="0" collapsed="false">
      <c r="A21" s="8" t="s">
        <v>46</v>
      </c>
      <c r="B21" s="13" t="n">
        <v>1</v>
      </c>
      <c r="C21" s="9" t="n">
        <v>200.069933003538</v>
      </c>
      <c r="D21" s="9" t="n">
        <v>140.045158162566</v>
      </c>
      <c r="E21" s="9" t="n">
        <v>40</v>
      </c>
      <c r="F21" s="9" t="n">
        <v>15.99968</v>
      </c>
      <c r="G21" s="9" t="n">
        <v>4.02509484097173</v>
      </c>
      <c r="H21" s="9" t="n">
        <v>30.0547174459375</v>
      </c>
      <c r="I21" s="11" t="n">
        <f aca="false">IF(C21=0,0,H21/C21)</f>
        <v>0.150221060180023</v>
      </c>
      <c r="J21" s="9" t="n">
        <v>30</v>
      </c>
      <c r="K21" s="9" t="n">
        <v>0</v>
      </c>
      <c r="L21" s="9" t="n">
        <v>0</v>
      </c>
      <c r="M21" s="9" t="n">
        <v>60.0547174459375</v>
      </c>
      <c r="N21" s="9" t="n">
        <v>0</v>
      </c>
      <c r="O21" s="10" t="n">
        <v>100.132592736063</v>
      </c>
      <c r="P21" s="12" t="n">
        <v>72</v>
      </c>
      <c r="Q21" s="12" t="n">
        <v>62.85</v>
      </c>
      <c r="R21" s="19" t="n">
        <v>0.477326968973747</v>
      </c>
      <c r="S21" s="8" t="s">
        <v>225</v>
      </c>
      <c r="T21" s="8" t="s">
        <v>189</v>
      </c>
      <c r="V21" s="18" t="s">
        <v>235</v>
      </c>
    </row>
    <row r="22" customFormat="false" ht="30" hidden="false" customHeight="true" outlineLevel="0" collapsed="false">
      <c r="A22" s="8" t="s">
        <v>46</v>
      </c>
      <c r="B22" s="13" t="n">
        <v>2</v>
      </c>
      <c r="C22" s="9" t="n">
        <v>199.738569190855</v>
      </c>
      <c r="D22" s="9" t="n">
        <v>138.475529745409</v>
      </c>
      <c r="E22" s="9" t="n">
        <v>40.0006326076915</v>
      </c>
      <c r="F22" s="9" t="n">
        <v>15.99879201792</v>
      </c>
      <c r="G22" s="9" t="n">
        <v>5.26361481983425</v>
      </c>
      <c r="H22" s="9" t="n">
        <v>28.7640690036556</v>
      </c>
      <c r="I22" s="11" t="n">
        <f aca="false">IF(C22=0,0,H22/C22)</f>
        <v>0.144008586424642</v>
      </c>
      <c r="J22" s="9" t="n">
        <v>30</v>
      </c>
      <c r="K22" s="9" t="n">
        <v>0</v>
      </c>
      <c r="L22" s="9" t="n">
        <v>0</v>
      </c>
      <c r="M22" s="9" t="n">
        <v>58.8187864495931</v>
      </c>
      <c r="N22" s="9" t="n">
        <v>0</v>
      </c>
      <c r="O22" s="10" t="n">
        <v>99.8673947199978</v>
      </c>
      <c r="P22" s="12" t="n">
        <v>72</v>
      </c>
      <c r="Q22" s="12" t="n">
        <v>67.7120047732697</v>
      </c>
      <c r="R22" s="19" t="n">
        <v>0.443052898824271</v>
      </c>
      <c r="S22" s="8" t="s">
        <v>225</v>
      </c>
      <c r="T22" s="8" t="s">
        <v>189</v>
      </c>
      <c r="V22" s="7" t="s">
        <v>157</v>
      </c>
      <c r="W22" s="7" t="s">
        <v>226</v>
      </c>
      <c r="X22" s="7" t="s">
        <v>227</v>
      </c>
      <c r="Y22" s="7" t="s">
        <v>228</v>
      </c>
      <c r="Z22" s="7" t="s">
        <v>229</v>
      </c>
      <c r="AA22" s="7" t="s">
        <v>230</v>
      </c>
      <c r="AB22" s="7" t="s">
        <v>231</v>
      </c>
      <c r="AC22" s="7" t="s">
        <v>232</v>
      </c>
      <c r="AD22" s="7" t="s">
        <v>233</v>
      </c>
    </row>
    <row r="23" customFormat="false" ht="15" hidden="false" customHeight="false" outlineLevel="0" collapsed="false">
      <c r="A23" s="8" t="s">
        <v>46</v>
      </c>
      <c r="B23" s="13" t="n">
        <v>3</v>
      </c>
      <c r="C23" s="9" t="n">
        <v>202.030689125943</v>
      </c>
      <c r="D23" s="9" t="n">
        <v>137.890677173911</v>
      </c>
      <c r="E23" s="9" t="n">
        <v>40.0079317791888</v>
      </c>
      <c r="F23" s="9" t="n">
        <v>15.9979454836694</v>
      </c>
      <c r="G23" s="9" t="n">
        <v>8.13413468917452</v>
      </c>
      <c r="H23" s="9" t="n">
        <v>28.6554623583462</v>
      </c>
      <c r="I23" s="11" t="n">
        <f aca="false">IF(C23=0,0,H23/C23)</f>
        <v>0.141837175739587</v>
      </c>
      <c r="J23" s="9" t="n">
        <v>30</v>
      </c>
      <c r="K23" s="9" t="n">
        <v>0</v>
      </c>
      <c r="L23" s="9" t="n">
        <v>0</v>
      </c>
      <c r="M23" s="9" t="n">
        <v>57.4742488079393</v>
      </c>
      <c r="N23" s="9" t="n">
        <v>0</v>
      </c>
      <c r="O23" s="10" t="n">
        <v>107.340515039606</v>
      </c>
      <c r="P23" s="12" t="n">
        <v>72</v>
      </c>
      <c r="Q23" s="12" t="n">
        <v>73.4666184404403</v>
      </c>
      <c r="R23" s="19" t="n">
        <v>0.408348725405419</v>
      </c>
      <c r="S23" s="8" t="s">
        <v>225</v>
      </c>
      <c r="T23" s="8" t="s">
        <v>189</v>
      </c>
      <c r="V23" s="8" t="s">
        <v>36</v>
      </c>
      <c r="W23" s="9" t="n">
        <f aca="false">SUMIFS($H$5:$H$116,$A$5:$A$116,$V23,$B$5:$B$116,1)</f>
        <v>30.2158816626239</v>
      </c>
      <c r="X23" s="9" t="n">
        <f aca="false">SUMIFS($H$5:$H$116,$A$5:$A$116,$V23,$B$5:$B$116,2)</f>
        <v>29.6938485348192</v>
      </c>
      <c r="Y23" s="9" t="n">
        <f aca="false">SUMIFS($H$5:$H$116,$A$5:$A$116,$V23,$B$5:$B$116,3)</f>
        <v>28.9469409405123</v>
      </c>
      <c r="Z23" s="9" t="n">
        <f aca="false">SUMIFS($H$5:$H$116,$A$5:$A$116,$V23,$B$5:$B$116,4)</f>
        <v>29.5017105098974</v>
      </c>
      <c r="AA23" s="9" t="n">
        <f aca="false">SUMIFS($H$5:$H$116,$A$5:$A$116,$V23,$B$5:$B$116,5)</f>
        <v>31.4441732735111</v>
      </c>
      <c r="AB23" s="9" t="n">
        <f aca="false">SUMIFS($H$5:$H$116,$A$5:$A$116,$V23,$B$5:$B$116,6)</f>
        <v>33.507525496114</v>
      </c>
      <c r="AC23" s="9" t="n">
        <f aca="false">SUMIFS($H$5:$H$116,$A$5:$A$116,$V23,$B$5:$B$116,7)</f>
        <v>32.1125789864383</v>
      </c>
      <c r="AD23" s="9" t="n">
        <f aca="false">SUMIFS($H$5:$H$116,$A$5:$A$116,$V23,$B$5:$B$116,8)</f>
        <v>34.5301885337631</v>
      </c>
    </row>
    <row r="24" customFormat="false" ht="15" hidden="false" customHeight="false" outlineLevel="0" collapsed="false">
      <c r="A24" s="8" t="s">
        <v>46</v>
      </c>
      <c r="B24" s="13" t="n">
        <v>4</v>
      </c>
      <c r="C24" s="9" t="n">
        <v>207.598781488884</v>
      </c>
      <c r="D24" s="9" t="n">
        <v>138.403739706194</v>
      </c>
      <c r="E24" s="9" t="n">
        <v>40.0516959997705</v>
      </c>
      <c r="F24" s="9" t="n">
        <v>15.9967360947163</v>
      </c>
      <c r="G24" s="9" t="n">
        <v>13.1466096882026</v>
      </c>
      <c r="H24" s="9" t="n">
        <v>31.2872244653591</v>
      </c>
      <c r="I24" s="11" t="n">
        <f aca="false">IF(C24=0,0,H24/C24)</f>
        <v>0.150710058320041</v>
      </c>
      <c r="J24" s="9" t="n">
        <v>30</v>
      </c>
      <c r="K24" s="9" t="n">
        <v>0</v>
      </c>
      <c r="L24" s="9" t="n">
        <v>0</v>
      </c>
      <c r="M24" s="9" t="n">
        <v>58.7614732732984</v>
      </c>
      <c r="N24" s="9" t="n">
        <v>0</v>
      </c>
      <c r="O24" s="10" t="n">
        <v>119.210988318992</v>
      </c>
      <c r="P24" s="12" t="n">
        <v>72</v>
      </c>
      <c r="Q24" s="12" t="n">
        <v>79.2235025399645</v>
      </c>
      <c r="R24" s="19" t="n">
        <v>0.43660667782877</v>
      </c>
      <c r="S24" s="8" t="s">
        <v>225</v>
      </c>
      <c r="T24" s="8" t="s">
        <v>189</v>
      </c>
      <c r="V24" s="8" t="s">
        <v>41</v>
      </c>
      <c r="W24" s="9" t="n">
        <f aca="false">SUMIFS($H$5:$H$116,$A$5:$A$116,$V24,$B$5:$B$116,1)</f>
        <v>30.0590101281462</v>
      </c>
      <c r="X24" s="9" t="n">
        <f aca="false">SUMIFS($H$5:$H$116,$A$5:$A$116,$V24,$B$5:$B$116,2)</f>
        <v>28.2981526830604</v>
      </c>
      <c r="Y24" s="9" t="n">
        <f aca="false">SUMIFS($H$5:$H$116,$A$5:$A$116,$V24,$B$5:$B$116,3)</f>
        <v>25.8526160396824</v>
      </c>
      <c r="Z24" s="9" t="n">
        <f aca="false">SUMIFS($H$5:$H$116,$A$5:$A$116,$V24,$B$5:$B$116,4)</f>
        <v>23.9004448019577</v>
      </c>
      <c r="AA24" s="9" t="n">
        <f aca="false">SUMIFS($H$5:$H$116,$A$5:$A$116,$V24,$B$5:$B$116,5)</f>
        <v>22.3708522220838</v>
      </c>
      <c r="AB24" s="9" t="n">
        <f aca="false">SUMIFS($H$5:$H$116,$A$5:$A$116,$V24,$B$5:$B$116,6)</f>
        <v>24.8455540364675</v>
      </c>
      <c r="AC24" s="9" t="n">
        <f aca="false">SUMIFS($H$5:$H$116,$A$5:$A$116,$V24,$B$5:$B$116,7)</f>
        <v>21.1998054658733</v>
      </c>
      <c r="AD24" s="9" t="n">
        <f aca="false">SUMIFS($H$5:$H$116,$A$5:$A$116,$V24,$B$5:$B$116,8)</f>
        <v>23.3056653190229</v>
      </c>
    </row>
    <row r="25" customFormat="false" ht="15" hidden="false" customHeight="false" outlineLevel="0" collapsed="false">
      <c r="A25" s="8" t="s">
        <v>46</v>
      </c>
      <c r="B25" s="13" t="n">
        <v>5</v>
      </c>
      <c r="C25" s="9" t="n">
        <v>215.296437049799</v>
      </c>
      <c r="D25" s="9" t="n">
        <v>139.744376464835</v>
      </c>
      <c r="E25" s="9" t="n">
        <v>40.1384468245542</v>
      </c>
      <c r="F25" s="9" t="n">
        <v>15.9930128707279</v>
      </c>
      <c r="G25" s="9" t="n">
        <v>19.4206008896814</v>
      </c>
      <c r="H25" s="9" t="n">
        <v>35.4260083225504</v>
      </c>
      <c r="I25" s="11" t="n">
        <f aca="false">IF(C25=0,0,H25/C25)</f>
        <v>0.164545260516115</v>
      </c>
      <c r="J25" s="9" t="n">
        <v>30</v>
      </c>
      <c r="K25" s="9" t="n">
        <v>0</v>
      </c>
      <c r="L25" s="9" t="n">
        <v>0</v>
      </c>
      <c r="M25" s="9" t="n">
        <v>64.1874815958488</v>
      </c>
      <c r="N25" s="9" t="n">
        <v>0</v>
      </c>
      <c r="O25" s="10" t="n">
        <v>131.387094111349</v>
      </c>
      <c r="P25" s="12" t="n">
        <v>72</v>
      </c>
      <c r="Q25" s="12" t="n">
        <v>85.0152741460082</v>
      </c>
      <c r="R25" s="19" t="n">
        <v>0.386865896514636</v>
      </c>
      <c r="S25" s="8" t="s">
        <v>225</v>
      </c>
      <c r="T25" s="8" t="s">
        <v>189</v>
      </c>
      <c r="V25" s="8" t="s">
        <v>46</v>
      </c>
      <c r="W25" s="9" t="n">
        <f aca="false">SUMIFS($H$5:$H$116,$A$5:$A$116,$V25,$B$5:$B$116,1)</f>
        <v>30.0547174459375</v>
      </c>
      <c r="X25" s="9" t="n">
        <f aca="false">SUMIFS($H$5:$H$116,$A$5:$A$116,$V25,$B$5:$B$116,2)</f>
        <v>28.7640690036556</v>
      </c>
      <c r="Y25" s="9" t="n">
        <f aca="false">SUMIFS($H$5:$H$116,$A$5:$A$116,$V25,$B$5:$B$116,3)</f>
        <v>28.6554623583462</v>
      </c>
      <c r="Z25" s="9" t="n">
        <f aca="false">SUMIFS($H$5:$H$116,$A$5:$A$116,$V25,$B$5:$B$116,4)</f>
        <v>31.2872244653591</v>
      </c>
      <c r="AA25" s="9" t="n">
        <f aca="false">SUMIFS($H$5:$H$116,$A$5:$A$116,$V25,$B$5:$B$116,5)</f>
        <v>35.4260083225504</v>
      </c>
      <c r="AB25" s="9" t="n">
        <f aca="false">SUMIFS($H$5:$H$116,$A$5:$A$116,$V25,$B$5:$B$116,6)</f>
        <v>38.6544327570713</v>
      </c>
      <c r="AC25" s="9" t="n">
        <f aca="false">SUMIFS($H$5:$H$116,$A$5:$A$116,$V25,$B$5:$B$116,7)</f>
        <v>39.2895878341542</v>
      </c>
      <c r="AD25" s="9" t="n">
        <f aca="false">SUMIFS($H$5:$H$116,$A$5:$A$116,$V25,$B$5:$B$116,8)</f>
        <v>45.626066536685</v>
      </c>
    </row>
    <row r="26" customFormat="false" ht="15" hidden="false" customHeight="false" outlineLevel="0" collapsed="false">
      <c r="A26" s="8" t="s">
        <v>46</v>
      </c>
      <c r="B26" s="13" t="n">
        <v>6</v>
      </c>
      <c r="C26" s="9" t="n">
        <v>220.842666573292</v>
      </c>
      <c r="D26" s="9" t="n">
        <v>139.738421258874</v>
      </c>
      <c r="E26" s="9" t="n">
        <v>40.0408390967805</v>
      </c>
      <c r="F26" s="9" t="n">
        <v>15.9738983495997</v>
      </c>
      <c r="G26" s="9" t="n">
        <v>25.0895078680375</v>
      </c>
      <c r="H26" s="9" t="n">
        <v>38.6544327570713</v>
      </c>
      <c r="I26" s="11" t="n">
        <f aca="false">IF(C26=0,0,H26/C26)</f>
        <v>0.17503154330118</v>
      </c>
      <c r="J26" s="9" t="n">
        <v>30</v>
      </c>
      <c r="K26" s="9" t="n">
        <v>0</v>
      </c>
      <c r="L26" s="9" t="n">
        <v>0</v>
      </c>
      <c r="M26" s="9" t="n">
        <v>72.8419143529201</v>
      </c>
      <c r="N26" s="9" t="n">
        <v>0</v>
      </c>
      <c r="O26" s="10" t="n">
        <v>135.122146518973</v>
      </c>
      <c r="P26" s="12" t="n">
        <v>72</v>
      </c>
      <c r="Q26" s="12" t="n">
        <v>90.8662347509734</v>
      </c>
      <c r="R26" s="19" t="n">
        <v>0.343246425203052</v>
      </c>
      <c r="S26" s="8" t="s">
        <v>225</v>
      </c>
      <c r="T26" s="8" t="s">
        <v>189</v>
      </c>
      <c r="V26" s="8" t="s">
        <v>51</v>
      </c>
      <c r="W26" s="9" t="n">
        <f aca="false">SUMIFS($H$5:$H$116,$A$5:$A$116,$V26,$B$5:$B$116,1)</f>
        <v>30.1116995536119</v>
      </c>
      <c r="X26" s="9" t="n">
        <f aca="false">SUMIFS($H$5:$H$116,$A$5:$A$116,$V26,$B$5:$B$116,2)</f>
        <v>29.0677834685486</v>
      </c>
      <c r="Y26" s="9" t="n">
        <f aca="false">SUMIFS($H$5:$H$116,$A$5:$A$116,$V26,$B$5:$B$116,3)</f>
        <v>28.3242619343401</v>
      </c>
      <c r="Z26" s="9" t="n">
        <f aca="false">SUMIFS($H$5:$H$116,$A$5:$A$116,$V26,$B$5:$B$116,4)</f>
        <v>29.6144404068724</v>
      </c>
      <c r="AA26" s="9" t="n">
        <f aca="false">SUMIFS($H$5:$H$116,$A$5:$A$116,$V26,$B$5:$B$116,5)</f>
        <v>32.6115346380865</v>
      </c>
      <c r="AB26" s="9" t="n">
        <f aca="false">SUMIFS($H$5:$H$116,$A$5:$A$116,$V26,$B$5:$B$116,6)</f>
        <v>37.5271770283689</v>
      </c>
      <c r="AC26" s="9" t="n">
        <f aca="false">SUMIFS($H$5:$H$116,$A$5:$A$116,$V26,$B$5:$B$116,7)</f>
        <v>39.7967404340075</v>
      </c>
      <c r="AD26" s="9" t="n">
        <f aca="false">SUMIFS($H$5:$H$116,$A$5:$A$116,$V26,$B$5:$B$116,8)</f>
        <v>46.0403580204834</v>
      </c>
    </row>
    <row r="27" customFormat="false" ht="15" hidden="false" customHeight="false" outlineLevel="0" collapsed="false">
      <c r="A27" s="8" t="s">
        <v>46</v>
      </c>
      <c r="B27" s="13" t="n">
        <v>7</v>
      </c>
      <c r="C27" s="9" t="n">
        <v>224.977771557379</v>
      </c>
      <c r="D27" s="9" t="n">
        <v>138.144592435613</v>
      </c>
      <c r="E27" s="9" t="n">
        <v>39.2280303686785</v>
      </c>
      <c r="F27" s="9" t="n">
        <v>15.9478500521611</v>
      </c>
      <c r="G27" s="9" t="n">
        <v>31.657298700927</v>
      </c>
      <c r="H27" s="9" t="n">
        <v>39.2895878341542</v>
      </c>
      <c r="I27" s="11" t="n">
        <f aca="false">IF(C27=0,0,H27/C27)</f>
        <v>0.174637643364396</v>
      </c>
      <c r="J27" s="9" t="n">
        <v>30</v>
      </c>
      <c r="K27" s="9" t="n">
        <v>2</v>
      </c>
      <c r="L27" s="9" t="n">
        <v>0</v>
      </c>
      <c r="M27" s="9" t="n">
        <v>80.1315021870743</v>
      </c>
      <c r="N27" s="9" t="n">
        <v>0</v>
      </c>
      <c r="O27" s="10" t="n">
        <v>134.98331690311</v>
      </c>
      <c r="P27" s="12" t="n">
        <v>67.7058291157245</v>
      </c>
      <c r="Q27" s="12" t="n">
        <v>92.7831336154165</v>
      </c>
      <c r="R27" s="19" t="n">
        <v>0.314712371335002</v>
      </c>
      <c r="S27" s="8" t="s">
        <v>225</v>
      </c>
      <c r="T27" s="8" t="s">
        <v>189</v>
      </c>
      <c r="V27" s="8" t="s">
        <v>55</v>
      </c>
      <c r="W27" s="9" t="n">
        <f aca="false">SUMIFS($H$5:$H$116,$A$5:$A$116,$V27,$B$5:$B$116,1)</f>
        <v>30.2017805413324</v>
      </c>
      <c r="X27" s="9" t="n">
        <f aca="false">SUMIFS($H$5:$H$116,$A$5:$A$116,$V27,$B$5:$B$116,2)</f>
        <v>30.1567617485179</v>
      </c>
      <c r="Y27" s="9" t="n">
        <f aca="false">SUMIFS($H$5:$H$116,$A$5:$A$116,$V27,$B$5:$B$116,3)</f>
        <v>29.7771538537357</v>
      </c>
      <c r="Z27" s="9" t="n">
        <f aca="false">SUMIFS($H$5:$H$116,$A$5:$A$116,$V27,$B$5:$B$116,4)</f>
        <v>30.6067749577105</v>
      </c>
      <c r="AA27" s="9" t="n">
        <f aca="false">SUMIFS($H$5:$H$116,$A$5:$A$116,$V27,$B$5:$B$116,5)</f>
        <v>32.385685466387</v>
      </c>
      <c r="AB27" s="9" t="n">
        <f aca="false">SUMIFS($H$5:$H$116,$A$5:$A$116,$V27,$B$5:$B$116,6)</f>
        <v>35.7919286495237</v>
      </c>
      <c r="AC27" s="9" t="n">
        <f aca="false">SUMIFS($H$5:$H$116,$A$5:$A$116,$V27,$B$5:$B$116,7)</f>
        <v>33.4097120512199</v>
      </c>
      <c r="AD27" s="9" t="n">
        <f aca="false">SUMIFS($H$5:$H$116,$A$5:$A$116,$V27,$B$5:$B$116,8)</f>
        <v>34.7475339026949</v>
      </c>
    </row>
    <row r="28" customFormat="false" ht="15" hidden="false" customHeight="false" outlineLevel="0" collapsed="false">
      <c r="A28" s="8" t="s">
        <v>46</v>
      </c>
      <c r="B28" s="13" t="n">
        <v>8</v>
      </c>
      <c r="C28" s="9" t="n">
        <v>234.700094015825</v>
      </c>
      <c r="D28" s="9" t="n">
        <v>140.153092391001</v>
      </c>
      <c r="E28" s="9" t="n">
        <v>39.3709787908919</v>
      </c>
      <c r="F28" s="9" t="n">
        <v>15.9221667710777</v>
      </c>
      <c r="G28" s="9" t="n">
        <v>39.2538560628545</v>
      </c>
      <c r="H28" s="9" t="n">
        <v>45.626066536685</v>
      </c>
      <c r="I28" s="11" t="n">
        <f aca="false">IF(C28=0,0,H28/C28)</f>
        <v>0.194401569066302</v>
      </c>
      <c r="J28" s="9" t="n">
        <v>41.25</v>
      </c>
      <c r="K28" s="9" t="n">
        <v>0</v>
      </c>
      <c r="L28" s="9" t="n">
        <v>0</v>
      </c>
      <c r="M28" s="9" t="n">
        <v>84.5075687237593</v>
      </c>
      <c r="N28" s="9" t="n">
        <v>0</v>
      </c>
      <c r="O28" s="10" t="n">
        <v>148.513018511566</v>
      </c>
      <c r="P28" s="12" t="n">
        <v>67.7058291157245</v>
      </c>
      <c r="Q28" s="12" t="n">
        <v>100</v>
      </c>
      <c r="R28" s="19" t="n">
        <v>0.289</v>
      </c>
      <c r="S28" s="8" t="s">
        <v>225</v>
      </c>
      <c r="T28" s="8" t="s">
        <v>189</v>
      </c>
      <c r="V28" s="8" t="s">
        <v>59</v>
      </c>
      <c r="W28" s="9" t="n">
        <f aca="false">SUMIFS($H$5:$H$116,$A$5:$A$116,$V28,$B$5:$B$116,1)</f>
        <v>30.0181631237724</v>
      </c>
      <c r="X28" s="9" t="n">
        <f aca="false">SUMIFS($H$5:$H$116,$A$5:$A$116,$V28,$B$5:$B$116,2)</f>
        <v>28.2680537180354</v>
      </c>
      <c r="Y28" s="9" t="n">
        <f aca="false">SUMIFS($H$5:$H$116,$A$5:$A$116,$V28,$B$5:$B$116,3)</f>
        <v>25.6667438102403</v>
      </c>
      <c r="Z28" s="9" t="n">
        <f aca="false">SUMIFS($H$5:$H$116,$A$5:$A$116,$V28,$B$5:$B$116,4)</f>
        <v>23.397287550231</v>
      </c>
      <c r="AA28" s="9" t="n">
        <f aca="false">SUMIFS($H$5:$H$116,$A$5:$A$116,$V28,$B$5:$B$116,5)</f>
        <v>21.4251384341643</v>
      </c>
      <c r="AB28" s="9" t="n">
        <f aca="false">SUMIFS($H$5:$H$116,$A$5:$A$116,$V28,$B$5:$B$116,6)</f>
        <v>25.2587344339733</v>
      </c>
      <c r="AC28" s="9" t="n">
        <f aca="false">SUMIFS($H$5:$H$116,$A$5:$A$116,$V28,$B$5:$B$116,7)</f>
        <v>20.5658989357843</v>
      </c>
      <c r="AD28" s="9" t="n">
        <f aca="false">SUMIFS($H$5:$H$116,$A$5:$A$116,$V28,$B$5:$B$116,8)</f>
        <v>22.3350797975274</v>
      </c>
    </row>
    <row r="29" customFormat="false" ht="15" hidden="false" customHeight="false" outlineLevel="0" collapsed="false">
      <c r="A29" s="8" t="s">
        <v>51</v>
      </c>
      <c r="B29" s="13" t="n">
        <v>1</v>
      </c>
      <c r="C29" s="9" t="n">
        <v>200.148538819166</v>
      </c>
      <c r="D29" s="9" t="n">
        <v>140.130312152499</v>
      </c>
      <c r="E29" s="9" t="n">
        <v>40.0178333333333</v>
      </c>
      <c r="F29" s="9" t="n">
        <v>15.99968</v>
      </c>
      <c r="G29" s="9" t="n">
        <v>4.00071333333333</v>
      </c>
      <c r="H29" s="9" t="n">
        <v>30.1116995536119</v>
      </c>
      <c r="I29" s="11" t="n">
        <f aca="false">IF(C29=0,0,H29/C29)</f>
        <v>0.1504467618463</v>
      </c>
      <c r="J29" s="9" t="n">
        <v>30</v>
      </c>
      <c r="K29" s="9" t="n">
        <v>0</v>
      </c>
      <c r="L29" s="9" t="n">
        <v>0</v>
      </c>
      <c r="M29" s="9" t="n">
        <v>60.1116995536119</v>
      </c>
      <c r="N29" s="9" t="n">
        <v>0</v>
      </c>
      <c r="O29" s="10" t="n">
        <v>100.378766349198</v>
      </c>
      <c r="P29" s="12" t="n">
        <v>72</v>
      </c>
      <c r="Q29" s="12" t="n">
        <v>60</v>
      </c>
      <c r="R29" s="19" t="n">
        <v>0.616666666666667</v>
      </c>
      <c r="S29" s="8" t="s">
        <v>225</v>
      </c>
      <c r="T29" s="8" t="s">
        <v>189</v>
      </c>
      <c r="V29" s="8" t="s">
        <v>63</v>
      </c>
      <c r="W29" s="9" t="n">
        <f aca="false">SUMIFS($H$5:$H$116,$A$5:$A$116,$V29,$B$5:$B$116,1)</f>
        <v>30.0168348581017</v>
      </c>
      <c r="X29" s="9" t="n">
        <f aca="false">SUMIFS($H$5:$H$116,$A$5:$A$116,$V29,$B$5:$B$116,2)</f>
        <v>28.7251305280038</v>
      </c>
      <c r="Y29" s="9" t="n">
        <f aca="false">SUMIFS($H$5:$H$116,$A$5:$A$116,$V29,$B$5:$B$116,3)</f>
        <v>28.2771154325822</v>
      </c>
      <c r="Z29" s="9" t="n">
        <f aca="false">SUMIFS($H$5:$H$116,$A$5:$A$116,$V29,$B$5:$B$116,4)</f>
        <v>29.7657412113891</v>
      </c>
      <c r="AA29" s="9" t="n">
        <f aca="false">SUMIFS($H$5:$H$116,$A$5:$A$116,$V29,$B$5:$B$116,5)</f>
        <v>32.253070210509</v>
      </c>
      <c r="AB29" s="9" t="n">
        <f aca="false">SUMIFS($H$5:$H$116,$A$5:$A$116,$V29,$B$5:$B$116,6)</f>
        <v>35.6653511035773</v>
      </c>
      <c r="AC29" s="9" t="n">
        <f aca="false">SUMIFS($H$5:$H$116,$A$5:$A$116,$V29,$B$5:$B$116,7)</f>
        <v>34.5634913818086</v>
      </c>
      <c r="AD29" s="9" t="n">
        <f aca="false">SUMIFS($H$5:$H$116,$A$5:$A$116,$V29,$B$5:$B$116,8)</f>
        <v>38.9825389229843</v>
      </c>
    </row>
    <row r="30" customFormat="false" ht="15" hidden="false" customHeight="false" outlineLevel="0" collapsed="false">
      <c r="A30" s="8" t="s">
        <v>51</v>
      </c>
      <c r="B30" s="13" t="n">
        <v>2</v>
      </c>
      <c r="C30" s="9" t="n">
        <v>199.168788268214</v>
      </c>
      <c r="D30" s="9" t="n">
        <v>138.511097014157</v>
      </c>
      <c r="E30" s="9" t="n">
        <v>40.0856952376652</v>
      </c>
      <c r="F30" s="9" t="n">
        <v>15.99879201792</v>
      </c>
      <c r="G30" s="9" t="n">
        <v>4.57320399847115</v>
      </c>
      <c r="H30" s="9" t="n">
        <v>29.0677834685486</v>
      </c>
      <c r="I30" s="11" t="n">
        <f aca="false">IF(C30=0,0,H30/C30)</f>
        <v>0.145945475299092</v>
      </c>
      <c r="J30" s="9" t="n">
        <v>30</v>
      </c>
      <c r="K30" s="9" t="n">
        <v>0</v>
      </c>
      <c r="L30" s="9" t="n">
        <v>0</v>
      </c>
      <c r="M30" s="9" t="n">
        <v>59.1794830221605</v>
      </c>
      <c r="N30" s="9" t="n">
        <v>0</v>
      </c>
      <c r="O30" s="10" t="n">
        <v>99.1487203015935</v>
      </c>
      <c r="P30" s="12" t="n">
        <v>72</v>
      </c>
      <c r="Q30" s="12" t="n">
        <v>60</v>
      </c>
      <c r="R30" s="19" t="n">
        <v>0.616666666666667</v>
      </c>
      <c r="S30" s="8" t="s">
        <v>225</v>
      </c>
      <c r="T30" s="8" t="s">
        <v>189</v>
      </c>
      <c r="V30" s="8" t="s">
        <v>67</v>
      </c>
      <c r="W30" s="9" t="n">
        <f aca="false">SUMIFS($H$5:$H$116,$A$5:$A$116,$V30,$B$5:$B$116,1)</f>
        <v>30.0475789931449</v>
      </c>
      <c r="X30" s="9" t="n">
        <f aca="false">SUMIFS($H$5:$H$116,$A$5:$A$116,$V30,$B$5:$B$116,2)</f>
        <v>29.0605669598511</v>
      </c>
      <c r="Y30" s="9" t="n">
        <f aca="false">SUMIFS($H$5:$H$116,$A$5:$A$116,$V30,$B$5:$B$116,3)</f>
        <v>27.4520767975729</v>
      </c>
      <c r="Z30" s="9" t="n">
        <f aca="false">SUMIFS($H$5:$H$116,$A$5:$A$116,$V30,$B$5:$B$116,4)</f>
        <v>26.5280252305469</v>
      </c>
      <c r="AA30" s="9" t="n">
        <f aca="false">SUMIFS($H$5:$H$116,$A$5:$A$116,$V30,$B$5:$B$116,5)</f>
        <v>26.2867220085725</v>
      </c>
      <c r="AB30" s="9" t="n">
        <f aca="false">SUMIFS($H$5:$H$116,$A$5:$A$116,$V30,$B$5:$B$116,6)</f>
        <v>25.9960021969845</v>
      </c>
      <c r="AC30" s="9" t="n">
        <f aca="false">SUMIFS($H$5:$H$116,$A$5:$A$116,$V30,$B$5:$B$116,7)</f>
        <v>23.9378572852242</v>
      </c>
      <c r="AD30" s="9" t="n">
        <f aca="false">SUMIFS($H$5:$H$116,$A$5:$A$116,$V30,$B$5:$B$116,8)</f>
        <v>24.7038968155871</v>
      </c>
    </row>
    <row r="31" customFormat="false" ht="15" hidden="false" customHeight="false" outlineLevel="0" collapsed="false">
      <c r="A31" s="8" t="s">
        <v>51</v>
      </c>
      <c r="B31" s="13" t="n">
        <v>3</v>
      </c>
      <c r="C31" s="9" t="n">
        <v>199.761847129601</v>
      </c>
      <c r="D31" s="9" t="n">
        <v>137.754363298009</v>
      </c>
      <c r="E31" s="9" t="n">
        <v>40.2335033782416</v>
      </c>
      <c r="F31" s="9" t="n">
        <v>15.9979454836694</v>
      </c>
      <c r="G31" s="9" t="n">
        <v>5.77603496968111</v>
      </c>
      <c r="H31" s="9" t="n">
        <v>28.3242619343401</v>
      </c>
      <c r="I31" s="11" t="n">
        <f aca="false">IF(C31=0,0,H31/C31)</f>
        <v>0.141790148325791</v>
      </c>
      <c r="J31" s="9" t="n">
        <v>30</v>
      </c>
      <c r="K31" s="9" t="n">
        <v>0</v>
      </c>
      <c r="L31" s="9" t="n">
        <v>0</v>
      </c>
      <c r="M31" s="9" t="n">
        <v>57.5037449565007</v>
      </c>
      <c r="N31" s="9" t="n">
        <v>0</v>
      </c>
      <c r="O31" s="10" t="n">
        <v>103.218677681436</v>
      </c>
      <c r="P31" s="12" t="n">
        <v>72</v>
      </c>
      <c r="Q31" s="12" t="n">
        <v>60</v>
      </c>
      <c r="R31" s="19" t="n">
        <v>0.616666666666667</v>
      </c>
      <c r="S31" s="8" t="s">
        <v>225</v>
      </c>
      <c r="T31" s="8" t="s">
        <v>189</v>
      </c>
      <c r="V31" s="8" t="s">
        <v>72</v>
      </c>
      <c r="W31" s="9" t="n">
        <f aca="false">SUMIFS($H$5:$H$116,$A$5:$A$116,$V31,$B$5:$B$116,1)</f>
        <v>30.0411165832347</v>
      </c>
      <c r="X31" s="9" t="n">
        <f aca="false">SUMIFS($H$5:$H$116,$A$5:$A$116,$V31,$B$5:$B$116,2)</f>
        <v>29.2374874607843</v>
      </c>
      <c r="Y31" s="9" t="n">
        <f aca="false">SUMIFS($H$5:$H$116,$A$5:$A$116,$V31,$B$5:$B$116,3)</f>
        <v>27.7434831297761</v>
      </c>
      <c r="Z31" s="9" t="n">
        <f aca="false">SUMIFS($H$5:$H$116,$A$5:$A$116,$V31,$B$5:$B$116,4)</f>
        <v>26.8787312837204</v>
      </c>
      <c r="AA31" s="9" t="n">
        <f aca="false">SUMIFS($H$5:$H$116,$A$5:$A$116,$V31,$B$5:$B$116,5)</f>
        <v>26.6605494439619</v>
      </c>
      <c r="AB31" s="9" t="n">
        <f aca="false">SUMIFS($H$5:$H$116,$A$5:$A$116,$V31,$B$5:$B$116,6)</f>
        <v>27.9176459867121</v>
      </c>
      <c r="AC31" s="9" t="n">
        <f aca="false">SUMIFS($H$5:$H$116,$A$5:$A$116,$V31,$B$5:$B$116,7)</f>
        <v>26.5841094397019</v>
      </c>
      <c r="AD31" s="9" t="n">
        <f aca="false">SUMIFS($H$5:$H$116,$A$5:$A$116,$V31,$B$5:$B$116,8)</f>
        <v>28.102657726447</v>
      </c>
    </row>
    <row r="32" customFormat="false" ht="15" hidden="false" customHeight="false" outlineLevel="0" collapsed="false">
      <c r="A32" s="8" t="s">
        <v>51</v>
      </c>
      <c r="B32" s="13" t="n">
        <v>4</v>
      </c>
      <c r="C32" s="9" t="n">
        <v>202.690695979576</v>
      </c>
      <c r="D32" s="9" t="n">
        <v>138.014198825685</v>
      </c>
      <c r="E32" s="9" t="n">
        <v>40.5125544993566</v>
      </c>
      <c r="F32" s="9" t="n">
        <v>15.9967360947163</v>
      </c>
      <c r="G32" s="9" t="n">
        <v>8.16720655981751</v>
      </c>
      <c r="H32" s="9" t="n">
        <v>29.6144404068724</v>
      </c>
      <c r="I32" s="11" t="n">
        <f aca="false">IF(C32=0,0,H32/C32)</f>
        <v>0.146106560361589</v>
      </c>
      <c r="J32" s="9" t="n">
        <v>30</v>
      </c>
      <c r="K32" s="9" t="n">
        <v>0</v>
      </c>
      <c r="L32" s="9" t="n">
        <v>0</v>
      </c>
      <c r="M32" s="9" t="n">
        <v>57.118185363373</v>
      </c>
      <c r="N32" s="9" t="n">
        <v>0</v>
      </c>
      <c r="O32" s="10" t="n">
        <v>109.935679964729</v>
      </c>
      <c r="P32" s="12" t="n">
        <v>72</v>
      </c>
      <c r="Q32" s="12" t="n">
        <v>60</v>
      </c>
      <c r="R32" s="19" t="n">
        <v>0.707754947916667</v>
      </c>
      <c r="S32" s="8" t="s">
        <v>225</v>
      </c>
      <c r="T32" s="8" t="s">
        <v>189</v>
      </c>
      <c r="V32" s="8" t="s">
        <v>77</v>
      </c>
      <c r="W32" s="9" t="n">
        <f aca="false">SUMIFS($H$5:$H$116,$A$5:$A$116,$V32,$B$5:$B$116,1)</f>
        <v>30.0742462416735</v>
      </c>
      <c r="X32" s="9" t="n">
        <f aca="false">SUMIFS($H$5:$H$116,$A$5:$A$116,$V32,$B$5:$B$116,2)</f>
        <v>29.081194150076</v>
      </c>
      <c r="Y32" s="9" t="n">
        <f aca="false">SUMIFS($H$5:$H$116,$A$5:$A$116,$V32,$B$5:$B$116,3)</f>
        <v>27.5794500898997</v>
      </c>
      <c r="Z32" s="9" t="n">
        <f aca="false">SUMIFS($H$5:$H$116,$A$5:$A$116,$V32,$B$5:$B$116,4)</f>
        <v>27.9432403820993</v>
      </c>
      <c r="AA32" s="9" t="n">
        <f aca="false">SUMIFS($H$5:$H$116,$A$5:$A$116,$V32,$B$5:$B$116,5)</f>
        <v>30.4490252174698</v>
      </c>
      <c r="AB32" s="9" t="n">
        <f aca="false">SUMIFS($H$5:$H$116,$A$5:$A$116,$V32,$B$5:$B$116,6)</f>
        <v>32.5934251218716</v>
      </c>
      <c r="AC32" s="9" t="n">
        <f aca="false">SUMIFS($H$5:$H$116,$A$5:$A$116,$V32,$B$5:$B$116,7)</f>
        <v>37.3504863929213</v>
      </c>
      <c r="AD32" s="9" t="n">
        <f aca="false">SUMIFS($H$5:$H$116,$A$5:$A$116,$V32,$B$5:$B$116,8)</f>
        <v>47.0539280009771</v>
      </c>
    </row>
    <row r="33" customFormat="false" ht="15" hidden="false" customHeight="false" outlineLevel="0" collapsed="false">
      <c r="A33" s="8" t="s">
        <v>51</v>
      </c>
      <c r="B33" s="13" t="n">
        <v>5</v>
      </c>
      <c r="C33" s="9" t="n">
        <v>207.920767821049</v>
      </c>
      <c r="D33" s="9" t="n">
        <v>139.337085914596</v>
      </c>
      <c r="E33" s="9" t="n">
        <v>40.9933218084199</v>
      </c>
      <c r="F33" s="9" t="n">
        <v>15.9930128707279</v>
      </c>
      <c r="G33" s="9" t="n">
        <v>11.597347227305</v>
      </c>
      <c r="H33" s="9" t="n">
        <v>32.6115346380865</v>
      </c>
      <c r="I33" s="11" t="n">
        <f aca="false">IF(C33=0,0,H33/C33)</f>
        <v>0.156845970606237</v>
      </c>
      <c r="J33" s="9" t="n">
        <v>30</v>
      </c>
      <c r="K33" s="9" t="n">
        <v>0</v>
      </c>
      <c r="L33" s="9" t="n">
        <v>0</v>
      </c>
      <c r="M33" s="9" t="n">
        <v>59.7297200014596</v>
      </c>
      <c r="N33" s="9" t="n">
        <v>0</v>
      </c>
      <c r="O33" s="10" t="n">
        <v>119.500445199528</v>
      </c>
      <c r="P33" s="12" t="n">
        <v>72</v>
      </c>
      <c r="Q33" s="12" t="n">
        <v>60</v>
      </c>
      <c r="R33" s="19" t="n">
        <v>0.707754947916667</v>
      </c>
      <c r="S33" s="8" t="s">
        <v>225</v>
      </c>
      <c r="T33" s="8" t="s">
        <v>189</v>
      </c>
      <c r="V33" s="8" t="s">
        <v>82</v>
      </c>
      <c r="W33" s="9" t="n">
        <f aca="false">SUMIFS($H$5:$H$116,$A$5:$A$116,$V33,$B$5:$B$116,1)</f>
        <v>29.9974194219629</v>
      </c>
      <c r="X33" s="9" t="n">
        <f aca="false">SUMIFS($H$5:$H$116,$A$5:$A$116,$V33,$B$5:$B$116,2)</f>
        <v>29.386160580704</v>
      </c>
      <c r="Y33" s="9" t="n">
        <f aca="false">SUMIFS($H$5:$H$116,$A$5:$A$116,$V33,$B$5:$B$116,3)</f>
        <v>27.951444853142</v>
      </c>
      <c r="Z33" s="9" t="n">
        <f aca="false">SUMIFS($H$5:$H$116,$A$5:$A$116,$V33,$B$5:$B$116,4)</f>
        <v>27.0129426196111</v>
      </c>
      <c r="AA33" s="9" t="n">
        <f aca="false">SUMIFS($H$5:$H$116,$A$5:$A$116,$V33,$B$5:$B$116,5)</f>
        <v>26.5954420716335</v>
      </c>
      <c r="AB33" s="9" t="n">
        <f aca="false">SUMIFS($H$5:$H$116,$A$5:$A$116,$V33,$B$5:$B$116,6)</f>
        <v>27.7455627122503</v>
      </c>
      <c r="AC33" s="9" t="n">
        <f aca="false">SUMIFS($H$5:$H$116,$A$5:$A$116,$V33,$B$5:$B$116,7)</f>
        <v>25.0830063320981</v>
      </c>
      <c r="AD33" s="9" t="n">
        <f aca="false">SUMIFS($H$5:$H$116,$A$5:$A$116,$V33,$B$5:$B$116,8)</f>
        <v>25.1500625247968</v>
      </c>
    </row>
    <row r="34" customFormat="false" ht="15" hidden="false" customHeight="false" outlineLevel="0" collapsed="false">
      <c r="A34" s="8" t="s">
        <v>51</v>
      </c>
      <c r="B34" s="13" t="n">
        <v>6</v>
      </c>
      <c r="C34" s="9" t="n">
        <v>211.856482258373</v>
      </c>
      <c r="D34" s="9" t="n">
        <v>139.328847640717</v>
      </c>
      <c r="E34" s="9" t="n">
        <v>41.5558025236774</v>
      </c>
      <c r="F34" s="9" t="n">
        <v>15.9738983495997</v>
      </c>
      <c r="G34" s="9" t="n">
        <v>14.9979337443791</v>
      </c>
      <c r="H34" s="9" t="n">
        <v>37.5271770283689</v>
      </c>
      <c r="I34" s="11" t="n">
        <f aca="false">IF(C34=0,0,H34/C34)</f>
        <v>0.177134901081771</v>
      </c>
      <c r="J34" s="9" t="n">
        <v>30</v>
      </c>
      <c r="K34" s="9" t="n">
        <v>0</v>
      </c>
      <c r="L34" s="9" t="n">
        <v>0</v>
      </c>
      <c r="M34" s="9" t="n">
        <v>67.2568970298285</v>
      </c>
      <c r="N34" s="9" t="n">
        <v>0</v>
      </c>
      <c r="O34" s="10" t="n">
        <v>124.743597972824</v>
      </c>
      <c r="P34" s="12" t="n">
        <v>70.5</v>
      </c>
      <c r="Q34" s="12" t="n">
        <v>59</v>
      </c>
      <c r="R34" s="19" t="n">
        <v>0.719750794491526</v>
      </c>
      <c r="S34" s="8" t="s">
        <v>225</v>
      </c>
      <c r="T34" s="8" t="s">
        <v>189</v>
      </c>
      <c r="V34" s="8" t="s">
        <v>86</v>
      </c>
      <c r="W34" s="9" t="n">
        <f aca="false">SUMIFS($H$5:$H$116,$A$5:$A$116,$V34,$B$5:$B$116,1)</f>
        <v>30.1310765359104</v>
      </c>
      <c r="X34" s="9" t="n">
        <f aca="false">SUMIFS($H$5:$H$116,$A$5:$A$116,$V34,$B$5:$B$116,2)</f>
        <v>29.4729856416207</v>
      </c>
      <c r="Y34" s="9" t="n">
        <f aca="false">SUMIFS($H$5:$H$116,$A$5:$A$116,$V34,$B$5:$B$116,3)</f>
        <v>29.6089229506619</v>
      </c>
      <c r="Z34" s="9" t="n">
        <f aca="false">SUMIFS($H$5:$H$116,$A$5:$A$116,$V34,$B$5:$B$116,4)</f>
        <v>32.5785888513921</v>
      </c>
      <c r="AA34" s="9" t="n">
        <f aca="false">SUMIFS($H$5:$H$116,$A$5:$A$116,$V34,$B$5:$B$116,5)</f>
        <v>37.734803853147</v>
      </c>
      <c r="AB34" s="9" t="n">
        <f aca="false">SUMIFS($H$5:$H$116,$A$5:$A$116,$V34,$B$5:$B$116,6)</f>
        <v>45.4432386264767</v>
      </c>
      <c r="AC34" s="9" t="n">
        <f aca="false">SUMIFS($H$5:$H$116,$A$5:$A$116,$V34,$B$5:$B$116,7)</f>
        <v>49.251676550664</v>
      </c>
      <c r="AD34" s="9" t="n">
        <f aca="false">SUMIFS($H$5:$H$116,$A$5:$A$116,$V34,$B$5:$B$116,8)</f>
        <v>57.9493468533375</v>
      </c>
    </row>
    <row r="35" customFormat="false" ht="15" hidden="false" customHeight="false" outlineLevel="0" collapsed="false">
      <c r="A35" s="8" t="s">
        <v>51</v>
      </c>
      <c r="B35" s="13" t="n">
        <v>7</v>
      </c>
      <c r="C35" s="9" t="n">
        <v>217.201485596577</v>
      </c>
      <c r="D35" s="9" t="n">
        <v>139.480218345303</v>
      </c>
      <c r="E35" s="9" t="n">
        <v>42.5450931513961</v>
      </c>
      <c r="F35" s="9" t="n">
        <v>15.9478500521611</v>
      </c>
      <c r="G35" s="9" t="n">
        <v>19.2283240477177</v>
      </c>
      <c r="H35" s="9" t="n">
        <v>39.7967404340075</v>
      </c>
      <c r="I35" s="11" t="n">
        <f aca="false">IF(C35=0,0,H35/C35)</f>
        <v>0.18322499187655</v>
      </c>
      <c r="J35" s="9" t="n">
        <v>30</v>
      </c>
      <c r="K35" s="9" t="n">
        <v>6.11814507932164</v>
      </c>
      <c r="L35" s="9" t="n">
        <v>0</v>
      </c>
      <c r="M35" s="9" t="n">
        <v>70.9354923845143</v>
      </c>
      <c r="N35" s="9" t="n">
        <v>0</v>
      </c>
      <c r="O35" s="10" t="n">
        <v>130.90559902196</v>
      </c>
      <c r="P35" s="12" t="n">
        <v>69.4516451809628</v>
      </c>
      <c r="Q35" s="12" t="n">
        <v>56.9032903619256</v>
      </c>
      <c r="R35" s="19" t="n">
        <v>0.738094400743169</v>
      </c>
      <c r="S35" s="8" t="s">
        <v>225</v>
      </c>
      <c r="T35" s="8" t="s">
        <v>189</v>
      </c>
      <c r="V35" s="8" t="s">
        <v>89</v>
      </c>
      <c r="W35" s="9" t="n">
        <f aca="false">SUMIFS($H$5:$H$116,$A$5:$A$116,$V35,$B$5:$B$116,1)</f>
        <v>30.0070653958138</v>
      </c>
      <c r="X35" s="9" t="n">
        <f aca="false">SUMIFS($H$5:$H$116,$A$5:$A$116,$V35,$B$5:$B$116,2)</f>
        <v>28.4052796901301</v>
      </c>
      <c r="Y35" s="9" t="n">
        <f aca="false">SUMIFS($H$5:$H$116,$A$5:$A$116,$V35,$B$5:$B$116,3)</f>
        <v>27.1174659605231</v>
      </c>
      <c r="Z35" s="9" t="n">
        <f aca="false">SUMIFS($H$5:$H$116,$A$5:$A$116,$V35,$B$5:$B$116,4)</f>
        <v>27.7288851603758</v>
      </c>
      <c r="AA35" s="9" t="n">
        <f aca="false">SUMIFS($H$5:$H$116,$A$5:$A$116,$V35,$B$5:$B$116,5)</f>
        <v>29.5253446359348</v>
      </c>
      <c r="AB35" s="9" t="n">
        <f aca="false">SUMIFS($H$5:$H$116,$A$5:$A$116,$V35,$B$5:$B$116,6)</f>
        <v>32.2985231916906</v>
      </c>
      <c r="AC35" s="9" t="n">
        <f aca="false">SUMIFS($H$5:$H$116,$A$5:$A$116,$V35,$B$5:$B$116,7)</f>
        <v>35.2925910889742</v>
      </c>
      <c r="AD35" s="9" t="n">
        <f aca="false">SUMIFS($H$5:$H$116,$A$5:$A$116,$V35,$B$5:$B$116,8)</f>
        <v>43.6428209669373</v>
      </c>
    </row>
    <row r="36" customFormat="false" ht="15" hidden="false" customHeight="false" outlineLevel="0" collapsed="false">
      <c r="A36" s="8" t="s">
        <v>51</v>
      </c>
      <c r="B36" s="13" t="n">
        <v>8</v>
      </c>
      <c r="C36" s="9" t="n">
        <v>226.219991539104</v>
      </c>
      <c r="D36" s="9" t="n">
        <v>141.877516699414</v>
      </c>
      <c r="E36" s="9" t="n">
        <v>43.7973263962411</v>
      </c>
      <c r="F36" s="9" t="n">
        <v>15.9221667710777</v>
      </c>
      <c r="G36" s="9" t="n">
        <v>24.6229816723716</v>
      </c>
      <c r="H36" s="9" t="n">
        <v>46.0403580204834</v>
      </c>
      <c r="I36" s="11" t="n">
        <f aca="false">IF(C36=0,0,H36/C36)</f>
        <v>0.203520288844697</v>
      </c>
      <c r="J36" s="9" t="n">
        <v>40.5555555555556</v>
      </c>
      <c r="K36" s="9" t="n">
        <v>0</v>
      </c>
      <c r="L36" s="9" t="n">
        <v>0</v>
      </c>
      <c r="M36" s="9" t="n">
        <v>76.4202948494421</v>
      </c>
      <c r="N36" s="9" t="n">
        <v>0</v>
      </c>
      <c r="O36" s="10" t="n">
        <v>143.753308710913</v>
      </c>
      <c r="P36" s="12" t="n">
        <v>69.4516451809628</v>
      </c>
      <c r="Q36" s="12" t="n">
        <v>59.9032903619256</v>
      </c>
      <c r="R36" s="19" t="n">
        <v>0.774396341313057</v>
      </c>
      <c r="S36" s="8" t="s">
        <v>225</v>
      </c>
      <c r="T36" s="8" t="s">
        <v>189</v>
      </c>
      <c r="V36" s="8" t="s">
        <v>92</v>
      </c>
      <c r="W36" s="9" t="n">
        <f aca="false">SUMIFS($H$5:$H$116,$A$5:$A$116,$V36,$B$5:$B$116,1)</f>
        <v>30.0223847149875</v>
      </c>
      <c r="X36" s="9" t="n">
        <f aca="false">SUMIFS($H$5:$H$116,$A$5:$A$116,$V36,$B$5:$B$116,2)</f>
        <v>28.3482614190258</v>
      </c>
      <c r="Y36" s="9" t="n">
        <f aca="false">SUMIFS($H$5:$H$116,$A$5:$A$116,$V36,$B$5:$B$116,3)</f>
        <v>26.9090038417935</v>
      </c>
      <c r="Z36" s="9" t="n">
        <f aca="false">SUMIFS($H$5:$H$116,$A$5:$A$116,$V36,$B$5:$B$116,4)</f>
        <v>27.446791854725</v>
      </c>
      <c r="AA36" s="9" t="n">
        <f aca="false">SUMIFS($H$5:$H$116,$A$5:$A$116,$V36,$B$5:$B$116,5)</f>
        <v>29.6195417783464</v>
      </c>
      <c r="AB36" s="9" t="n">
        <f aca="false">SUMIFS($H$5:$H$116,$A$5:$A$116,$V36,$B$5:$B$116,6)</f>
        <v>31.0375990343374</v>
      </c>
      <c r="AC36" s="9" t="n">
        <f aca="false">SUMIFS($H$5:$H$116,$A$5:$A$116,$V36,$B$5:$B$116,7)</f>
        <v>35.0079854934277</v>
      </c>
      <c r="AD36" s="9" t="n">
        <f aca="false">SUMIFS($H$5:$H$116,$A$5:$A$116,$V36,$B$5:$B$116,8)</f>
        <v>44.191944262978</v>
      </c>
    </row>
    <row r="37" customFormat="false" ht="15" hidden="false" customHeight="false" outlineLevel="0" collapsed="false">
      <c r="A37" s="8" t="s">
        <v>55</v>
      </c>
      <c r="B37" s="13" t="n">
        <v>1</v>
      </c>
      <c r="C37" s="9" t="n">
        <v>200.270869988366</v>
      </c>
      <c r="D37" s="9" t="n">
        <v>140.271189988366</v>
      </c>
      <c r="E37" s="9" t="n">
        <v>40</v>
      </c>
      <c r="F37" s="9" t="n">
        <v>15.99968</v>
      </c>
      <c r="G37" s="9" t="n">
        <v>4</v>
      </c>
      <c r="H37" s="9" t="n">
        <v>30.2017805413324</v>
      </c>
      <c r="I37" s="11" t="n">
        <f aca="false">IF(C37=0,0,H37/C37)</f>
        <v>0.15080466042359</v>
      </c>
      <c r="J37" s="9" t="n">
        <v>30</v>
      </c>
      <c r="K37" s="9" t="n">
        <v>0</v>
      </c>
      <c r="L37" s="9" t="n">
        <v>0</v>
      </c>
      <c r="M37" s="9" t="n">
        <v>60.2017805413324</v>
      </c>
      <c r="N37" s="9" t="n">
        <v>0</v>
      </c>
      <c r="O37" s="10" t="n">
        <v>100.65677139944</v>
      </c>
      <c r="P37" s="12" t="n">
        <v>72</v>
      </c>
      <c r="Q37" s="12" t="n">
        <v>60</v>
      </c>
      <c r="R37" s="19" t="n">
        <v>0.466666666666667</v>
      </c>
      <c r="S37" s="8" t="s">
        <v>225</v>
      </c>
      <c r="T37" s="8" t="s">
        <v>189</v>
      </c>
    </row>
    <row r="38" customFormat="false" ht="15" hidden="false" customHeight="false" outlineLevel="0" collapsed="false">
      <c r="A38" s="8" t="s">
        <v>55</v>
      </c>
      <c r="B38" s="13" t="n">
        <v>2</v>
      </c>
      <c r="C38" s="9" t="n">
        <v>199.343454632818</v>
      </c>
      <c r="D38" s="9" t="n">
        <v>139.064882807036</v>
      </c>
      <c r="E38" s="9" t="n">
        <v>39.9997798078625</v>
      </c>
      <c r="F38" s="9" t="n">
        <v>15.99879201792</v>
      </c>
      <c r="G38" s="9" t="n">
        <v>4.28</v>
      </c>
      <c r="H38" s="9" t="n">
        <v>30.1567617485179</v>
      </c>
      <c r="I38" s="11" t="n">
        <f aca="false">IF(C38=0,0,H38/C38)</f>
        <v>0.151280421040487</v>
      </c>
      <c r="J38" s="9" t="n">
        <v>30</v>
      </c>
      <c r="K38" s="9" t="n">
        <v>0</v>
      </c>
      <c r="L38" s="9" t="n">
        <v>0</v>
      </c>
      <c r="M38" s="9" t="n">
        <v>60.3585422898503</v>
      </c>
      <c r="N38" s="9" t="n">
        <v>0</v>
      </c>
      <c r="O38" s="10" t="n">
        <v>100.094472082922</v>
      </c>
      <c r="P38" s="12" t="n">
        <v>72</v>
      </c>
      <c r="Q38" s="12" t="n">
        <v>60</v>
      </c>
      <c r="R38" s="19" t="n">
        <v>0.466666666666667</v>
      </c>
      <c r="S38" s="8" t="s">
        <v>225</v>
      </c>
      <c r="T38" s="8" t="s">
        <v>189</v>
      </c>
      <c r="V38" s="18" t="s">
        <v>236</v>
      </c>
    </row>
    <row r="39" customFormat="false" ht="30" hidden="false" customHeight="true" outlineLevel="0" collapsed="false">
      <c r="A39" s="8" t="s">
        <v>55</v>
      </c>
      <c r="B39" s="13" t="n">
        <v>3</v>
      </c>
      <c r="C39" s="9" t="n">
        <v>199.233235738744</v>
      </c>
      <c r="D39" s="9" t="n">
        <v>138.805656827061</v>
      </c>
      <c r="E39" s="9" t="n">
        <v>39.9987457567807</v>
      </c>
      <c r="F39" s="9" t="n">
        <v>15.9979454836694</v>
      </c>
      <c r="G39" s="9" t="n">
        <v>4.43088767123288</v>
      </c>
      <c r="H39" s="9" t="n">
        <v>29.7771538537357</v>
      </c>
      <c r="I39" s="11" t="n">
        <f aca="false">IF(C39=0,0,H39/C39)</f>
        <v>0.149458767475838</v>
      </c>
      <c r="J39" s="9" t="n">
        <v>30</v>
      </c>
      <c r="K39" s="9" t="n">
        <v>0</v>
      </c>
      <c r="L39" s="9" t="n">
        <v>0</v>
      </c>
      <c r="M39" s="9" t="n">
        <v>60.1356961435861</v>
      </c>
      <c r="N39" s="9" t="n">
        <v>0</v>
      </c>
      <c r="O39" s="10" t="n">
        <v>102.826632857584</v>
      </c>
      <c r="P39" s="12" t="n">
        <v>72</v>
      </c>
      <c r="Q39" s="12" t="n">
        <v>60</v>
      </c>
      <c r="R39" s="19" t="n">
        <v>0.466666666666667</v>
      </c>
      <c r="S39" s="8" t="s">
        <v>225</v>
      </c>
      <c r="T39" s="8" t="s">
        <v>189</v>
      </c>
      <c r="V39" s="7" t="s">
        <v>157</v>
      </c>
      <c r="W39" s="7" t="s">
        <v>226</v>
      </c>
      <c r="X39" s="7" t="s">
        <v>227</v>
      </c>
      <c r="Y39" s="7" t="s">
        <v>228</v>
      </c>
      <c r="Z39" s="7" t="s">
        <v>229</v>
      </c>
      <c r="AA39" s="7" t="s">
        <v>230</v>
      </c>
      <c r="AB39" s="7" t="s">
        <v>231</v>
      </c>
      <c r="AC39" s="7" t="s">
        <v>232</v>
      </c>
      <c r="AD39" s="7" t="s">
        <v>233</v>
      </c>
    </row>
    <row r="40" customFormat="false" ht="15" hidden="false" customHeight="false" outlineLevel="0" collapsed="false">
      <c r="A40" s="8" t="s">
        <v>55</v>
      </c>
      <c r="B40" s="13" t="n">
        <v>4</v>
      </c>
      <c r="C40" s="9" t="n">
        <v>200.499987828783</v>
      </c>
      <c r="D40" s="9" t="n">
        <v>139.931583724748</v>
      </c>
      <c r="E40" s="9" t="n">
        <v>40.0054322942585</v>
      </c>
      <c r="F40" s="9" t="n">
        <v>15.9967360947163</v>
      </c>
      <c r="G40" s="9" t="n">
        <v>4.56623571505993</v>
      </c>
      <c r="H40" s="9" t="n">
        <v>30.6067749577105</v>
      </c>
      <c r="I40" s="11" t="n">
        <f aca="false">IF(C40=0,0,H40/C40)</f>
        <v>0.15265225344476</v>
      </c>
      <c r="J40" s="9" t="n">
        <v>30</v>
      </c>
      <c r="K40" s="9" t="n">
        <v>0</v>
      </c>
      <c r="L40" s="9" t="n">
        <v>0</v>
      </c>
      <c r="M40" s="9" t="n">
        <v>60.7424711012966</v>
      </c>
      <c r="N40" s="9" t="n">
        <v>0</v>
      </c>
      <c r="O40" s="10" t="n">
        <v>106.834104421798</v>
      </c>
      <c r="P40" s="12" t="n">
        <v>72</v>
      </c>
      <c r="Q40" s="12" t="n">
        <v>60</v>
      </c>
      <c r="R40" s="19" t="n">
        <v>0.557875</v>
      </c>
      <c r="S40" s="8" t="s">
        <v>225</v>
      </c>
      <c r="T40" s="8" t="s">
        <v>189</v>
      </c>
      <c r="V40" s="8" t="s">
        <v>36</v>
      </c>
      <c r="W40" s="9" t="n">
        <f aca="false">SUMIFS($M$5:$M$116,$A$5:$A$116,$V40,$B$5:$B$116,1)</f>
        <v>60.2158816626239</v>
      </c>
      <c r="X40" s="9" t="n">
        <f aca="false">SUMIFS($M$5:$M$116,$A$5:$A$116,$V40,$B$5:$B$116,2)</f>
        <v>59.9097301974431</v>
      </c>
      <c r="Y40" s="9" t="n">
        <f aca="false">SUMIFS($M$5:$M$116,$A$5:$A$116,$V40,$B$5:$B$116,3)</f>
        <v>58.8566711379554</v>
      </c>
      <c r="Z40" s="9" t="n">
        <f aca="false">SUMIFS($M$5:$M$116,$A$5:$A$116,$V40,$B$5:$B$116,4)</f>
        <v>58.3583816478528</v>
      </c>
      <c r="AA40" s="9" t="n">
        <f aca="false">SUMIFS($M$5:$M$116,$A$5:$A$116,$V40,$B$5:$B$116,5)</f>
        <v>59.8025549213639</v>
      </c>
      <c r="AB40" s="9" t="n">
        <f aca="false">SUMIFS($M$5:$M$116,$A$5:$A$116,$V40,$B$5:$B$116,6)</f>
        <v>63.3100804174779</v>
      </c>
      <c r="AC40" s="9" t="n">
        <f aca="false">SUMIFS($M$5:$M$116,$A$5:$A$116,$V40,$B$5:$B$116,7)</f>
        <v>53.3667213809569</v>
      </c>
      <c r="AD40" s="9" t="n">
        <f aca="false">SUMIFS($M$5:$M$116,$A$5:$A$116,$V40,$B$5:$B$116,8)</f>
        <v>46.64690991472</v>
      </c>
    </row>
    <row r="41" customFormat="false" ht="15" hidden="false" customHeight="false" outlineLevel="0" collapsed="false">
      <c r="A41" s="8" t="s">
        <v>55</v>
      </c>
      <c r="B41" s="13" t="n">
        <v>5</v>
      </c>
      <c r="C41" s="9" t="n">
        <v>203.005581489307</v>
      </c>
      <c r="D41" s="9" t="n">
        <v>142.358381444328</v>
      </c>
      <c r="E41" s="9" t="n">
        <v>39.9948411135675</v>
      </c>
      <c r="F41" s="9" t="n">
        <v>15.9930128707279</v>
      </c>
      <c r="G41" s="9" t="n">
        <v>4.65934606068357</v>
      </c>
      <c r="H41" s="9" t="n">
        <v>32.385685466387</v>
      </c>
      <c r="I41" s="11" t="n">
        <f aca="false">IF(C41=0,0,H41/C41)</f>
        <v>0.159531010077636</v>
      </c>
      <c r="J41" s="9" t="n">
        <v>30</v>
      </c>
      <c r="K41" s="9" t="n">
        <v>0</v>
      </c>
      <c r="L41" s="9" t="n">
        <v>0</v>
      </c>
      <c r="M41" s="9" t="n">
        <v>63.1281565676836</v>
      </c>
      <c r="N41" s="9" t="n">
        <v>0</v>
      </c>
      <c r="O41" s="10" t="n">
        <v>110.906932605637</v>
      </c>
      <c r="P41" s="12" t="n">
        <v>72</v>
      </c>
      <c r="Q41" s="12" t="n">
        <v>60</v>
      </c>
      <c r="R41" s="19" t="n">
        <v>0.534541666666667</v>
      </c>
      <c r="S41" s="8" t="s">
        <v>225</v>
      </c>
      <c r="T41" s="8" t="s">
        <v>189</v>
      </c>
      <c r="V41" s="8" t="s">
        <v>41</v>
      </c>
      <c r="W41" s="9" t="n">
        <f aca="false">SUMIFS($M$5:$M$116,$A$5:$A$116,$V41,$B$5:$B$116,1)</f>
        <v>60.0590101281462</v>
      </c>
      <c r="X41" s="9" t="n">
        <f aca="false">SUMIFS($M$5:$M$116,$A$5:$A$116,$V41,$B$5:$B$116,2)</f>
        <v>58.3571628112066</v>
      </c>
      <c r="Y41" s="9" t="n">
        <f aca="false">SUMIFS($M$5:$M$116,$A$5:$A$116,$V41,$B$5:$B$116,3)</f>
        <v>54.209778850889</v>
      </c>
      <c r="Z41" s="9" t="n">
        <f aca="false">SUMIFS($M$5:$M$116,$A$5:$A$116,$V41,$B$5:$B$116,4)</f>
        <v>48.1102236528467</v>
      </c>
      <c r="AA41" s="9" t="n">
        <f aca="false">SUMIFS($M$5:$M$116,$A$5:$A$116,$V41,$B$5:$B$116,5)</f>
        <v>30.8403663834359</v>
      </c>
      <c r="AB41" s="9" t="n">
        <f aca="false">SUMIFS($M$5:$M$116,$A$5:$A$116,$V41,$B$5:$B$116,6)</f>
        <v>29.1917016230707</v>
      </c>
      <c r="AC41" s="9" t="n">
        <f aca="false">SUMIFS($M$5:$M$116,$A$5:$A$116,$V41,$B$5:$B$116,7)</f>
        <v>25</v>
      </c>
      <c r="AD41" s="9" t="n">
        <f aca="false">SUMIFS($M$5:$M$116,$A$5:$A$116,$V41,$B$5:$B$116,8)</f>
        <v>25</v>
      </c>
    </row>
    <row r="42" customFormat="false" ht="15" hidden="false" customHeight="false" outlineLevel="0" collapsed="false">
      <c r="A42" s="8" t="s">
        <v>55</v>
      </c>
      <c r="B42" s="13" t="n">
        <v>6</v>
      </c>
      <c r="C42" s="9" t="n">
        <v>203.932915760741</v>
      </c>
      <c r="D42" s="9" t="n">
        <v>143.589748577106</v>
      </c>
      <c r="E42" s="9" t="n">
        <v>39.7199827075534</v>
      </c>
      <c r="F42" s="9" t="n">
        <v>15.9738983495997</v>
      </c>
      <c r="G42" s="9" t="n">
        <v>4.64928612648158</v>
      </c>
      <c r="H42" s="9" t="n">
        <v>35.7919286495237</v>
      </c>
      <c r="I42" s="11" t="n">
        <f aca="false">IF(C42=0,0,H42/C42)</f>
        <v>0.17550834555573</v>
      </c>
      <c r="J42" s="9" t="n">
        <v>30</v>
      </c>
      <c r="K42" s="9" t="n">
        <v>0</v>
      </c>
      <c r="L42" s="9" t="n">
        <v>0</v>
      </c>
      <c r="M42" s="9" t="n">
        <v>68.9200852172073</v>
      </c>
      <c r="N42" s="9" t="n">
        <v>0</v>
      </c>
      <c r="O42" s="10" t="n">
        <v>111.715635004833</v>
      </c>
      <c r="P42" s="12" t="n">
        <v>70.5</v>
      </c>
      <c r="Q42" s="12" t="n">
        <v>59</v>
      </c>
      <c r="R42" s="19" t="n">
        <v>0.519872881355932</v>
      </c>
      <c r="S42" s="8" t="s">
        <v>225</v>
      </c>
      <c r="T42" s="8" t="s">
        <v>189</v>
      </c>
      <c r="V42" s="8" t="s">
        <v>46</v>
      </c>
      <c r="W42" s="9" t="n">
        <f aca="false">SUMIFS($M$5:$M$116,$A$5:$A$116,$V42,$B$5:$B$116,1)</f>
        <v>60.0547174459375</v>
      </c>
      <c r="X42" s="9" t="n">
        <f aca="false">SUMIFS($M$5:$M$116,$A$5:$A$116,$V42,$B$5:$B$116,2)</f>
        <v>58.8187864495931</v>
      </c>
      <c r="Y42" s="9" t="n">
        <f aca="false">SUMIFS($M$5:$M$116,$A$5:$A$116,$V42,$B$5:$B$116,3)</f>
        <v>57.4742488079393</v>
      </c>
      <c r="Z42" s="9" t="n">
        <f aca="false">SUMIFS($M$5:$M$116,$A$5:$A$116,$V42,$B$5:$B$116,4)</f>
        <v>58.7614732732984</v>
      </c>
      <c r="AA42" s="9" t="n">
        <f aca="false">SUMIFS($M$5:$M$116,$A$5:$A$116,$V42,$B$5:$B$116,5)</f>
        <v>64.1874815958488</v>
      </c>
      <c r="AB42" s="9" t="n">
        <f aca="false">SUMIFS($M$5:$M$116,$A$5:$A$116,$V42,$B$5:$B$116,6)</f>
        <v>72.8419143529201</v>
      </c>
      <c r="AC42" s="9" t="n">
        <f aca="false">SUMIFS($M$5:$M$116,$A$5:$A$116,$V42,$B$5:$B$116,7)</f>
        <v>80.1315021870743</v>
      </c>
      <c r="AD42" s="9" t="n">
        <f aca="false">SUMIFS($M$5:$M$116,$A$5:$A$116,$V42,$B$5:$B$116,8)</f>
        <v>84.5075687237593</v>
      </c>
    </row>
    <row r="43" customFormat="false" ht="15" hidden="false" customHeight="false" outlineLevel="0" collapsed="false">
      <c r="A43" s="8" t="s">
        <v>55</v>
      </c>
      <c r="B43" s="13" t="n">
        <v>7</v>
      </c>
      <c r="C43" s="9" t="n">
        <v>201.648534096313</v>
      </c>
      <c r="D43" s="9" t="n">
        <v>141.525233596249</v>
      </c>
      <c r="E43" s="9" t="n">
        <v>39.4849945293618</v>
      </c>
      <c r="F43" s="9" t="n">
        <v>15.9413614567148</v>
      </c>
      <c r="G43" s="9" t="n">
        <v>4.69694451398807</v>
      </c>
      <c r="H43" s="9" t="n">
        <v>33.4097120512199</v>
      </c>
      <c r="I43" s="11" t="n">
        <f aca="false">IF(C43=0,0,H43/C43)</f>
        <v>0.165682890782943</v>
      </c>
      <c r="J43" s="9" t="n">
        <v>30</v>
      </c>
      <c r="K43" s="9" t="n">
        <v>13.1859961249295</v>
      </c>
      <c r="L43" s="9" t="n">
        <v>0</v>
      </c>
      <c r="M43" s="9" t="n">
        <v>59.1438011434978</v>
      </c>
      <c r="N43" s="9" t="n">
        <v>0</v>
      </c>
      <c r="O43" s="10" t="n">
        <v>103.952496822858</v>
      </c>
      <c r="P43" s="12" t="n">
        <v>70.5</v>
      </c>
      <c r="Q43" s="12" t="n">
        <v>59</v>
      </c>
      <c r="R43" s="19" t="n">
        <v>0.515254237288136</v>
      </c>
      <c r="S43" s="8" t="s">
        <v>225</v>
      </c>
      <c r="T43" s="8" t="s">
        <v>189</v>
      </c>
      <c r="V43" s="8" t="s">
        <v>51</v>
      </c>
      <c r="W43" s="9" t="n">
        <f aca="false">SUMIFS($M$5:$M$116,$A$5:$A$116,$V43,$B$5:$B$116,1)</f>
        <v>60.1116995536119</v>
      </c>
      <c r="X43" s="9" t="n">
        <f aca="false">SUMIFS($M$5:$M$116,$A$5:$A$116,$V43,$B$5:$B$116,2)</f>
        <v>59.1794830221605</v>
      </c>
      <c r="Y43" s="9" t="n">
        <f aca="false">SUMIFS($M$5:$M$116,$A$5:$A$116,$V43,$B$5:$B$116,3)</f>
        <v>57.5037449565007</v>
      </c>
      <c r="Z43" s="9" t="n">
        <f aca="false">SUMIFS($M$5:$M$116,$A$5:$A$116,$V43,$B$5:$B$116,4)</f>
        <v>57.118185363373</v>
      </c>
      <c r="AA43" s="9" t="n">
        <f aca="false">SUMIFS($M$5:$M$116,$A$5:$A$116,$V43,$B$5:$B$116,5)</f>
        <v>59.7297200014596</v>
      </c>
      <c r="AB43" s="9" t="n">
        <f aca="false">SUMIFS($M$5:$M$116,$A$5:$A$116,$V43,$B$5:$B$116,6)</f>
        <v>67.2568970298285</v>
      </c>
      <c r="AC43" s="9" t="n">
        <f aca="false">SUMIFS($M$5:$M$116,$A$5:$A$116,$V43,$B$5:$B$116,7)</f>
        <v>70.9354923845143</v>
      </c>
      <c r="AD43" s="9" t="n">
        <f aca="false">SUMIFS($M$5:$M$116,$A$5:$A$116,$V43,$B$5:$B$116,8)</f>
        <v>76.4202948494421</v>
      </c>
    </row>
    <row r="44" customFormat="false" ht="15" hidden="false" customHeight="false" outlineLevel="0" collapsed="false">
      <c r="A44" s="8" t="s">
        <v>55</v>
      </c>
      <c r="B44" s="13" t="n">
        <v>8</v>
      </c>
      <c r="C44" s="9" t="n">
        <v>203.893159816572</v>
      </c>
      <c r="D44" s="9" t="n">
        <v>143.952978567686</v>
      </c>
      <c r="E44" s="9" t="n">
        <v>39.2463786901263</v>
      </c>
      <c r="F44" s="9" t="n">
        <v>15.9041943769392</v>
      </c>
      <c r="G44" s="9" t="n">
        <v>4.78960818182069</v>
      </c>
      <c r="H44" s="9" t="n">
        <v>34.7475339026949</v>
      </c>
      <c r="I44" s="11" t="n">
        <f aca="false">IF(C44=0,0,H44/C44)</f>
        <v>0.170420302152141</v>
      </c>
      <c r="J44" s="9" t="n">
        <v>37.5</v>
      </c>
      <c r="K44" s="9" t="n">
        <v>0</v>
      </c>
      <c r="L44" s="9" t="n">
        <v>0</v>
      </c>
      <c r="M44" s="9" t="n">
        <v>56.3913350461927</v>
      </c>
      <c r="N44" s="9" t="n">
        <v>0</v>
      </c>
      <c r="O44" s="10" t="n">
        <v>109.882212011446</v>
      </c>
      <c r="P44" s="12" t="n">
        <v>70.5</v>
      </c>
      <c r="Q44" s="12" t="n">
        <v>59</v>
      </c>
      <c r="R44" s="19" t="n">
        <v>0.515254237288136</v>
      </c>
      <c r="S44" s="8" t="s">
        <v>225</v>
      </c>
      <c r="T44" s="8" t="s">
        <v>189</v>
      </c>
      <c r="V44" s="8" t="s">
        <v>55</v>
      </c>
      <c r="W44" s="9" t="n">
        <f aca="false">SUMIFS($M$5:$M$116,$A$5:$A$116,$V44,$B$5:$B$116,1)</f>
        <v>60.2017805413324</v>
      </c>
      <c r="X44" s="9" t="n">
        <f aca="false">SUMIFS($M$5:$M$116,$A$5:$A$116,$V44,$B$5:$B$116,2)</f>
        <v>60.3585422898503</v>
      </c>
      <c r="Y44" s="9" t="n">
        <f aca="false">SUMIFS($M$5:$M$116,$A$5:$A$116,$V44,$B$5:$B$116,3)</f>
        <v>60.1356961435861</v>
      </c>
      <c r="Z44" s="9" t="n">
        <f aca="false">SUMIFS($M$5:$M$116,$A$5:$A$116,$V44,$B$5:$B$116,4)</f>
        <v>60.7424711012966</v>
      </c>
      <c r="AA44" s="9" t="n">
        <f aca="false">SUMIFS($M$5:$M$116,$A$5:$A$116,$V44,$B$5:$B$116,5)</f>
        <v>63.1281565676836</v>
      </c>
      <c r="AB44" s="9" t="n">
        <f aca="false">SUMIFS($M$5:$M$116,$A$5:$A$116,$V44,$B$5:$B$116,6)</f>
        <v>68.9200852172073</v>
      </c>
      <c r="AC44" s="9" t="n">
        <f aca="false">SUMIFS($M$5:$M$116,$A$5:$A$116,$V44,$B$5:$B$116,7)</f>
        <v>59.1438011434978</v>
      </c>
      <c r="AD44" s="9" t="n">
        <f aca="false">SUMIFS($M$5:$M$116,$A$5:$A$116,$V44,$B$5:$B$116,8)</f>
        <v>56.3913350461927</v>
      </c>
    </row>
    <row r="45" customFormat="false" ht="15" hidden="false" customHeight="false" outlineLevel="0" collapsed="false">
      <c r="A45" s="8" t="s">
        <v>59</v>
      </c>
      <c r="B45" s="13" t="n">
        <v>1</v>
      </c>
      <c r="C45" s="9" t="n">
        <v>200.020835423408</v>
      </c>
      <c r="D45" s="9" t="n">
        <v>139.972822090075</v>
      </c>
      <c r="E45" s="9" t="n">
        <v>40.0483333333333</v>
      </c>
      <c r="F45" s="9" t="n">
        <v>15.99968</v>
      </c>
      <c r="G45" s="9" t="n">
        <v>4</v>
      </c>
      <c r="H45" s="9" t="n">
        <v>30.0181631237724</v>
      </c>
      <c r="I45" s="11" t="n">
        <f aca="false">IF(C45=0,0,H45/C45)</f>
        <v>0.150075181219143</v>
      </c>
      <c r="J45" s="9" t="n">
        <v>30</v>
      </c>
      <c r="K45" s="9" t="n">
        <v>0</v>
      </c>
      <c r="L45" s="9" t="n">
        <v>0</v>
      </c>
      <c r="M45" s="9" t="n">
        <v>60.0181631237724</v>
      </c>
      <c r="N45" s="9" t="n">
        <v>0</v>
      </c>
      <c r="O45" s="10" t="n">
        <v>100.078181200697</v>
      </c>
      <c r="P45" s="12" t="n">
        <v>72</v>
      </c>
      <c r="Q45" s="12" t="n">
        <v>60</v>
      </c>
      <c r="R45" s="19" t="n">
        <v>0.433333333333333</v>
      </c>
      <c r="S45" s="8" t="s">
        <v>225</v>
      </c>
      <c r="T45" s="8" t="s">
        <v>189</v>
      </c>
      <c r="V45" s="8" t="s">
        <v>59</v>
      </c>
      <c r="W45" s="9" t="n">
        <f aca="false">SUMIFS($M$5:$M$116,$A$5:$A$116,$V45,$B$5:$B$116,1)</f>
        <v>60.0181631237724</v>
      </c>
      <c r="X45" s="9" t="n">
        <f aca="false">SUMIFS($M$5:$M$116,$A$5:$A$116,$V45,$B$5:$B$116,2)</f>
        <v>58.2862168418077</v>
      </c>
      <c r="Y45" s="9" t="n">
        <f aca="false">SUMIFS($M$5:$M$116,$A$5:$A$116,$V45,$B$5:$B$116,3)</f>
        <v>53.952960652048</v>
      </c>
      <c r="Z45" s="9" t="n">
        <f aca="false">SUMIFS($M$5:$M$116,$A$5:$A$116,$V45,$B$5:$B$116,4)</f>
        <v>47.350248202279</v>
      </c>
      <c r="AA45" s="9" t="n">
        <f aca="false">SUMIFS($M$5:$M$116,$A$5:$A$116,$V45,$B$5:$B$116,5)</f>
        <v>28.4003866364433</v>
      </c>
      <c r="AB45" s="9" t="n">
        <f aca="false">SUMIFS($M$5:$M$116,$A$5:$A$116,$V45,$B$5:$B$116,6)</f>
        <v>25</v>
      </c>
      <c r="AC45" s="9" t="n">
        <f aca="false">SUMIFS($M$5:$M$116,$A$5:$A$116,$V45,$B$5:$B$116,7)</f>
        <v>25</v>
      </c>
      <c r="AD45" s="9" t="n">
        <f aca="false">SUMIFS($M$5:$M$116,$A$5:$A$116,$V45,$B$5:$B$116,8)</f>
        <v>25</v>
      </c>
    </row>
    <row r="46" customFormat="false" ht="15" hidden="false" customHeight="false" outlineLevel="0" collapsed="false">
      <c r="A46" s="8" t="s">
        <v>59</v>
      </c>
      <c r="B46" s="13" t="n">
        <v>2</v>
      </c>
      <c r="C46" s="9" t="n">
        <v>198.386345375576</v>
      </c>
      <c r="D46" s="9" t="n">
        <v>137.875538295807</v>
      </c>
      <c r="E46" s="9" t="n">
        <v>40.2320150618492</v>
      </c>
      <c r="F46" s="9" t="n">
        <v>15.99879201792</v>
      </c>
      <c r="G46" s="9" t="n">
        <v>4.28</v>
      </c>
      <c r="H46" s="9" t="n">
        <v>28.2680537180354</v>
      </c>
      <c r="I46" s="11" t="n">
        <f aca="false">IF(C46=0,0,H46/C46)</f>
        <v>0.14248991615083</v>
      </c>
      <c r="J46" s="9" t="n">
        <v>30</v>
      </c>
      <c r="K46" s="9" t="n">
        <v>0</v>
      </c>
      <c r="L46" s="9" t="n">
        <v>0</v>
      </c>
      <c r="M46" s="9" t="n">
        <v>58.2862168418077</v>
      </c>
      <c r="N46" s="9" t="n">
        <v>0</v>
      </c>
      <c r="O46" s="10" t="n">
        <v>96.8422495100156</v>
      </c>
      <c r="P46" s="12" t="n">
        <v>72</v>
      </c>
      <c r="Q46" s="12" t="n">
        <v>60</v>
      </c>
      <c r="R46" s="19" t="n">
        <v>0.433333333333333</v>
      </c>
      <c r="S46" s="8" t="s">
        <v>225</v>
      </c>
      <c r="T46" s="8" t="s">
        <v>189</v>
      </c>
      <c r="V46" s="8" t="s">
        <v>63</v>
      </c>
      <c r="W46" s="9" t="n">
        <f aca="false">SUMIFS($M$5:$M$116,$A$5:$A$116,$V46,$B$5:$B$116,1)</f>
        <v>60.0168348581017</v>
      </c>
      <c r="X46" s="9" t="n">
        <f aca="false">SUMIFS($M$5:$M$116,$A$5:$A$116,$V46,$B$5:$B$116,2)</f>
        <v>58.7419653861056</v>
      </c>
      <c r="Y46" s="9" t="n">
        <f aca="false">SUMIFS($M$5:$M$116,$A$5:$A$116,$V46,$B$5:$B$116,3)</f>
        <v>57.0190808186878</v>
      </c>
      <c r="Z46" s="9" t="n">
        <f aca="false">SUMIFS($M$5:$M$116,$A$5:$A$116,$V46,$B$5:$B$116,4)</f>
        <v>56.7848220300769</v>
      </c>
      <c r="AA46" s="9" t="n">
        <f aca="false">SUMIFS($M$5:$M$116,$A$5:$A$116,$V46,$B$5:$B$116,5)</f>
        <v>59.0378922405859</v>
      </c>
      <c r="AB46" s="9" t="n">
        <f aca="false">SUMIFS($M$5:$M$116,$A$5:$A$116,$V46,$B$5:$B$116,6)</f>
        <v>64.7032433441632</v>
      </c>
      <c r="AC46" s="9" t="n">
        <f aca="false">SUMIFS($M$5:$M$116,$A$5:$A$116,$V46,$B$5:$B$116,7)</f>
        <v>58.7868870175792</v>
      </c>
      <c r="AD46" s="9" t="n">
        <f aca="false">SUMIFS($M$5:$M$116,$A$5:$A$116,$V46,$B$5:$B$116,8)</f>
        <v>60.2694259405635</v>
      </c>
    </row>
    <row r="47" customFormat="false" ht="15" hidden="false" customHeight="false" outlineLevel="0" collapsed="false">
      <c r="A47" s="8" t="s">
        <v>59</v>
      </c>
      <c r="B47" s="13" t="n">
        <v>3</v>
      </c>
      <c r="C47" s="9" t="n">
        <v>196.892971585518</v>
      </c>
      <c r="D47" s="9" t="n">
        <v>135.837774981226</v>
      </c>
      <c r="E47" s="9" t="n">
        <v>40.62636344939</v>
      </c>
      <c r="F47" s="9" t="n">
        <v>15.9979454836694</v>
      </c>
      <c r="G47" s="9" t="n">
        <v>4.43088767123288</v>
      </c>
      <c r="H47" s="9" t="n">
        <v>25.6667438102403</v>
      </c>
      <c r="I47" s="11" t="n">
        <f aca="false">IF(C47=0,0,H47/C47)</f>
        <v>0.130358862500545</v>
      </c>
      <c r="J47" s="9" t="n">
        <v>30</v>
      </c>
      <c r="K47" s="9" t="n">
        <v>0</v>
      </c>
      <c r="L47" s="9" t="n">
        <v>0</v>
      </c>
      <c r="M47" s="9" t="n">
        <v>53.952960652048</v>
      </c>
      <c r="N47" s="9" t="n">
        <v>0</v>
      </c>
      <c r="O47" s="10" t="n">
        <v>95.4342449629844</v>
      </c>
      <c r="P47" s="12" t="n">
        <v>72</v>
      </c>
      <c r="Q47" s="12" t="n">
        <v>60</v>
      </c>
      <c r="R47" s="19" t="n">
        <v>0.433333333333333</v>
      </c>
      <c r="S47" s="8" t="s">
        <v>225</v>
      </c>
      <c r="T47" s="8" t="s">
        <v>189</v>
      </c>
      <c r="V47" s="8" t="s">
        <v>67</v>
      </c>
      <c r="W47" s="9" t="n">
        <f aca="false">SUMIFS($M$5:$M$116,$A$5:$A$116,$V47,$B$5:$B$116,1)</f>
        <v>60.0475789931449</v>
      </c>
      <c r="X47" s="9" t="n">
        <f aca="false">SUMIFS($M$5:$M$116,$A$5:$A$116,$V47,$B$5:$B$116,2)</f>
        <v>59.1081459529959</v>
      </c>
      <c r="Y47" s="9" t="n">
        <f aca="false">SUMIFS($M$5:$M$116,$A$5:$A$116,$V47,$B$5:$B$116,3)</f>
        <v>56.5602227505688</v>
      </c>
      <c r="Z47" s="9" t="n">
        <f aca="false">SUMIFS($M$5:$M$116,$A$5:$A$116,$V47,$B$5:$B$116,4)</f>
        <v>53.0882479811158</v>
      </c>
      <c r="AA47" s="9" t="n">
        <f aca="false">SUMIFS($M$5:$M$116,$A$5:$A$116,$V47,$B$5:$B$116,5)</f>
        <v>49.3749699896883</v>
      </c>
      <c r="AB47" s="9" t="n">
        <f aca="false">SUMIFS($M$5:$M$116,$A$5:$A$116,$V47,$B$5:$B$116,6)</f>
        <v>45.3709721866728</v>
      </c>
      <c r="AC47" s="9" t="n">
        <f aca="false">SUMIFS($M$5:$M$116,$A$5:$A$116,$V47,$B$5:$B$116,7)</f>
        <v>37.808829471897</v>
      </c>
      <c r="AD47" s="9" t="n">
        <f aca="false">SUMIFS($M$5:$M$116,$A$5:$A$116,$V47,$B$5:$B$116,8)</f>
        <v>32.5127262874841</v>
      </c>
    </row>
    <row r="48" customFormat="false" ht="15" hidden="false" customHeight="false" outlineLevel="0" collapsed="false">
      <c r="A48" s="8" t="s">
        <v>59</v>
      </c>
      <c r="B48" s="13" t="n">
        <v>4</v>
      </c>
      <c r="C48" s="9" t="n">
        <v>195.633052540802</v>
      </c>
      <c r="D48" s="9" t="n">
        <v>133.752816537584</v>
      </c>
      <c r="E48" s="9" t="n">
        <v>41.3173351166606</v>
      </c>
      <c r="F48" s="9" t="n">
        <v>15.9967360947163</v>
      </c>
      <c r="G48" s="9" t="n">
        <v>4.5661647918405</v>
      </c>
      <c r="H48" s="9" t="n">
        <v>23.397287550231</v>
      </c>
      <c r="I48" s="11" t="n">
        <f aca="false">IF(C48=0,0,H48/C48)</f>
        <v>0.119597824837657</v>
      </c>
      <c r="J48" s="9" t="n">
        <v>30</v>
      </c>
      <c r="K48" s="9" t="n">
        <v>0</v>
      </c>
      <c r="L48" s="9" t="n">
        <v>0</v>
      </c>
      <c r="M48" s="9" t="n">
        <v>47.350248202279</v>
      </c>
      <c r="N48" s="9" t="n">
        <v>0</v>
      </c>
      <c r="O48" s="10" t="n">
        <v>94.6679284428625</v>
      </c>
      <c r="P48" s="12" t="n">
        <v>72</v>
      </c>
      <c r="Q48" s="12" t="n">
        <v>60</v>
      </c>
      <c r="R48" s="19" t="n">
        <v>0.527655159722222</v>
      </c>
      <c r="S48" s="8" t="s">
        <v>225</v>
      </c>
      <c r="T48" s="8" t="s">
        <v>189</v>
      </c>
      <c r="V48" s="8" t="s">
        <v>72</v>
      </c>
      <c r="W48" s="9" t="n">
        <f aca="false">SUMIFS($M$5:$M$116,$A$5:$A$116,$V48,$B$5:$B$116,1)</f>
        <v>80.0411165832347</v>
      </c>
      <c r="X48" s="9" t="n">
        <f aca="false">SUMIFS($M$5:$M$116,$A$5:$A$116,$V48,$B$5:$B$116,2)</f>
        <v>99.278604044019</v>
      </c>
      <c r="Y48" s="9" t="n">
        <f aca="false">SUMIFS($M$5:$M$116,$A$5:$A$116,$V48,$B$5:$B$116,3)</f>
        <v>117.022087173795</v>
      </c>
      <c r="Z48" s="9" t="n">
        <f aca="false">SUMIFS($M$5:$M$116,$A$5:$A$116,$V48,$B$5:$B$116,4)</f>
        <v>133.900818457515</v>
      </c>
      <c r="AA48" s="9" t="n">
        <f aca="false">SUMIFS($M$5:$M$116,$A$5:$A$116,$V48,$B$5:$B$116,5)</f>
        <v>150.561367901477</v>
      </c>
      <c r="AB48" s="9" t="n">
        <f aca="false">SUMIFS($M$5:$M$116,$A$5:$A$116,$V48,$B$5:$B$116,6)</f>
        <v>168.479013888189</v>
      </c>
      <c r="AC48" s="9" t="n">
        <f aca="false">SUMIFS($M$5:$M$116,$A$5:$A$116,$V48,$B$5:$B$116,7)</f>
        <v>179.246694756463</v>
      </c>
      <c r="AD48" s="9" t="n">
        <f aca="false">SUMIFS($M$5:$M$116,$A$5:$A$116,$V48,$B$5:$B$116,8)</f>
        <v>186.793796927354</v>
      </c>
    </row>
    <row r="49" customFormat="false" ht="15" hidden="false" customHeight="false" outlineLevel="0" collapsed="false">
      <c r="A49" s="8" t="s">
        <v>59</v>
      </c>
      <c r="B49" s="13" t="n">
        <v>5</v>
      </c>
      <c r="C49" s="9" t="n">
        <v>194.780298515396</v>
      </c>
      <c r="D49" s="9" t="n">
        <v>131.688778813293</v>
      </c>
      <c r="E49" s="9" t="n">
        <v>42.4393516526798</v>
      </c>
      <c r="F49" s="9" t="n">
        <v>15.9930128707279</v>
      </c>
      <c r="G49" s="9" t="n">
        <v>4.65915517869584</v>
      </c>
      <c r="H49" s="9" t="n">
        <v>21.4251384341643</v>
      </c>
      <c r="I49" s="11" t="n">
        <f aca="false">IF(C49=0,0,H49/C49)</f>
        <v>0.109996434944732</v>
      </c>
      <c r="J49" s="9" t="n">
        <v>30</v>
      </c>
      <c r="K49" s="9" t="n">
        <v>10.375</v>
      </c>
      <c r="L49" s="9" t="n">
        <v>0</v>
      </c>
      <c r="M49" s="9" t="n">
        <v>28.4003866364433</v>
      </c>
      <c r="N49" s="9" t="n">
        <v>0</v>
      </c>
      <c r="O49" s="10" t="n">
        <v>84.7057992999856</v>
      </c>
      <c r="P49" s="12" t="n">
        <v>72</v>
      </c>
      <c r="Q49" s="12" t="n">
        <v>60</v>
      </c>
      <c r="R49" s="19" t="n">
        <v>0.614203385292969</v>
      </c>
      <c r="S49" s="8" t="s">
        <v>234</v>
      </c>
      <c r="T49" s="8" t="s">
        <v>189</v>
      </c>
      <c r="V49" s="8" t="s">
        <v>77</v>
      </c>
      <c r="W49" s="9" t="n">
        <f aca="false">SUMIFS($M$5:$M$116,$A$5:$A$116,$V49,$B$5:$B$116,1)</f>
        <v>65.0742462416735</v>
      </c>
      <c r="X49" s="9" t="n">
        <f aca="false">SUMIFS($M$5:$M$116,$A$5:$A$116,$V49,$B$5:$B$116,2)</f>
        <v>64.1554403917494</v>
      </c>
      <c r="Y49" s="9" t="n">
        <f aca="false">SUMIFS($M$5:$M$116,$A$5:$A$116,$V49,$B$5:$B$116,3)</f>
        <v>61.7348904816491</v>
      </c>
      <c r="Z49" s="9" t="n">
        <f aca="false">SUMIFS($M$5:$M$116,$A$5:$A$116,$V49,$B$5:$B$116,4)</f>
        <v>64.6781308637484</v>
      </c>
      <c r="AA49" s="9" t="n">
        <f aca="false">SUMIFS($M$5:$M$116,$A$5:$A$116,$V49,$B$5:$B$116,5)</f>
        <v>61.4437399185901</v>
      </c>
      <c r="AB49" s="9" t="n">
        <f aca="false">SUMIFS($M$5:$M$116,$A$5:$A$116,$V49,$B$5:$B$116,6)</f>
        <v>69.0371650404616</v>
      </c>
      <c r="AC49" s="9" t="n">
        <f aca="false">SUMIFS($M$5:$M$116,$A$5:$A$116,$V49,$B$5:$B$116,7)</f>
        <v>70.1004915178896</v>
      </c>
      <c r="AD49" s="9" t="n">
        <f aca="false">SUMIFS($M$5:$M$116,$A$5:$A$116,$V49,$B$5:$B$116,8)</f>
        <v>80.9044195188667</v>
      </c>
    </row>
    <row r="50" customFormat="false" ht="15" hidden="false" customHeight="false" outlineLevel="0" collapsed="false">
      <c r="A50" s="8" t="s">
        <v>59</v>
      </c>
      <c r="B50" s="13" t="n">
        <v>6</v>
      </c>
      <c r="C50" s="9" t="n">
        <v>194.933567066531</v>
      </c>
      <c r="D50" s="9" t="n">
        <v>127.513063479709</v>
      </c>
      <c r="E50" s="9" t="n">
        <v>46.8113172334463</v>
      </c>
      <c r="F50" s="9" t="n">
        <v>15.9738983495997</v>
      </c>
      <c r="G50" s="9" t="n">
        <v>4.6352880037759</v>
      </c>
      <c r="H50" s="9" t="n">
        <v>25.2587344339733</v>
      </c>
      <c r="I50" s="11" t="n">
        <f aca="false">IF(C50=0,0,H50/C50)</f>
        <v>0.129576115668947</v>
      </c>
      <c r="J50" s="9" t="n">
        <v>30</v>
      </c>
      <c r="K50" s="9" t="n">
        <v>6.49410521912906</v>
      </c>
      <c r="L50" s="9" t="n">
        <v>7.83498414871248</v>
      </c>
      <c r="M50" s="9" t="n">
        <v>25</v>
      </c>
      <c r="N50" s="9" t="n">
        <v>7.83498414871248</v>
      </c>
      <c r="O50" s="10" t="n">
        <v>82.2318832128942</v>
      </c>
      <c r="P50" s="12" t="n">
        <v>63.5</v>
      </c>
      <c r="Q50" s="12" t="n">
        <v>53</v>
      </c>
      <c r="R50" s="19" t="n">
        <v>0.670796285237323</v>
      </c>
      <c r="S50" s="8" t="s">
        <v>234</v>
      </c>
      <c r="T50" s="8" t="s">
        <v>189</v>
      </c>
      <c r="V50" s="8" t="s">
        <v>82</v>
      </c>
      <c r="W50" s="9" t="n">
        <f aca="false">SUMIFS($M$5:$M$116,$A$5:$A$116,$V50,$B$5:$B$116,1)</f>
        <v>59.9974194219629</v>
      </c>
      <c r="X50" s="9" t="n">
        <f aca="false">SUMIFS($M$5:$M$116,$A$5:$A$116,$V50,$B$5:$B$116,2)</f>
        <v>59.3835800026669</v>
      </c>
      <c r="Y50" s="9" t="n">
        <f aca="false">SUMIFS($M$5:$M$116,$A$5:$A$116,$V50,$B$5:$B$116,3)</f>
        <v>57.3350248558088</v>
      </c>
      <c r="Z50" s="9" t="n">
        <f aca="false">SUMIFS($M$5:$M$116,$A$5:$A$116,$V50,$B$5:$B$116,4)</f>
        <v>54.34796747542</v>
      </c>
      <c r="AA50" s="9" t="n">
        <f aca="false">SUMIFS($M$5:$M$116,$A$5:$A$116,$V50,$B$5:$B$116,5)</f>
        <v>50.9434095470535</v>
      </c>
      <c r="AB50" s="9" t="n">
        <f aca="false">SUMIFS($M$5:$M$116,$A$5:$A$116,$V50,$B$5:$B$116,6)</f>
        <v>48.6889722593037</v>
      </c>
      <c r="AC50" s="9" t="n">
        <f aca="false">SUMIFS($M$5:$M$116,$A$5:$A$116,$V50,$B$5:$B$116,7)</f>
        <v>42.2719785914018</v>
      </c>
      <c r="AD50" s="9" t="n">
        <f aca="false">SUMIFS($M$5:$M$116,$A$5:$A$116,$V50,$B$5:$B$116,8)</f>
        <v>37.4220411161986</v>
      </c>
    </row>
    <row r="51" customFormat="false" ht="15" hidden="false" customHeight="false" outlineLevel="0" collapsed="false">
      <c r="A51" s="8" t="s">
        <v>59</v>
      </c>
      <c r="B51" s="13" t="n">
        <v>7</v>
      </c>
      <c r="C51" s="9" t="n">
        <v>192.3364909727</v>
      </c>
      <c r="D51" s="9" t="n">
        <v>123.660183152538</v>
      </c>
      <c r="E51" s="9" t="n">
        <v>48.0859377133194</v>
      </c>
      <c r="F51" s="9" t="n">
        <v>15.9360077454761</v>
      </c>
      <c r="G51" s="9" t="n">
        <v>4.65436236136632</v>
      </c>
      <c r="H51" s="9" t="n">
        <v>20.5658989357843</v>
      </c>
      <c r="I51" s="11" t="n">
        <f aca="false">IF(C51=0,0,H51/C51)</f>
        <v>0.106926661871477</v>
      </c>
      <c r="J51" s="9" t="n">
        <v>30</v>
      </c>
      <c r="K51" s="9" t="n">
        <v>1.56974676678533</v>
      </c>
      <c r="L51" s="9" t="n">
        <v>11.003847831001</v>
      </c>
      <c r="M51" s="9" t="n">
        <v>25</v>
      </c>
      <c r="N51" s="9" t="n">
        <v>18.8388319797135</v>
      </c>
      <c r="O51" s="10" t="n">
        <v>70.557057372551</v>
      </c>
      <c r="P51" s="12" t="n">
        <v>62.5</v>
      </c>
      <c r="Q51" s="12" t="n">
        <v>53</v>
      </c>
      <c r="R51" s="19" t="n">
        <v>0.514960255363109</v>
      </c>
      <c r="S51" s="8" t="s">
        <v>234</v>
      </c>
      <c r="T51" s="8" t="s">
        <v>189</v>
      </c>
      <c r="V51" s="8" t="s">
        <v>86</v>
      </c>
      <c r="W51" s="9" t="n">
        <f aca="false">SUMIFS($M$5:$M$116,$A$5:$A$116,$V51,$B$5:$B$116,1)</f>
        <v>60.1310765359104</v>
      </c>
      <c r="X51" s="9" t="n">
        <f aca="false">SUMIFS($M$5:$M$116,$A$5:$A$116,$V51,$B$5:$B$116,2)</f>
        <v>59.6040621775311</v>
      </c>
      <c r="Y51" s="9" t="n">
        <f aca="false">SUMIFS($M$5:$M$116,$A$5:$A$116,$V51,$B$5:$B$116,3)</f>
        <v>59.2129851281931</v>
      </c>
      <c r="Z51" s="9" t="n">
        <f aca="false">SUMIFS($M$5:$M$116,$A$5:$A$116,$V51,$B$5:$B$116,4)</f>
        <v>61.7915739795852</v>
      </c>
      <c r="AA51" s="9" t="n">
        <f aca="false">SUMIFS($M$5:$M$116,$A$5:$A$116,$V51,$B$5:$B$116,5)</f>
        <v>69.5263778327322</v>
      </c>
      <c r="AB51" s="9" t="n">
        <f aca="false">SUMIFS($M$5:$M$116,$A$5:$A$116,$V51,$B$5:$B$116,6)</f>
        <v>84.9696164592089</v>
      </c>
      <c r="AC51" s="9" t="n">
        <f aca="false">SUMIFS($M$5:$M$116,$A$5:$A$116,$V51,$B$5:$B$116,7)</f>
        <v>94.0722003919167</v>
      </c>
      <c r="AD51" s="9" t="n">
        <f aca="false">SUMIFS($M$5:$M$116,$A$5:$A$116,$V51,$B$5:$B$116,8)</f>
        <v>110.771547245254</v>
      </c>
    </row>
    <row r="52" customFormat="false" ht="15" hidden="false" customHeight="false" outlineLevel="0" collapsed="false">
      <c r="A52" s="8" t="s">
        <v>59</v>
      </c>
      <c r="B52" s="13" t="n">
        <v>8</v>
      </c>
      <c r="C52" s="9" t="n">
        <v>193.278429750093</v>
      </c>
      <c r="D52" s="9" t="n">
        <v>120.6870835429</v>
      </c>
      <c r="E52" s="9" t="n">
        <v>51.9852683851449</v>
      </c>
      <c r="F52" s="9" t="n">
        <v>15.8883317838861</v>
      </c>
      <c r="G52" s="9" t="n">
        <v>4.71774603816191</v>
      </c>
      <c r="H52" s="9" t="n">
        <v>22.3350797975274</v>
      </c>
      <c r="I52" s="11" t="n">
        <f aca="false">IF(C52=0,0,H52/C52)</f>
        <v>0.115559091753831</v>
      </c>
      <c r="J52" s="9" t="n">
        <v>30</v>
      </c>
      <c r="K52" s="9" t="n">
        <v>0.177905842955723</v>
      </c>
      <c r="L52" s="9" t="n">
        <v>7.84282604542834</v>
      </c>
      <c r="M52" s="9" t="n">
        <v>25</v>
      </c>
      <c r="N52" s="9" t="n">
        <v>26.6816580251418</v>
      </c>
      <c r="O52" s="10" t="n">
        <v>74.7460254168548</v>
      </c>
      <c r="P52" s="12" t="n">
        <v>61.5</v>
      </c>
      <c r="Q52" s="12" t="n">
        <v>53</v>
      </c>
      <c r="R52" s="19" t="n">
        <v>0.392452830188679</v>
      </c>
      <c r="S52" s="8" t="s">
        <v>234</v>
      </c>
      <c r="T52" s="8" t="s">
        <v>189</v>
      </c>
      <c r="V52" s="8" t="s">
        <v>89</v>
      </c>
      <c r="W52" s="9" t="n">
        <f aca="false">SUMIFS($M$5:$M$116,$A$5:$A$116,$V52,$B$5:$B$116,1)</f>
        <v>60.0070653958138</v>
      </c>
      <c r="X52" s="9" t="n">
        <f aca="false">SUMIFS($M$5:$M$116,$A$5:$A$116,$V52,$B$5:$B$116,2)</f>
        <v>58.4123450859439</v>
      </c>
      <c r="Y52" s="9" t="n">
        <f aca="false">SUMIFS($M$5:$M$116,$A$5:$A$116,$V52,$B$5:$B$116,3)</f>
        <v>55.5298110464669</v>
      </c>
      <c r="Z52" s="9" t="n">
        <f aca="false">SUMIFS($M$5:$M$116,$A$5:$A$116,$V52,$B$5:$B$116,4)</f>
        <v>53.2586962068428</v>
      </c>
      <c r="AA52" s="9" t="n">
        <f aca="false">SUMIFS($M$5:$M$116,$A$5:$A$116,$V52,$B$5:$B$116,5)</f>
        <v>45.0741193969741</v>
      </c>
      <c r="AB52" s="9" t="n">
        <f aca="false">SUMIFS($M$5:$M$116,$A$5:$A$116,$V52,$B$5:$B$116,6)</f>
        <v>47.3726425886647</v>
      </c>
      <c r="AC52" s="9" t="n">
        <f aca="false">SUMIFS($M$5:$M$116,$A$5:$A$116,$V52,$B$5:$B$116,7)</f>
        <v>41.9470509994705</v>
      </c>
      <c r="AD52" s="9" t="n">
        <f aca="false">SUMIFS($M$5:$M$116,$A$5:$A$116,$V52,$B$5:$B$116,8)</f>
        <v>44.3398719664078</v>
      </c>
    </row>
    <row r="53" customFormat="false" ht="15" hidden="false" customHeight="false" outlineLevel="0" collapsed="false">
      <c r="A53" s="8" t="s">
        <v>63</v>
      </c>
      <c r="B53" s="13" t="n">
        <v>1</v>
      </c>
      <c r="C53" s="9" t="n">
        <v>200.017710375638</v>
      </c>
      <c r="D53" s="9" t="n">
        <v>139.983190106581</v>
      </c>
      <c r="E53" s="9" t="n">
        <v>40</v>
      </c>
      <c r="F53" s="9" t="n">
        <v>15.99968</v>
      </c>
      <c r="G53" s="9" t="n">
        <v>4.0348402690579</v>
      </c>
      <c r="H53" s="9" t="n">
        <v>30.0168348581017</v>
      </c>
      <c r="I53" s="11" t="n">
        <f aca="false">IF(C53=0,0,H53/C53)</f>
        <v>0.150070885231759</v>
      </c>
      <c r="J53" s="9" t="n">
        <v>30</v>
      </c>
      <c r="K53" s="9" t="n">
        <v>0</v>
      </c>
      <c r="L53" s="9" t="n">
        <v>0</v>
      </c>
      <c r="M53" s="9" t="n">
        <v>60.0168348581017</v>
      </c>
      <c r="N53" s="9" t="n">
        <v>0</v>
      </c>
      <c r="O53" s="10" t="n">
        <v>100.018268440651</v>
      </c>
      <c r="P53" s="12" t="n">
        <v>72</v>
      </c>
      <c r="Q53" s="12" t="n">
        <v>60</v>
      </c>
      <c r="R53" s="19" t="n">
        <v>0.533333333333333</v>
      </c>
      <c r="S53" s="8" t="s">
        <v>225</v>
      </c>
      <c r="T53" s="8" t="s">
        <v>189</v>
      </c>
      <c r="V53" s="8" t="s">
        <v>92</v>
      </c>
      <c r="W53" s="9" t="n">
        <f aca="false">SUMIFS($M$5:$M$116,$A$5:$A$116,$V53,$B$5:$B$116,1)</f>
        <v>60.0223847149875</v>
      </c>
      <c r="X53" s="9" t="n">
        <f aca="false">SUMIFS($M$5:$M$116,$A$5:$A$116,$V53,$B$5:$B$116,2)</f>
        <v>58.3706461340132</v>
      </c>
      <c r="Y53" s="9" t="n">
        <f aca="false">SUMIFS($M$5:$M$116,$A$5:$A$116,$V53,$B$5:$B$116,3)</f>
        <v>55.2796499758067</v>
      </c>
      <c r="Z53" s="9" t="n">
        <f aca="false">SUMIFS($M$5:$M$116,$A$5:$A$116,$V53,$B$5:$B$116,4)</f>
        <v>52.7264418305317</v>
      </c>
      <c r="AA53" s="9" t="n">
        <f aca="false">SUMIFS($M$5:$M$116,$A$5:$A$116,$V53,$B$5:$B$116,5)</f>
        <v>44.5649048796796</v>
      </c>
      <c r="AB53" s="9" t="n">
        <f aca="false">SUMIFS($M$5:$M$116,$A$5:$A$116,$V53,$B$5:$B$116,6)</f>
        <v>45.602503914017</v>
      </c>
      <c r="AC53" s="9" t="n">
        <f aca="false">SUMIFS($M$5:$M$116,$A$5:$A$116,$V53,$B$5:$B$116,7)</f>
        <v>40.1549535677911</v>
      </c>
      <c r="AD53" s="9" t="n">
        <f aca="false">SUMIFS($M$5:$M$116,$A$5:$A$116,$V53,$B$5:$B$116,8)</f>
        <v>43.0968978307691</v>
      </c>
    </row>
    <row r="54" customFormat="false" ht="15" hidden="false" customHeight="false" outlineLevel="0" collapsed="false">
      <c r="A54" s="8" t="s">
        <v>63</v>
      </c>
      <c r="B54" s="13" t="n">
        <v>2</v>
      </c>
      <c r="C54" s="9" t="n">
        <v>199.649513811613</v>
      </c>
      <c r="D54" s="9" t="n">
        <v>138.154105346259</v>
      </c>
      <c r="E54" s="9" t="n">
        <v>39.9999091469672</v>
      </c>
      <c r="F54" s="9" t="n">
        <v>15.99879201792</v>
      </c>
      <c r="G54" s="9" t="n">
        <v>5.4967073004665</v>
      </c>
      <c r="H54" s="9" t="n">
        <v>28.7251305280038</v>
      </c>
      <c r="I54" s="11" t="n">
        <f aca="false">IF(C54=0,0,H54/C54)</f>
        <v>0.143877788528494</v>
      </c>
      <c r="J54" s="9" t="n">
        <v>30</v>
      </c>
      <c r="K54" s="9" t="n">
        <v>0</v>
      </c>
      <c r="L54" s="9" t="n">
        <v>0</v>
      </c>
      <c r="M54" s="9" t="n">
        <v>58.7419653861056</v>
      </c>
      <c r="N54" s="9" t="n">
        <v>0</v>
      </c>
      <c r="O54" s="10" t="n">
        <v>99.1591905318855</v>
      </c>
      <c r="P54" s="12" t="n">
        <v>72</v>
      </c>
      <c r="Q54" s="12" t="n">
        <v>60</v>
      </c>
      <c r="R54" s="19" t="n">
        <v>0.533333333333333</v>
      </c>
      <c r="S54" s="8" t="s">
        <v>225</v>
      </c>
      <c r="T54" s="8" t="s">
        <v>189</v>
      </c>
    </row>
    <row r="55" customFormat="false" ht="15" hidden="false" customHeight="false" outlineLevel="0" collapsed="false">
      <c r="A55" s="8" t="s">
        <v>63</v>
      </c>
      <c r="B55" s="13" t="n">
        <v>3</v>
      </c>
      <c r="C55" s="9" t="n">
        <v>201.463750127718</v>
      </c>
      <c r="D55" s="9" t="n">
        <v>136.951893303576</v>
      </c>
      <c r="E55" s="9" t="n">
        <v>40.0025189363514</v>
      </c>
      <c r="F55" s="9" t="n">
        <v>15.9979454836694</v>
      </c>
      <c r="G55" s="9" t="n">
        <v>8.51139240412121</v>
      </c>
      <c r="H55" s="9" t="n">
        <v>28.2771154325822</v>
      </c>
      <c r="I55" s="11" t="n">
        <f aca="false">IF(C55=0,0,H55/C55)</f>
        <v>0.140358329548894</v>
      </c>
      <c r="J55" s="9" t="n">
        <v>30</v>
      </c>
      <c r="K55" s="9" t="n">
        <v>0</v>
      </c>
      <c r="L55" s="9" t="n">
        <v>0</v>
      </c>
      <c r="M55" s="9" t="n">
        <v>57.0190808186878</v>
      </c>
      <c r="N55" s="9" t="n">
        <v>0</v>
      </c>
      <c r="O55" s="10" t="n">
        <v>105.421192752997</v>
      </c>
      <c r="P55" s="12" t="n">
        <v>72</v>
      </c>
      <c r="Q55" s="12" t="n">
        <v>60</v>
      </c>
      <c r="R55" s="19" t="n">
        <v>0.533333333333333</v>
      </c>
      <c r="S55" s="8" t="s">
        <v>225</v>
      </c>
      <c r="T55" s="8" t="s">
        <v>189</v>
      </c>
      <c r="V55" s="18" t="s">
        <v>237</v>
      </c>
    </row>
    <row r="56" customFormat="false" ht="30" hidden="false" customHeight="true" outlineLevel="0" collapsed="false">
      <c r="A56" s="8" t="s">
        <v>63</v>
      </c>
      <c r="B56" s="13" t="n">
        <v>4</v>
      </c>
      <c r="C56" s="9" t="n">
        <v>205.481216192181</v>
      </c>
      <c r="D56" s="9" t="n">
        <v>136.125521465438</v>
      </c>
      <c r="E56" s="9" t="n">
        <v>40.0303690907519</v>
      </c>
      <c r="F56" s="9" t="n">
        <v>15.9967360947163</v>
      </c>
      <c r="G56" s="9" t="n">
        <v>13.3285895412748</v>
      </c>
      <c r="H56" s="9" t="n">
        <v>29.7657412113891</v>
      </c>
      <c r="I56" s="11" t="n">
        <f aca="false">IF(C56=0,0,H56/C56)</f>
        <v>0.144858696882298</v>
      </c>
      <c r="J56" s="9" t="n">
        <v>30</v>
      </c>
      <c r="K56" s="9" t="n">
        <v>0</v>
      </c>
      <c r="L56" s="9" t="n">
        <v>0</v>
      </c>
      <c r="M56" s="9" t="n">
        <v>56.7848220300769</v>
      </c>
      <c r="N56" s="9" t="n">
        <v>0</v>
      </c>
      <c r="O56" s="10" t="n">
        <v>114.180827372578</v>
      </c>
      <c r="P56" s="12" t="n">
        <v>72</v>
      </c>
      <c r="Q56" s="12" t="n">
        <v>60</v>
      </c>
      <c r="R56" s="19" t="n">
        <v>0.621228333333333</v>
      </c>
      <c r="S56" s="8" t="s">
        <v>225</v>
      </c>
      <c r="T56" s="8" t="s">
        <v>189</v>
      </c>
      <c r="V56" s="7" t="s">
        <v>157</v>
      </c>
      <c r="W56" s="7" t="s">
        <v>226</v>
      </c>
      <c r="X56" s="7" t="s">
        <v>227</v>
      </c>
      <c r="Y56" s="7" t="s">
        <v>228</v>
      </c>
      <c r="Z56" s="7" t="s">
        <v>229</v>
      </c>
      <c r="AA56" s="7" t="s">
        <v>230</v>
      </c>
      <c r="AB56" s="7" t="s">
        <v>231</v>
      </c>
      <c r="AC56" s="7" t="s">
        <v>232</v>
      </c>
      <c r="AD56" s="7" t="s">
        <v>233</v>
      </c>
    </row>
    <row r="57" customFormat="false" ht="15" hidden="false" customHeight="false" outlineLevel="0" collapsed="false">
      <c r="A57" s="8" t="s">
        <v>63</v>
      </c>
      <c r="B57" s="13" t="n">
        <v>5</v>
      </c>
      <c r="C57" s="9" t="n">
        <v>210.862124053943</v>
      </c>
      <c r="D57" s="9" t="n">
        <v>135.513070765979</v>
      </c>
      <c r="E57" s="9" t="n">
        <v>40.0771133972278</v>
      </c>
      <c r="F57" s="9" t="n">
        <v>15.9930128707279</v>
      </c>
      <c r="G57" s="9" t="n">
        <v>19.2789270200081</v>
      </c>
      <c r="H57" s="9" t="n">
        <v>32.253070210509</v>
      </c>
      <c r="I57" s="11" t="n">
        <f aca="false">IF(C57=0,0,H57/C57)</f>
        <v>0.152958101675282</v>
      </c>
      <c r="J57" s="9" t="n">
        <v>30</v>
      </c>
      <c r="K57" s="9" t="n">
        <v>0</v>
      </c>
      <c r="L57" s="9" t="n">
        <v>0</v>
      </c>
      <c r="M57" s="9" t="n">
        <v>59.0378922405859</v>
      </c>
      <c r="N57" s="9" t="n">
        <v>0</v>
      </c>
      <c r="O57" s="10" t="n">
        <v>122.283441111936</v>
      </c>
      <c r="P57" s="12" t="n">
        <v>72</v>
      </c>
      <c r="Q57" s="12" t="n">
        <v>60</v>
      </c>
      <c r="R57" s="19" t="n">
        <v>0.594561666666667</v>
      </c>
      <c r="S57" s="8" t="s">
        <v>225</v>
      </c>
      <c r="T57" s="8" t="s">
        <v>189</v>
      </c>
      <c r="V57" s="8" t="s">
        <v>36</v>
      </c>
      <c r="W57" s="10" t="n">
        <f aca="false">SUMIFS($O$5:$O$116,$A$5:$A$116,$V57,$B$5:$B$116,1)</f>
        <v>100.691897902309</v>
      </c>
      <c r="X57" s="10" t="n">
        <f aca="false">SUMIFS($O$5:$O$116,$A$5:$A$116,$V57,$B$5:$B$116,2)</f>
        <v>99.9413847755677</v>
      </c>
      <c r="Y57" s="10" t="n">
        <f aca="false">SUMIFS($O$5:$O$116,$A$5:$A$116,$V57,$B$5:$B$116,3)</f>
        <v>101.911840587598</v>
      </c>
      <c r="Z57" s="10" t="n">
        <f aca="false">SUMIFS($O$5:$O$116,$A$5:$A$116,$V57,$B$5:$B$116,4)</f>
        <v>106.809559455902</v>
      </c>
      <c r="AA57" s="10" t="n">
        <f aca="false">SUMIFS($O$5:$O$116,$A$5:$A$116,$V57,$B$5:$B$116,5)</f>
        <v>112.371776644173</v>
      </c>
      <c r="AB57" s="10" t="n">
        <f aca="false">SUMIFS($O$5:$O$116,$A$5:$A$116,$V57,$B$5:$B$116,6)</f>
        <v>113.450714764564</v>
      </c>
      <c r="AC57" s="10" t="n">
        <f aca="false">SUMIFS($O$5:$O$116,$A$5:$A$116,$V57,$B$5:$B$116,7)</f>
        <v>108.284637298749</v>
      </c>
      <c r="AD57" s="10" t="n">
        <f aca="false">SUMIFS($O$5:$O$116,$A$5:$A$116,$V57,$B$5:$B$116,8)</f>
        <v>116.216235692558</v>
      </c>
    </row>
    <row r="58" customFormat="false" ht="15" hidden="false" customHeight="false" outlineLevel="0" collapsed="false">
      <c r="A58" s="8" t="s">
        <v>63</v>
      </c>
      <c r="B58" s="13" t="n">
        <v>6</v>
      </c>
      <c r="C58" s="9" t="n">
        <v>213.473002817268</v>
      </c>
      <c r="D58" s="9" t="n">
        <v>132.957528704542</v>
      </c>
      <c r="E58" s="9" t="n">
        <v>39.9010172567062</v>
      </c>
      <c r="F58" s="9" t="n">
        <v>15.9738983495997</v>
      </c>
      <c r="G58" s="9" t="n">
        <v>24.6405585064207</v>
      </c>
      <c r="H58" s="9" t="n">
        <v>35.6653511035773</v>
      </c>
      <c r="I58" s="11" t="n">
        <f aca="false">IF(C58=0,0,H58/C58)</f>
        <v>0.167071951173641</v>
      </c>
      <c r="J58" s="9" t="n">
        <v>30</v>
      </c>
      <c r="K58" s="9" t="n">
        <v>0</v>
      </c>
      <c r="L58" s="9" t="n">
        <v>0</v>
      </c>
      <c r="M58" s="9" t="n">
        <v>64.7032433441632</v>
      </c>
      <c r="N58" s="9" t="n">
        <v>0</v>
      </c>
      <c r="O58" s="10" t="n">
        <v>121.721287189235</v>
      </c>
      <c r="P58" s="12" t="n">
        <v>70.5</v>
      </c>
      <c r="Q58" s="12" t="n">
        <v>59</v>
      </c>
      <c r="R58" s="19" t="n">
        <v>0.577520338983051</v>
      </c>
      <c r="S58" s="8" t="s">
        <v>225</v>
      </c>
      <c r="T58" s="8" t="s">
        <v>189</v>
      </c>
      <c r="V58" s="8" t="s">
        <v>41</v>
      </c>
      <c r="W58" s="10" t="n">
        <f aca="false">SUMIFS($O$5:$O$116,$A$5:$A$116,$V58,$B$5:$B$116,1)</f>
        <v>100.196206063313</v>
      </c>
      <c r="X58" s="10" t="n">
        <f aca="false">SUMIFS($O$5:$O$116,$A$5:$A$116,$V58,$B$5:$B$116,2)</f>
        <v>97.5656559467772</v>
      </c>
      <c r="Y58" s="10" t="n">
        <f aca="false">SUMIFS($O$5:$O$116,$A$5:$A$116,$V58,$B$5:$B$116,3)</f>
        <v>96.937105795502</v>
      </c>
      <c r="Z58" s="10" t="n">
        <f aca="false">SUMIFS($O$5:$O$116,$A$5:$A$116,$V58,$B$5:$B$116,4)</f>
        <v>95.2932690742153</v>
      </c>
      <c r="AA58" s="10" t="n">
        <f aca="false">SUMIFS($O$5:$O$116,$A$5:$A$116,$V58,$B$5:$B$116,5)</f>
        <v>89.1764403200869</v>
      </c>
      <c r="AB58" s="10" t="n">
        <f aca="false">SUMIFS($O$5:$O$116,$A$5:$A$116,$V58,$B$5:$B$116,6)</f>
        <v>88.9030041213465</v>
      </c>
      <c r="AC58" s="10" t="n">
        <f aca="false">SUMIFS($O$5:$O$116,$A$5:$A$116,$V58,$B$5:$B$116,7)</f>
        <v>76.2787381819398</v>
      </c>
      <c r="AD58" s="10" t="n">
        <f aca="false">SUMIFS($O$5:$O$116,$A$5:$A$116,$V58,$B$5:$B$116,8)</f>
        <v>81.785812560389</v>
      </c>
    </row>
    <row r="59" customFormat="false" ht="15" hidden="false" customHeight="false" outlineLevel="0" collapsed="false">
      <c r="A59" s="8" t="s">
        <v>63</v>
      </c>
      <c r="B59" s="13" t="n">
        <v>7</v>
      </c>
      <c r="C59" s="9" t="n">
        <v>214.956436703371</v>
      </c>
      <c r="D59" s="9" t="n">
        <v>127.99427471811</v>
      </c>
      <c r="E59" s="9" t="n">
        <v>39.8047838910159</v>
      </c>
      <c r="F59" s="9" t="n">
        <v>15.9428023813723</v>
      </c>
      <c r="G59" s="9" t="n">
        <v>31.2145757128723</v>
      </c>
      <c r="H59" s="9" t="n">
        <v>34.5634913818086</v>
      </c>
      <c r="I59" s="11" t="n">
        <f aca="false">IF(C59=0,0,H59/C59)</f>
        <v>0.160793004907801</v>
      </c>
      <c r="J59" s="9" t="n">
        <v>30</v>
      </c>
      <c r="K59" s="9" t="n">
        <v>10.4798477083926</v>
      </c>
      <c r="L59" s="9" t="n">
        <v>0</v>
      </c>
      <c r="M59" s="9" t="n">
        <v>58.7868870175792</v>
      </c>
      <c r="N59" s="9" t="n">
        <v>0</v>
      </c>
      <c r="O59" s="10" t="n">
        <v>117.712372865921</v>
      </c>
      <c r="P59" s="12" t="n">
        <v>70.5</v>
      </c>
      <c r="Q59" s="12" t="n">
        <v>59</v>
      </c>
      <c r="R59" s="19" t="n">
        <v>0.569491525423729</v>
      </c>
      <c r="S59" s="8" t="s">
        <v>225</v>
      </c>
      <c r="T59" s="8" t="s">
        <v>189</v>
      </c>
      <c r="V59" s="8" t="s">
        <v>46</v>
      </c>
      <c r="W59" s="10" t="n">
        <f aca="false">SUMIFS($O$5:$O$116,$A$5:$A$116,$V59,$B$5:$B$116,1)</f>
        <v>100.132592736063</v>
      </c>
      <c r="X59" s="10" t="n">
        <f aca="false">SUMIFS($O$5:$O$116,$A$5:$A$116,$V59,$B$5:$B$116,2)</f>
        <v>99.8673947199978</v>
      </c>
      <c r="Y59" s="10" t="n">
        <f aca="false">SUMIFS($O$5:$O$116,$A$5:$A$116,$V59,$B$5:$B$116,3)</f>
        <v>107.340515039606</v>
      </c>
      <c r="Z59" s="10" t="n">
        <f aca="false">SUMIFS($O$5:$O$116,$A$5:$A$116,$V59,$B$5:$B$116,4)</f>
        <v>119.210988318992</v>
      </c>
      <c r="AA59" s="10" t="n">
        <f aca="false">SUMIFS($O$5:$O$116,$A$5:$A$116,$V59,$B$5:$B$116,5)</f>
        <v>131.387094111349</v>
      </c>
      <c r="AB59" s="10" t="n">
        <f aca="false">SUMIFS($O$5:$O$116,$A$5:$A$116,$V59,$B$5:$B$116,6)</f>
        <v>135.122146518973</v>
      </c>
      <c r="AC59" s="10" t="n">
        <f aca="false">SUMIFS($O$5:$O$116,$A$5:$A$116,$V59,$B$5:$B$116,7)</f>
        <v>134.98331690311</v>
      </c>
      <c r="AD59" s="10" t="n">
        <f aca="false">SUMIFS($O$5:$O$116,$A$5:$A$116,$V59,$B$5:$B$116,8)</f>
        <v>148.513018511566</v>
      </c>
    </row>
    <row r="60" customFormat="false" ht="15" hidden="false" customHeight="false" outlineLevel="0" collapsed="false">
      <c r="A60" s="8" t="s">
        <v>63</v>
      </c>
      <c r="B60" s="13" t="n">
        <v>8</v>
      </c>
      <c r="C60" s="9" t="n">
        <v>220.943888387599</v>
      </c>
      <c r="D60" s="9" t="n">
        <v>126.571911861964</v>
      </c>
      <c r="E60" s="9" t="n">
        <v>39.712694412157</v>
      </c>
      <c r="F60" s="9" t="n">
        <v>15.9081846931993</v>
      </c>
      <c r="G60" s="9" t="n">
        <v>38.7510974202793</v>
      </c>
      <c r="H60" s="9" t="n">
        <v>38.9825389229843</v>
      </c>
      <c r="I60" s="11" t="n">
        <f aca="false">IF(C60=0,0,H60/C60)</f>
        <v>0.176436375803244</v>
      </c>
      <c r="J60" s="9" t="n">
        <v>37.5</v>
      </c>
      <c r="K60" s="9" t="n">
        <v>0</v>
      </c>
      <c r="L60" s="9" t="n">
        <v>0</v>
      </c>
      <c r="M60" s="9" t="n">
        <v>60.2694259405635</v>
      </c>
      <c r="N60" s="9" t="n">
        <v>0</v>
      </c>
      <c r="O60" s="10" t="n">
        <v>127.259220008078</v>
      </c>
      <c r="P60" s="12" t="n">
        <v>70.5</v>
      </c>
      <c r="Q60" s="12" t="n">
        <v>59</v>
      </c>
      <c r="R60" s="19" t="n">
        <v>0.549152542372882</v>
      </c>
      <c r="S60" s="8" t="s">
        <v>225</v>
      </c>
      <c r="T60" s="8" t="s">
        <v>189</v>
      </c>
      <c r="V60" s="8" t="s">
        <v>51</v>
      </c>
      <c r="W60" s="10" t="n">
        <f aca="false">SUMIFS($O$5:$O$116,$A$5:$A$116,$V60,$B$5:$B$116,1)</f>
        <v>100.378766349198</v>
      </c>
      <c r="X60" s="10" t="n">
        <f aca="false">SUMIFS($O$5:$O$116,$A$5:$A$116,$V60,$B$5:$B$116,2)</f>
        <v>99.1487203015935</v>
      </c>
      <c r="Y60" s="10" t="n">
        <f aca="false">SUMIFS($O$5:$O$116,$A$5:$A$116,$V60,$B$5:$B$116,3)</f>
        <v>103.218677681436</v>
      </c>
      <c r="Z60" s="10" t="n">
        <f aca="false">SUMIFS($O$5:$O$116,$A$5:$A$116,$V60,$B$5:$B$116,4)</f>
        <v>109.935679964729</v>
      </c>
      <c r="AA60" s="10" t="n">
        <f aca="false">SUMIFS($O$5:$O$116,$A$5:$A$116,$V60,$B$5:$B$116,5)</f>
        <v>119.500445199528</v>
      </c>
      <c r="AB60" s="10" t="n">
        <f aca="false">SUMIFS($O$5:$O$116,$A$5:$A$116,$V60,$B$5:$B$116,6)</f>
        <v>124.743597972824</v>
      </c>
      <c r="AC60" s="10" t="n">
        <f aca="false">SUMIFS($O$5:$O$116,$A$5:$A$116,$V60,$B$5:$B$116,7)</f>
        <v>130.90559902196</v>
      </c>
      <c r="AD60" s="10" t="n">
        <f aca="false">SUMIFS($O$5:$O$116,$A$5:$A$116,$V60,$B$5:$B$116,8)</f>
        <v>143.753308710913</v>
      </c>
    </row>
    <row r="61" customFormat="false" ht="15" hidden="false" customHeight="false" outlineLevel="0" collapsed="false">
      <c r="A61" s="8" t="s">
        <v>67</v>
      </c>
      <c r="B61" s="13" t="n">
        <v>1</v>
      </c>
      <c r="C61" s="9" t="n">
        <v>200.06279095104</v>
      </c>
      <c r="D61" s="9" t="n">
        <v>140.051468503395</v>
      </c>
      <c r="E61" s="9" t="n">
        <v>40.0059</v>
      </c>
      <c r="F61" s="9" t="n">
        <v>16.0018824476444</v>
      </c>
      <c r="G61" s="9" t="n">
        <v>4.00354</v>
      </c>
      <c r="H61" s="9" t="n">
        <v>30.0475789931449</v>
      </c>
      <c r="I61" s="11" t="n">
        <f aca="false">IF(C61=0,0,H61/C61)</f>
        <v>0.150190741868128</v>
      </c>
      <c r="J61" s="9" t="n">
        <v>30</v>
      </c>
      <c r="K61" s="9" t="n">
        <v>0</v>
      </c>
      <c r="L61" s="9" t="n">
        <v>0</v>
      </c>
      <c r="M61" s="9" t="n">
        <v>60.0475789931449</v>
      </c>
      <c r="N61" s="9" t="n">
        <v>0</v>
      </c>
      <c r="O61" s="10" t="n">
        <v>100.922279068882</v>
      </c>
      <c r="P61" s="12" t="n">
        <v>72</v>
      </c>
      <c r="Q61" s="12" t="n">
        <v>62.95</v>
      </c>
      <c r="R61" s="19" t="n">
        <v>0.349483717235902</v>
      </c>
      <c r="S61" s="8" t="s">
        <v>225</v>
      </c>
      <c r="T61" s="8" t="s">
        <v>189</v>
      </c>
      <c r="V61" s="8" t="s">
        <v>55</v>
      </c>
      <c r="W61" s="10" t="n">
        <f aca="false">SUMIFS($O$5:$O$116,$A$5:$A$116,$V61,$B$5:$B$116,1)</f>
        <v>100.65677139944</v>
      </c>
      <c r="X61" s="10" t="n">
        <f aca="false">SUMIFS($O$5:$O$116,$A$5:$A$116,$V61,$B$5:$B$116,2)</f>
        <v>100.094472082922</v>
      </c>
      <c r="Y61" s="10" t="n">
        <f aca="false">SUMIFS($O$5:$O$116,$A$5:$A$116,$V61,$B$5:$B$116,3)</f>
        <v>102.826632857584</v>
      </c>
      <c r="Z61" s="10" t="n">
        <f aca="false">SUMIFS($O$5:$O$116,$A$5:$A$116,$V61,$B$5:$B$116,4)</f>
        <v>106.834104421798</v>
      </c>
      <c r="AA61" s="10" t="n">
        <f aca="false">SUMIFS($O$5:$O$116,$A$5:$A$116,$V61,$B$5:$B$116,5)</f>
        <v>110.906932605637</v>
      </c>
      <c r="AB61" s="10" t="n">
        <f aca="false">SUMIFS($O$5:$O$116,$A$5:$A$116,$V61,$B$5:$B$116,6)</f>
        <v>111.715635004833</v>
      </c>
      <c r="AC61" s="10" t="n">
        <f aca="false">SUMIFS($O$5:$O$116,$A$5:$A$116,$V61,$B$5:$B$116,7)</f>
        <v>103.952496822858</v>
      </c>
      <c r="AD61" s="10" t="n">
        <f aca="false">SUMIFS($O$5:$O$116,$A$5:$A$116,$V61,$B$5:$B$116,8)</f>
        <v>109.882212011446</v>
      </c>
    </row>
    <row r="62" customFormat="false" ht="15" hidden="false" customHeight="false" outlineLevel="0" collapsed="false">
      <c r="A62" s="8" t="s">
        <v>67</v>
      </c>
      <c r="B62" s="13" t="n">
        <v>2</v>
      </c>
      <c r="C62" s="9" t="n">
        <v>198.658200590388</v>
      </c>
      <c r="D62" s="9" t="n">
        <v>138.317122281547</v>
      </c>
      <c r="E62" s="9" t="n">
        <v>40.030076888834</v>
      </c>
      <c r="F62" s="9" t="n">
        <v>16.0115574123759</v>
      </c>
      <c r="G62" s="9" t="n">
        <v>4.29944400763105</v>
      </c>
      <c r="H62" s="9" t="n">
        <v>29.0605669598511</v>
      </c>
      <c r="I62" s="11" t="n">
        <f aca="false">IF(C62=0,0,H62/C62)</f>
        <v>0.146284255437161</v>
      </c>
      <c r="J62" s="9" t="n">
        <v>30</v>
      </c>
      <c r="K62" s="9" t="n">
        <v>0</v>
      </c>
      <c r="L62" s="9" t="n">
        <v>0</v>
      </c>
      <c r="M62" s="9" t="n">
        <v>59.1081459529959</v>
      </c>
      <c r="N62" s="9" t="n">
        <v>0</v>
      </c>
      <c r="O62" s="10" t="n">
        <v>100.481550920509</v>
      </c>
      <c r="P62" s="12" t="n">
        <v>72</v>
      </c>
      <c r="Q62" s="12" t="n">
        <v>67.9778872120731</v>
      </c>
      <c r="R62" s="19" t="n">
        <v>0.323634653889224</v>
      </c>
      <c r="S62" s="8" t="s">
        <v>225</v>
      </c>
      <c r="T62" s="8" t="s">
        <v>189</v>
      </c>
      <c r="V62" s="8" t="s">
        <v>59</v>
      </c>
      <c r="W62" s="10" t="n">
        <f aca="false">SUMIFS($O$5:$O$116,$A$5:$A$116,$V62,$B$5:$B$116,1)</f>
        <v>100.078181200697</v>
      </c>
      <c r="X62" s="10" t="n">
        <f aca="false">SUMIFS($O$5:$O$116,$A$5:$A$116,$V62,$B$5:$B$116,2)</f>
        <v>96.8422495100156</v>
      </c>
      <c r="Y62" s="10" t="n">
        <f aca="false">SUMIFS($O$5:$O$116,$A$5:$A$116,$V62,$B$5:$B$116,3)</f>
        <v>95.4342449629844</v>
      </c>
      <c r="Z62" s="10" t="n">
        <f aca="false">SUMIFS($O$5:$O$116,$A$5:$A$116,$V62,$B$5:$B$116,4)</f>
        <v>94.6679284428625</v>
      </c>
      <c r="AA62" s="10" t="n">
        <f aca="false">SUMIFS($O$5:$O$116,$A$5:$A$116,$V62,$B$5:$B$116,5)</f>
        <v>84.7057992999856</v>
      </c>
      <c r="AB62" s="10" t="n">
        <f aca="false">SUMIFS($O$5:$O$116,$A$5:$A$116,$V62,$B$5:$B$116,6)</f>
        <v>82.2318832128942</v>
      </c>
      <c r="AC62" s="10" t="n">
        <f aca="false">SUMIFS($O$5:$O$116,$A$5:$A$116,$V62,$B$5:$B$116,7)</f>
        <v>70.557057372551</v>
      </c>
      <c r="AD62" s="10" t="n">
        <f aca="false">SUMIFS($O$5:$O$116,$A$5:$A$116,$V62,$B$5:$B$116,8)</f>
        <v>74.7460254168548</v>
      </c>
    </row>
    <row r="63" customFormat="false" ht="15" hidden="false" customHeight="false" outlineLevel="0" collapsed="false">
      <c r="A63" s="8" t="s">
        <v>67</v>
      </c>
      <c r="B63" s="13" t="n">
        <v>3</v>
      </c>
      <c r="C63" s="9" t="n">
        <v>197.699582038245</v>
      </c>
      <c r="D63" s="9" t="n">
        <v>137.09937425392</v>
      </c>
      <c r="E63" s="9" t="n">
        <v>40.0880741968938</v>
      </c>
      <c r="F63" s="9" t="n">
        <v>16.0396538491105</v>
      </c>
      <c r="G63" s="9" t="n">
        <v>4.4724797383208</v>
      </c>
      <c r="H63" s="9" t="n">
        <v>27.4520767975729</v>
      </c>
      <c r="I63" s="11" t="n">
        <f aca="false">IF(C63=0,0,H63/C63)</f>
        <v>0.138857535835672</v>
      </c>
      <c r="J63" s="9" t="n">
        <v>30</v>
      </c>
      <c r="K63" s="9" t="n">
        <v>0</v>
      </c>
      <c r="L63" s="9" t="n">
        <v>0</v>
      </c>
      <c r="M63" s="9" t="n">
        <v>56.5602227505688</v>
      </c>
      <c r="N63" s="9" t="n">
        <v>0</v>
      </c>
      <c r="O63" s="10" t="n">
        <v>103.488542032965</v>
      </c>
      <c r="P63" s="12" t="n">
        <v>72</v>
      </c>
      <c r="Q63" s="12" t="n">
        <v>73.9191822701073</v>
      </c>
      <c r="R63" s="19" t="n">
        <v>0.297622340025489</v>
      </c>
      <c r="S63" s="8" t="s">
        <v>225</v>
      </c>
      <c r="T63" s="8" t="s">
        <v>189</v>
      </c>
      <c r="V63" s="8" t="s">
        <v>63</v>
      </c>
      <c r="W63" s="10" t="n">
        <f aca="false">SUMIFS($O$5:$O$116,$A$5:$A$116,$V63,$B$5:$B$116,1)</f>
        <v>100.018268440651</v>
      </c>
      <c r="X63" s="10" t="n">
        <f aca="false">SUMIFS($O$5:$O$116,$A$5:$A$116,$V63,$B$5:$B$116,2)</f>
        <v>99.1591905318855</v>
      </c>
      <c r="Y63" s="10" t="n">
        <f aca="false">SUMIFS($O$5:$O$116,$A$5:$A$116,$V63,$B$5:$B$116,3)</f>
        <v>105.421192752997</v>
      </c>
      <c r="Z63" s="10" t="n">
        <f aca="false">SUMIFS($O$5:$O$116,$A$5:$A$116,$V63,$B$5:$B$116,4)</f>
        <v>114.180827372578</v>
      </c>
      <c r="AA63" s="10" t="n">
        <f aca="false">SUMIFS($O$5:$O$116,$A$5:$A$116,$V63,$B$5:$B$116,5)</f>
        <v>122.283441111936</v>
      </c>
      <c r="AB63" s="10" t="n">
        <f aca="false">SUMIFS($O$5:$O$116,$A$5:$A$116,$V63,$B$5:$B$116,6)</f>
        <v>121.721287189235</v>
      </c>
      <c r="AC63" s="10" t="n">
        <f aca="false">SUMIFS($O$5:$O$116,$A$5:$A$116,$V63,$B$5:$B$116,7)</f>
        <v>117.712372865921</v>
      </c>
      <c r="AD63" s="10" t="n">
        <f aca="false">SUMIFS($O$5:$O$116,$A$5:$A$116,$V63,$B$5:$B$116,8)</f>
        <v>127.259220008078</v>
      </c>
    </row>
    <row r="64" customFormat="false" ht="15" hidden="false" customHeight="false" outlineLevel="0" collapsed="false">
      <c r="A64" s="8" t="s">
        <v>67</v>
      </c>
      <c r="B64" s="13" t="n">
        <v>4</v>
      </c>
      <c r="C64" s="9" t="n">
        <v>197.413592175692</v>
      </c>
      <c r="D64" s="9" t="n">
        <v>136.477201652753</v>
      </c>
      <c r="E64" s="9" t="n">
        <v>40.1977599623899</v>
      </c>
      <c r="F64" s="9" t="n">
        <v>16.1008662739328</v>
      </c>
      <c r="G64" s="9" t="n">
        <v>4.63776428661591</v>
      </c>
      <c r="H64" s="9" t="n">
        <v>26.5280252305469</v>
      </c>
      <c r="I64" s="11" t="n">
        <f aca="false">IF(C64=0,0,H64/C64)</f>
        <v>0.13437790649662</v>
      </c>
      <c r="J64" s="9" t="n">
        <v>30</v>
      </c>
      <c r="K64" s="9" t="n">
        <v>0</v>
      </c>
      <c r="L64" s="9" t="n">
        <v>0</v>
      </c>
      <c r="M64" s="9" t="n">
        <v>53.0882479811158</v>
      </c>
      <c r="N64" s="9" t="n">
        <v>0</v>
      </c>
      <c r="O64" s="10" t="n">
        <v>108.142516193771</v>
      </c>
      <c r="P64" s="12" t="n">
        <v>72</v>
      </c>
      <c r="Q64" s="12" t="n">
        <v>79.8397774064479</v>
      </c>
      <c r="R64" s="19" t="n">
        <v>0.346713575496361</v>
      </c>
      <c r="S64" s="8" t="s">
        <v>225</v>
      </c>
      <c r="T64" s="8" t="s">
        <v>189</v>
      </c>
      <c r="V64" s="8" t="s">
        <v>67</v>
      </c>
      <c r="W64" s="10" t="n">
        <f aca="false">SUMIFS($O$5:$O$116,$A$5:$A$116,$V64,$B$5:$B$116,1)</f>
        <v>100.922279068882</v>
      </c>
      <c r="X64" s="10" t="n">
        <f aca="false">SUMIFS($O$5:$O$116,$A$5:$A$116,$V64,$B$5:$B$116,2)</f>
        <v>100.481550920509</v>
      </c>
      <c r="Y64" s="10" t="n">
        <f aca="false">SUMIFS($O$5:$O$116,$A$5:$A$116,$V64,$B$5:$B$116,3)</f>
        <v>103.488542032965</v>
      </c>
      <c r="Z64" s="10" t="n">
        <f aca="false">SUMIFS($O$5:$O$116,$A$5:$A$116,$V64,$B$5:$B$116,4)</f>
        <v>108.142516193771</v>
      </c>
      <c r="AA64" s="10" t="n">
        <f aca="false">SUMIFS($O$5:$O$116,$A$5:$A$116,$V64,$B$5:$B$116,5)</f>
        <v>114.273828434479</v>
      </c>
      <c r="AB64" s="10" t="n">
        <f aca="false">SUMIFS($O$5:$O$116,$A$5:$A$116,$V64,$B$5:$B$116,6)</f>
        <v>114.988854643444</v>
      </c>
      <c r="AC64" s="10" t="n">
        <f aca="false">SUMIFS($O$5:$O$116,$A$5:$A$116,$V64,$B$5:$B$116,7)</f>
        <v>108.244092983776</v>
      </c>
      <c r="AD64" s="10" t="n">
        <f aca="false">SUMIFS($O$5:$O$116,$A$5:$A$116,$V64,$B$5:$B$116,8)</f>
        <v>110.903443154202</v>
      </c>
    </row>
    <row r="65" customFormat="false" ht="15" hidden="false" customHeight="false" outlineLevel="0" collapsed="false">
      <c r="A65" s="8" t="s">
        <v>67</v>
      </c>
      <c r="B65" s="13" t="n">
        <v>5</v>
      </c>
      <c r="C65" s="9" t="n">
        <v>197.979511712292</v>
      </c>
      <c r="D65" s="9" t="n">
        <v>136.655576624619</v>
      </c>
      <c r="E65" s="9" t="n">
        <v>40.3489101824359</v>
      </c>
      <c r="F65" s="9" t="n">
        <v>16.2093929976488</v>
      </c>
      <c r="G65" s="9" t="n">
        <v>4.76563190758799</v>
      </c>
      <c r="H65" s="9" t="n">
        <v>26.2867220085725</v>
      </c>
      <c r="I65" s="11" t="n">
        <f aca="false">IF(C65=0,0,H65/C65)</f>
        <v>0.132774961314042</v>
      </c>
      <c r="J65" s="9" t="n">
        <v>30</v>
      </c>
      <c r="K65" s="9" t="n">
        <v>0</v>
      </c>
      <c r="L65" s="9" t="n">
        <v>0</v>
      </c>
      <c r="M65" s="9" t="n">
        <v>49.3749699896883</v>
      </c>
      <c r="N65" s="9" t="n">
        <v>0</v>
      </c>
      <c r="O65" s="10" t="n">
        <v>114.273828434479</v>
      </c>
      <c r="P65" s="12" t="n">
        <v>72</v>
      </c>
      <c r="Q65" s="12" t="n">
        <v>85.7673658042317</v>
      </c>
      <c r="R65" s="19" t="n">
        <v>0.314006783802778</v>
      </c>
      <c r="S65" s="8" t="s">
        <v>225</v>
      </c>
      <c r="T65" s="8" t="s">
        <v>189</v>
      </c>
      <c r="V65" s="8" t="s">
        <v>72</v>
      </c>
      <c r="W65" s="10" t="n">
        <f aca="false">SUMIFS($O$5:$O$116,$A$5:$A$116,$V65,$B$5:$B$116,1)</f>
        <v>100.126031494341</v>
      </c>
      <c r="X65" s="10" t="n">
        <f aca="false">SUMIFS($O$5:$O$116,$A$5:$A$116,$V65,$B$5:$B$116,2)</f>
        <v>97.297876439718</v>
      </c>
      <c r="Y65" s="10" t="n">
        <f aca="false">SUMIFS($O$5:$O$116,$A$5:$A$116,$V65,$B$5:$B$116,3)</f>
        <v>96.5275274144931</v>
      </c>
      <c r="Z65" s="10" t="n">
        <f aca="false">SUMIFS($O$5:$O$116,$A$5:$A$116,$V65,$B$5:$B$116,4)</f>
        <v>96.8633301166807</v>
      </c>
      <c r="AA65" s="10" t="n">
        <f aca="false">SUMIFS($O$5:$O$116,$A$5:$A$116,$V65,$B$5:$B$116,5)</f>
        <v>98.294907751269</v>
      </c>
      <c r="AB65" s="10" t="n">
        <f aca="false">SUMIFS($O$5:$O$116,$A$5:$A$116,$V65,$B$5:$B$116,6)</f>
        <v>96.4410743415547</v>
      </c>
      <c r="AC65" s="10" t="n">
        <f aca="false">SUMIFS($O$5:$O$116,$A$5:$A$116,$V65,$B$5:$B$116,7)</f>
        <v>95.8209623419216</v>
      </c>
      <c r="AD65" s="10" t="n">
        <f aca="false">SUMIFS($O$5:$O$116,$A$5:$A$116,$V65,$B$5:$B$116,8)</f>
        <v>102.814591851321</v>
      </c>
    </row>
    <row r="66" customFormat="false" ht="15" hidden="false" customHeight="false" outlineLevel="0" collapsed="false">
      <c r="A66" s="8" t="s">
        <v>67</v>
      </c>
      <c r="B66" s="13" t="n">
        <v>6</v>
      </c>
      <c r="C66" s="9" t="n">
        <v>197.077384378033</v>
      </c>
      <c r="D66" s="9" t="n">
        <v>135.601222730009</v>
      </c>
      <c r="E66" s="9" t="n">
        <v>40.3148073977627</v>
      </c>
      <c r="F66" s="9" t="n">
        <v>16.3737593326307</v>
      </c>
      <c r="G66" s="9" t="n">
        <v>4.78759491763108</v>
      </c>
      <c r="H66" s="9" t="n">
        <v>25.9960021969845</v>
      </c>
      <c r="I66" s="11" t="n">
        <f aca="false">IF(C66=0,0,H66/C66)</f>
        <v>0.131907586854913</v>
      </c>
      <c r="J66" s="9" t="n">
        <v>30</v>
      </c>
      <c r="K66" s="9" t="n">
        <v>0</v>
      </c>
      <c r="L66" s="9" t="n">
        <v>0</v>
      </c>
      <c r="M66" s="9" t="n">
        <v>45.3709721866728</v>
      </c>
      <c r="N66" s="9" t="n">
        <v>0</v>
      </c>
      <c r="O66" s="10" t="n">
        <v>114.988854643444</v>
      </c>
      <c r="P66" s="12" t="n">
        <v>72</v>
      </c>
      <c r="Q66" s="12" t="n">
        <v>91.7266032886972</v>
      </c>
      <c r="R66" s="19" t="n">
        <v>0.286008761932268</v>
      </c>
      <c r="S66" s="8" t="s">
        <v>225</v>
      </c>
      <c r="T66" s="8" t="s">
        <v>189</v>
      </c>
      <c r="V66" s="8" t="s">
        <v>77</v>
      </c>
      <c r="W66" s="10" t="n">
        <f aca="false">SUMIFS($O$5:$O$116,$A$5:$A$116,$V66,$B$5:$B$116,1)</f>
        <v>100.495445132701</v>
      </c>
      <c r="X66" s="10" t="n">
        <f aca="false">SUMIFS($O$5:$O$116,$A$5:$A$116,$V66,$B$5:$B$116,2)</f>
        <v>98.700853749737</v>
      </c>
      <c r="Y66" s="10" t="n">
        <f aca="false">SUMIFS($O$5:$O$116,$A$5:$A$116,$V66,$B$5:$B$116,3)</f>
        <v>100.650955699335</v>
      </c>
      <c r="Z66" s="10" t="n">
        <f aca="false">SUMIFS($O$5:$O$116,$A$5:$A$116,$V66,$B$5:$B$116,4)</f>
        <v>104.127815939067</v>
      </c>
      <c r="AA66" s="10" t="n">
        <f aca="false">SUMIFS($O$5:$O$116,$A$5:$A$116,$V66,$B$5:$B$116,5)</f>
        <v>113.387711592977</v>
      </c>
      <c r="AB66" s="10" t="n">
        <f aca="false">SUMIFS($O$5:$O$116,$A$5:$A$116,$V66,$B$5:$B$116,6)</f>
        <v>120.179856570457</v>
      </c>
      <c r="AC66" s="10" t="n">
        <f aca="false">SUMIFS($O$5:$O$116,$A$5:$A$116,$V66,$B$5:$B$116,7)</f>
        <v>131.008965273533</v>
      </c>
      <c r="AD66" s="10" t="n">
        <f aca="false">SUMIFS($O$5:$O$116,$A$5:$A$116,$V66,$B$5:$B$116,8)</f>
        <v>148.821126742347</v>
      </c>
    </row>
    <row r="67" customFormat="false" ht="15" hidden="false" customHeight="false" outlineLevel="0" collapsed="false">
      <c r="A67" s="8" t="s">
        <v>67</v>
      </c>
      <c r="B67" s="13" t="n">
        <v>7</v>
      </c>
      <c r="C67" s="9" t="n">
        <v>195.912667383286</v>
      </c>
      <c r="D67" s="9" t="n">
        <v>135.68888890985</v>
      </c>
      <c r="E67" s="9" t="n">
        <v>40.4303958400203</v>
      </c>
      <c r="F67" s="9" t="n">
        <v>14.9315305229938</v>
      </c>
      <c r="G67" s="9" t="n">
        <v>4.8618521104225</v>
      </c>
      <c r="H67" s="9" t="n">
        <v>23.9378572852242</v>
      </c>
      <c r="I67" s="11" t="n">
        <f aca="false">IF(C67=0,0,H67/C67)</f>
        <v>0.122186368063643</v>
      </c>
      <c r="J67" s="9" t="n">
        <v>30</v>
      </c>
      <c r="K67" s="9" t="n">
        <v>1.5</v>
      </c>
      <c r="L67" s="9" t="n">
        <v>0</v>
      </c>
      <c r="M67" s="9" t="n">
        <v>37.808829471897</v>
      </c>
      <c r="N67" s="9" t="n">
        <v>0</v>
      </c>
      <c r="O67" s="10" t="n">
        <v>108.244092983776</v>
      </c>
      <c r="P67" s="12" t="n">
        <v>72</v>
      </c>
      <c r="Q67" s="12" t="n">
        <v>97.7151187890075</v>
      </c>
      <c r="R67" s="19" t="n">
        <v>0.194442786699425</v>
      </c>
      <c r="S67" s="8" t="s">
        <v>234</v>
      </c>
      <c r="T67" s="8" t="s">
        <v>189</v>
      </c>
      <c r="V67" s="8" t="s">
        <v>82</v>
      </c>
      <c r="W67" s="10" t="n">
        <f aca="false">SUMIFS($O$5:$O$116,$A$5:$A$116,$V67,$B$5:$B$116,1)</f>
        <v>100.946682058837</v>
      </c>
      <c r="X67" s="10" t="n">
        <f aca="false">SUMIFS($O$5:$O$116,$A$5:$A$116,$V67,$B$5:$B$116,2)</f>
        <v>100.931386426695</v>
      </c>
      <c r="Y67" s="10" t="n">
        <f aca="false">SUMIFS($O$5:$O$116,$A$5:$A$116,$V67,$B$5:$B$116,3)</f>
        <v>104.375579168926</v>
      </c>
      <c r="Z67" s="10" t="n">
        <f aca="false">SUMIFS($O$5:$O$116,$A$5:$A$116,$V67,$B$5:$B$116,4)</f>
        <v>109.277061453833</v>
      </c>
      <c r="AA67" s="10" t="n">
        <f aca="false">SUMIFS($O$5:$O$116,$A$5:$A$116,$V67,$B$5:$B$116,5)</f>
        <v>114.73881219012</v>
      </c>
      <c r="AB67" s="10" t="n">
        <f aca="false">SUMIFS($O$5:$O$116,$A$5:$A$116,$V67,$B$5:$B$116,6)</f>
        <v>114.467669099439</v>
      </c>
      <c r="AC67" s="10" t="n">
        <f aca="false">SUMIFS($O$5:$O$116,$A$5:$A$116,$V67,$B$5:$B$116,7)</f>
        <v>107.620094013866</v>
      </c>
      <c r="AD67" s="10" t="n">
        <f aca="false">SUMIFS($O$5:$O$116,$A$5:$A$116,$V67,$B$5:$B$116,8)</f>
        <v>111.107861581178</v>
      </c>
    </row>
    <row r="68" customFormat="false" ht="15" hidden="false" customHeight="false" outlineLevel="0" collapsed="false">
      <c r="A68" s="8" t="s">
        <v>67</v>
      </c>
      <c r="B68" s="13" t="n">
        <v>8</v>
      </c>
      <c r="C68" s="9" t="n">
        <v>198.164187821147</v>
      </c>
      <c r="D68" s="9" t="n">
        <v>137.39844362063</v>
      </c>
      <c r="E68" s="9" t="n">
        <v>40.652857342268</v>
      </c>
      <c r="F68" s="9" t="n">
        <v>15.1216882833063</v>
      </c>
      <c r="G68" s="9" t="n">
        <v>4.99119857494195</v>
      </c>
      <c r="H68" s="9" t="n">
        <v>24.7038968155871</v>
      </c>
      <c r="I68" s="11" t="n">
        <f aca="false">IF(C68=0,0,H68/C68)</f>
        <v>0.124663780510552</v>
      </c>
      <c r="J68" s="9" t="n">
        <v>30</v>
      </c>
      <c r="K68" s="9" t="n">
        <v>0</v>
      </c>
      <c r="L68" s="9" t="n">
        <v>0</v>
      </c>
      <c r="M68" s="9" t="n">
        <v>32.5127262874841</v>
      </c>
      <c r="N68" s="9" t="n">
        <v>0</v>
      </c>
      <c r="O68" s="10" t="n">
        <v>110.903443154202</v>
      </c>
      <c r="P68" s="12" t="n">
        <v>72</v>
      </c>
      <c r="Q68" s="12" t="n">
        <v>100</v>
      </c>
      <c r="R68" s="19" t="n">
        <v>0.19</v>
      </c>
      <c r="S68" s="8" t="s">
        <v>234</v>
      </c>
      <c r="T68" s="8" t="s">
        <v>189</v>
      </c>
      <c r="V68" s="8" t="s">
        <v>86</v>
      </c>
      <c r="W68" s="10" t="n">
        <f aca="false">SUMIFS($O$5:$O$116,$A$5:$A$116,$V68,$B$5:$B$116,1)</f>
        <v>100.414138614318</v>
      </c>
      <c r="X68" s="10" t="n">
        <f aca="false">SUMIFS($O$5:$O$116,$A$5:$A$116,$V68,$B$5:$B$116,2)</f>
        <v>100.427065208312</v>
      </c>
      <c r="Y68" s="10" t="n">
        <f aca="false">SUMIFS($O$5:$O$116,$A$5:$A$116,$V68,$B$5:$B$116,3)</f>
        <v>107.374986415182</v>
      </c>
      <c r="Z68" s="10" t="n">
        <f aca="false">SUMIFS($O$5:$O$116,$A$5:$A$116,$V68,$B$5:$B$116,4)</f>
        <v>119.962187363714</v>
      </c>
      <c r="AA68" s="10" t="n">
        <f aca="false">SUMIFS($O$5:$O$116,$A$5:$A$116,$V68,$B$5:$B$116,5)</f>
        <v>134.740881630762</v>
      </c>
      <c r="AB68" s="10" t="n">
        <f aca="false">SUMIFS($O$5:$O$116,$A$5:$A$116,$V68,$B$5:$B$116,6)</f>
        <v>144.968637745541</v>
      </c>
      <c r="AC68" s="10" t="n">
        <f aca="false">SUMIFS($O$5:$O$116,$A$5:$A$116,$V68,$B$5:$B$116,7)</f>
        <v>150.74498856187</v>
      </c>
      <c r="AD68" s="10" t="n">
        <f aca="false">SUMIFS($O$5:$O$116,$A$5:$A$116,$V68,$B$5:$B$116,8)</f>
        <v>164.53243513427</v>
      </c>
    </row>
    <row r="69" customFormat="false" ht="15" hidden="false" customHeight="false" outlineLevel="0" collapsed="false">
      <c r="A69" s="8" t="s">
        <v>72</v>
      </c>
      <c r="B69" s="13" t="n">
        <v>1</v>
      </c>
      <c r="C69" s="9" t="n">
        <v>200.054736890248</v>
      </c>
      <c r="D69" s="9" t="n">
        <v>140.048816890248</v>
      </c>
      <c r="E69" s="9" t="n">
        <v>40.006</v>
      </c>
      <c r="F69" s="9" t="n">
        <v>15.99968</v>
      </c>
      <c r="G69" s="9" t="n">
        <v>4.00024</v>
      </c>
      <c r="H69" s="9" t="n">
        <v>30.0411165832347</v>
      </c>
      <c r="I69" s="11" t="n">
        <f aca="false">IF(C69=0,0,H69/C69)</f>
        <v>0.150164485231437</v>
      </c>
      <c r="J69" s="9" t="n">
        <v>10</v>
      </c>
      <c r="K69" s="9" t="n">
        <v>0</v>
      </c>
      <c r="L69" s="9" t="n">
        <v>0</v>
      </c>
      <c r="M69" s="9" t="n">
        <v>80.0411165832347</v>
      </c>
      <c r="N69" s="9" t="n">
        <v>0</v>
      </c>
      <c r="O69" s="10" t="n">
        <v>100.126031494341</v>
      </c>
      <c r="P69" s="12" t="n">
        <v>72</v>
      </c>
      <c r="Q69" s="12" t="n">
        <v>60</v>
      </c>
      <c r="R69" s="19" t="n">
        <v>0.25</v>
      </c>
      <c r="S69" s="8" t="s">
        <v>225</v>
      </c>
      <c r="T69" s="8" t="s">
        <v>189</v>
      </c>
      <c r="V69" s="8" t="s">
        <v>89</v>
      </c>
      <c r="W69" s="10" t="n">
        <f aca="false">SUMIFS($O$5:$O$116,$A$5:$A$116,$V69,$B$5:$B$116,1)</f>
        <v>100.028049320589</v>
      </c>
      <c r="X69" s="10" t="n">
        <f aca="false">SUMIFS($O$5:$O$116,$A$5:$A$116,$V69,$B$5:$B$116,2)</f>
        <v>97.9975524263324</v>
      </c>
      <c r="Y69" s="10" t="n">
        <f aca="false">SUMIFS($O$5:$O$116,$A$5:$A$116,$V69,$B$5:$B$116,3)</f>
        <v>100.802933261139</v>
      </c>
      <c r="Z69" s="10" t="n">
        <f aca="false">SUMIFS($O$5:$O$116,$A$5:$A$116,$V69,$B$5:$B$116,4)</f>
        <v>108.748722036164</v>
      </c>
      <c r="AA69" s="10" t="n">
        <f aca="false">SUMIFS($O$5:$O$116,$A$5:$A$116,$V69,$B$5:$B$116,5)</f>
        <v>118.115890169219</v>
      </c>
      <c r="AB69" s="10" t="n">
        <f aca="false">SUMIFS($O$5:$O$116,$A$5:$A$116,$V69,$B$5:$B$116,6)</f>
        <v>125.337441390343</v>
      </c>
      <c r="AC69" s="10" t="n">
        <f aca="false">SUMIFS($O$5:$O$116,$A$5:$A$116,$V69,$B$5:$B$116,7)</f>
        <v>133.11559739925</v>
      </c>
      <c r="AD69" s="10" t="n">
        <f aca="false">SUMIFS($O$5:$O$116,$A$5:$A$116,$V69,$B$5:$B$116,8)</f>
        <v>145.254317899383</v>
      </c>
    </row>
    <row r="70" customFormat="false" ht="15" hidden="false" customHeight="false" outlineLevel="0" collapsed="false">
      <c r="A70" s="8" t="s">
        <v>72</v>
      </c>
      <c r="B70" s="13" t="n">
        <v>2</v>
      </c>
      <c r="C70" s="9" t="n">
        <v>198.494664086773</v>
      </c>
      <c r="D70" s="9" t="n">
        <v>138.17884250101</v>
      </c>
      <c r="E70" s="9" t="n">
        <v>40.0287471907345</v>
      </c>
      <c r="F70" s="9" t="n">
        <v>15.99879201792</v>
      </c>
      <c r="G70" s="9" t="n">
        <v>4.28828237710852</v>
      </c>
      <c r="H70" s="9" t="n">
        <v>29.2374874607843</v>
      </c>
      <c r="I70" s="11" t="n">
        <f aca="false">IF(C70=0,0,H70/C70)</f>
        <v>0.14729608775782</v>
      </c>
      <c r="J70" s="9" t="n">
        <v>10</v>
      </c>
      <c r="K70" s="9" t="n">
        <v>0</v>
      </c>
      <c r="L70" s="9" t="n">
        <v>0</v>
      </c>
      <c r="M70" s="9" t="n">
        <v>99.278604044019</v>
      </c>
      <c r="N70" s="9" t="n">
        <v>0</v>
      </c>
      <c r="O70" s="10" t="n">
        <v>97.297876439718</v>
      </c>
      <c r="P70" s="12" t="n">
        <v>72</v>
      </c>
      <c r="Q70" s="12" t="n">
        <v>60</v>
      </c>
      <c r="R70" s="19" t="n">
        <v>0.25</v>
      </c>
      <c r="S70" s="8" t="s">
        <v>225</v>
      </c>
      <c r="T70" s="8" t="s">
        <v>189</v>
      </c>
      <c r="V70" s="8" t="s">
        <v>92</v>
      </c>
      <c r="W70" s="10" t="n">
        <f aca="false">SUMIFS($O$5:$O$116,$A$5:$A$116,$V70,$B$5:$B$116,1)</f>
        <v>100.075335933622</v>
      </c>
      <c r="X70" s="10" t="n">
        <f aca="false">SUMIFS($O$5:$O$116,$A$5:$A$116,$V70,$B$5:$B$116,2)</f>
        <v>97.9457664162924</v>
      </c>
      <c r="Y70" s="10" t="n">
        <f aca="false">SUMIFS($O$5:$O$116,$A$5:$A$116,$V70,$B$5:$B$116,3)</f>
        <v>100.435509802299</v>
      </c>
      <c r="Z70" s="10" t="n">
        <f aca="false">SUMIFS($O$5:$O$116,$A$5:$A$116,$V70,$B$5:$B$116,4)</f>
        <v>107.148460602404</v>
      </c>
      <c r="AA70" s="10" t="n">
        <f aca="false">SUMIFS($O$5:$O$116,$A$5:$A$116,$V70,$B$5:$B$116,5)</f>
        <v>117.396188090869</v>
      </c>
      <c r="AB70" s="10" t="n">
        <f aca="false">SUMIFS($O$5:$O$116,$A$5:$A$116,$V70,$B$5:$B$116,6)</f>
        <v>124.15882503697</v>
      </c>
      <c r="AC70" s="10" t="n">
        <f aca="false">SUMIFS($O$5:$O$116,$A$5:$A$116,$V70,$B$5:$B$116,7)</f>
        <v>133.368658175492</v>
      </c>
      <c r="AD70" s="10" t="n">
        <f aca="false">SUMIFS($O$5:$O$116,$A$5:$A$116,$V70,$B$5:$B$116,8)</f>
        <v>148.269271778725</v>
      </c>
    </row>
    <row r="71" customFormat="false" ht="15" hidden="false" customHeight="false" outlineLevel="0" collapsed="false">
      <c r="A71" s="8" t="s">
        <v>72</v>
      </c>
      <c r="B71" s="13" t="n">
        <v>3</v>
      </c>
      <c r="C71" s="9" t="n">
        <v>197.269715432457</v>
      </c>
      <c r="D71" s="9" t="n">
        <v>136.593984582048</v>
      </c>
      <c r="E71" s="9" t="n">
        <v>40.0787164220218</v>
      </c>
      <c r="F71" s="9" t="n">
        <v>15.9979454836694</v>
      </c>
      <c r="G71" s="9" t="n">
        <v>4.59906894471701</v>
      </c>
      <c r="H71" s="9" t="n">
        <v>27.7434831297761</v>
      </c>
      <c r="I71" s="11" t="n">
        <f aca="false">IF(C71=0,0,H71/C71)</f>
        <v>0.140637315104128</v>
      </c>
      <c r="J71" s="9" t="n">
        <v>10</v>
      </c>
      <c r="K71" s="9" t="n">
        <v>0</v>
      </c>
      <c r="L71" s="9" t="n">
        <v>0</v>
      </c>
      <c r="M71" s="9" t="n">
        <v>117.022087173795</v>
      </c>
      <c r="N71" s="9" t="n">
        <v>0</v>
      </c>
      <c r="O71" s="10" t="n">
        <v>96.5275274144931</v>
      </c>
      <c r="P71" s="12" t="n">
        <v>72</v>
      </c>
      <c r="Q71" s="12" t="n">
        <v>60</v>
      </c>
      <c r="R71" s="19" t="n">
        <v>0.25</v>
      </c>
      <c r="S71" s="8" t="s">
        <v>225</v>
      </c>
      <c r="T71" s="8" t="s">
        <v>189</v>
      </c>
    </row>
    <row r="72" customFormat="false" ht="15" hidden="false" customHeight="false" outlineLevel="0" collapsed="false">
      <c r="A72" s="8" t="s">
        <v>72</v>
      </c>
      <c r="B72" s="13" t="n">
        <v>4</v>
      </c>
      <c r="C72" s="9" t="n">
        <v>196.611177136829</v>
      </c>
      <c r="D72" s="9" t="n">
        <v>135.26014877786</v>
      </c>
      <c r="E72" s="9" t="n">
        <v>40.1793390395742</v>
      </c>
      <c r="F72" s="9" t="n">
        <v>15.9967360947163</v>
      </c>
      <c r="G72" s="9" t="n">
        <v>5.17495322467904</v>
      </c>
      <c r="H72" s="9" t="n">
        <v>26.8787312837204</v>
      </c>
      <c r="I72" s="11" t="n">
        <f aca="false">IF(C72=0,0,H72/C72)</f>
        <v>0.136710087773975</v>
      </c>
      <c r="J72" s="9" t="n">
        <v>10</v>
      </c>
      <c r="K72" s="9" t="n">
        <v>0</v>
      </c>
      <c r="L72" s="9" t="n">
        <v>0</v>
      </c>
      <c r="M72" s="9" t="n">
        <v>133.900818457515</v>
      </c>
      <c r="N72" s="9" t="n">
        <v>0</v>
      </c>
      <c r="O72" s="10" t="n">
        <v>96.8633301166807</v>
      </c>
      <c r="P72" s="12" t="n">
        <v>72</v>
      </c>
      <c r="Q72" s="12" t="n">
        <v>60</v>
      </c>
      <c r="R72" s="19" t="n">
        <v>0.434175</v>
      </c>
      <c r="S72" s="8" t="s">
        <v>225</v>
      </c>
      <c r="T72" s="8" t="s">
        <v>189</v>
      </c>
    </row>
    <row r="73" customFormat="false" ht="15" hidden="false" customHeight="false" outlineLevel="0" collapsed="false">
      <c r="A73" s="8" t="s">
        <v>72</v>
      </c>
      <c r="B73" s="13" t="n">
        <v>5</v>
      </c>
      <c r="C73" s="9" t="n">
        <v>196.718662265089</v>
      </c>
      <c r="D73" s="9" t="n">
        <v>134.326000653923</v>
      </c>
      <c r="E73" s="9" t="n">
        <v>40.3351108399271</v>
      </c>
      <c r="F73" s="9" t="n">
        <v>15.9930128707279</v>
      </c>
      <c r="G73" s="9" t="n">
        <v>6.06453790051094</v>
      </c>
      <c r="H73" s="9" t="n">
        <v>26.6605494439619</v>
      </c>
      <c r="I73" s="11" t="n">
        <f aca="false">IF(C73=0,0,H73/C73)</f>
        <v>0.135526284781438</v>
      </c>
      <c r="J73" s="9" t="n">
        <v>10</v>
      </c>
      <c r="K73" s="9" t="n">
        <v>0</v>
      </c>
      <c r="L73" s="9" t="n">
        <v>0</v>
      </c>
      <c r="M73" s="9" t="n">
        <v>150.561367901477</v>
      </c>
      <c r="N73" s="9" t="n">
        <v>0</v>
      </c>
      <c r="O73" s="10" t="n">
        <v>98.294907751269</v>
      </c>
      <c r="P73" s="12" t="n">
        <v>72</v>
      </c>
      <c r="Q73" s="12" t="n">
        <v>60</v>
      </c>
      <c r="R73" s="19" t="n">
        <v>0.434175</v>
      </c>
      <c r="S73" s="8" t="s">
        <v>225</v>
      </c>
      <c r="T73" s="8" t="s">
        <v>189</v>
      </c>
    </row>
    <row r="74" customFormat="false" ht="15" hidden="false" customHeight="false" outlineLevel="0" collapsed="false">
      <c r="A74" s="8" t="s">
        <v>72</v>
      </c>
      <c r="B74" s="13" t="n">
        <v>6</v>
      </c>
      <c r="C74" s="9" t="n">
        <v>195.064015769484</v>
      </c>
      <c r="D74" s="9" t="n">
        <v>131.718211858009</v>
      </c>
      <c r="E74" s="9" t="n">
        <v>40.3369041806009</v>
      </c>
      <c r="F74" s="9" t="n">
        <v>15.9738983495997</v>
      </c>
      <c r="G74" s="9" t="n">
        <v>7.03500138127438</v>
      </c>
      <c r="H74" s="9" t="n">
        <v>27.9176459867121</v>
      </c>
      <c r="I74" s="11" t="n">
        <f aca="false">IF(C74=0,0,H74/C74)</f>
        <v>0.143120430883079</v>
      </c>
      <c r="J74" s="9" t="n">
        <v>10</v>
      </c>
      <c r="K74" s="9" t="n">
        <v>0</v>
      </c>
      <c r="L74" s="9" t="n">
        <v>0</v>
      </c>
      <c r="M74" s="9" t="n">
        <v>168.479013888189</v>
      </c>
      <c r="N74" s="9" t="n">
        <v>0</v>
      </c>
      <c r="O74" s="10" t="n">
        <v>96.4410743415547</v>
      </c>
      <c r="P74" s="12" t="n">
        <v>70.5</v>
      </c>
      <c r="Q74" s="12" t="n">
        <v>59</v>
      </c>
      <c r="R74" s="19" t="n">
        <v>0.441533898305085</v>
      </c>
      <c r="S74" s="8" t="s">
        <v>225</v>
      </c>
      <c r="T74" s="8" t="s">
        <v>189</v>
      </c>
    </row>
    <row r="75" customFormat="false" ht="15" hidden="false" customHeight="false" outlineLevel="0" collapsed="false">
      <c r="A75" s="8" t="s">
        <v>72</v>
      </c>
      <c r="B75" s="13" t="n">
        <v>7</v>
      </c>
      <c r="C75" s="9" t="n">
        <v>194.181323518282</v>
      </c>
      <c r="D75" s="9" t="n">
        <v>129.241434048706</v>
      </c>
      <c r="E75" s="9" t="n">
        <v>40.5149494028305</v>
      </c>
      <c r="F75" s="9" t="n">
        <v>15.9478500521611</v>
      </c>
      <c r="G75" s="9" t="n">
        <v>8.47709001458404</v>
      </c>
      <c r="H75" s="9" t="n">
        <v>26.5841094397019</v>
      </c>
      <c r="I75" s="11" t="n">
        <f aca="false">IF(C75=0,0,H75/C75)</f>
        <v>0.136903534068245</v>
      </c>
      <c r="J75" s="9" t="n">
        <v>10</v>
      </c>
      <c r="K75" s="9" t="n">
        <v>5.81642857142857</v>
      </c>
      <c r="L75" s="9" t="n">
        <v>0</v>
      </c>
      <c r="M75" s="9" t="n">
        <v>179.246694756463</v>
      </c>
      <c r="N75" s="9" t="n">
        <v>0</v>
      </c>
      <c r="O75" s="10" t="n">
        <v>95.8209623419216</v>
      </c>
      <c r="P75" s="12" t="n">
        <v>69.5240571428572</v>
      </c>
      <c r="Q75" s="12" t="n">
        <v>57.0481142857143</v>
      </c>
      <c r="R75" s="19" t="n">
        <v>0.350581263735273</v>
      </c>
      <c r="S75" s="8" t="s">
        <v>225</v>
      </c>
      <c r="T75" s="8" t="s">
        <v>189</v>
      </c>
    </row>
    <row r="76" customFormat="false" ht="15" hidden="false" customHeight="false" outlineLevel="0" collapsed="false">
      <c r="A76" s="8" t="s">
        <v>72</v>
      </c>
      <c r="B76" s="13" t="n">
        <v>8</v>
      </c>
      <c r="C76" s="9" t="n">
        <v>196.351794110749</v>
      </c>
      <c r="D76" s="9" t="n">
        <v>129.008193994161</v>
      </c>
      <c r="E76" s="9" t="n">
        <v>40.775677806062</v>
      </c>
      <c r="F76" s="9" t="n">
        <v>15.9221667710777</v>
      </c>
      <c r="G76" s="9" t="n">
        <v>10.6457555394483</v>
      </c>
      <c r="H76" s="9" t="n">
        <v>28.102657726447</v>
      </c>
      <c r="I76" s="11" t="n">
        <f aca="false">IF(C76=0,0,H76/C76)</f>
        <v>0.143124018060136</v>
      </c>
      <c r="J76" s="9" t="n">
        <v>20.5555555555556</v>
      </c>
      <c r="K76" s="9" t="n">
        <v>0</v>
      </c>
      <c r="L76" s="9" t="n">
        <v>0</v>
      </c>
      <c r="M76" s="9" t="n">
        <v>186.793796927354</v>
      </c>
      <c r="N76" s="9" t="n">
        <v>0</v>
      </c>
      <c r="O76" s="10" t="n">
        <v>102.814591851321</v>
      </c>
      <c r="P76" s="12" t="n">
        <v>69.5240571428572</v>
      </c>
      <c r="Q76" s="12" t="n">
        <v>60.0481142857143</v>
      </c>
      <c r="R76" s="19" t="n">
        <v>0.442978107079847</v>
      </c>
      <c r="S76" s="8" t="s">
        <v>225</v>
      </c>
      <c r="T76" s="8" t="s">
        <v>189</v>
      </c>
    </row>
    <row r="77" customFormat="false" ht="15" hidden="false" customHeight="false" outlineLevel="0" collapsed="false">
      <c r="A77" s="8" t="s">
        <v>77</v>
      </c>
      <c r="B77" s="13" t="n">
        <v>1</v>
      </c>
      <c r="C77" s="9" t="n">
        <v>200.098553042328</v>
      </c>
      <c r="D77" s="9" t="n">
        <v>140.085548948883</v>
      </c>
      <c r="E77" s="9" t="n">
        <v>40.0104458333333</v>
      </c>
      <c r="F77" s="9" t="n">
        <v>16.0003782601111</v>
      </c>
      <c r="G77" s="9" t="n">
        <v>4.00218</v>
      </c>
      <c r="H77" s="9" t="n">
        <v>30.0742462416735</v>
      </c>
      <c r="I77" s="11" t="n">
        <f aca="false">IF(C77=0,0,H77/C77)</f>
        <v>0.150297169991588</v>
      </c>
      <c r="J77" s="9" t="n">
        <v>25</v>
      </c>
      <c r="K77" s="9" t="n">
        <v>0</v>
      </c>
      <c r="L77" s="9" t="n">
        <v>0</v>
      </c>
      <c r="M77" s="9" t="n">
        <v>65.0742462416735</v>
      </c>
      <c r="N77" s="9" t="n">
        <v>0</v>
      </c>
      <c r="O77" s="10" t="n">
        <v>100.495445132701</v>
      </c>
      <c r="P77" s="12" t="n">
        <v>72</v>
      </c>
      <c r="Q77" s="12" t="n">
        <v>61.3625</v>
      </c>
      <c r="R77" s="19" t="n">
        <v>0.57038093298024</v>
      </c>
      <c r="S77" s="8" t="s">
        <v>225</v>
      </c>
      <c r="T77" s="8" t="s">
        <v>189</v>
      </c>
    </row>
    <row r="78" customFormat="false" ht="15" hidden="false" customHeight="false" outlineLevel="0" collapsed="false">
      <c r="A78" s="8" t="s">
        <v>77</v>
      </c>
      <c r="B78" s="13" t="n">
        <v>2</v>
      </c>
      <c r="C78" s="9" t="n">
        <v>198.932692469571</v>
      </c>
      <c r="D78" s="9" t="n">
        <v>138.412922284709</v>
      </c>
      <c r="E78" s="9" t="n">
        <v>40.0580063082988</v>
      </c>
      <c r="F78" s="9" t="n">
        <v>16.0020519724885</v>
      </c>
      <c r="G78" s="9" t="n">
        <v>4.45971190407497</v>
      </c>
      <c r="H78" s="9" t="n">
        <v>29.081194150076</v>
      </c>
      <c r="I78" s="11" t="n">
        <f aca="false">IF(C78=0,0,H78/C78)</f>
        <v>0.146186098368544</v>
      </c>
      <c r="J78" s="9" t="n">
        <v>30</v>
      </c>
      <c r="K78" s="9" t="n">
        <v>0</v>
      </c>
      <c r="L78" s="9" t="n">
        <v>0</v>
      </c>
      <c r="M78" s="9" t="n">
        <v>64.1554403917494</v>
      </c>
      <c r="N78" s="9" t="n">
        <v>0</v>
      </c>
      <c r="O78" s="10" t="n">
        <v>98.700853749737</v>
      </c>
      <c r="P78" s="12" t="n">
        <v>72</v>
      </c>
      <c r="Q78" s="12" t="n">
        <v>63.6517969545732</v>
      </c>
      <c r="R78" s="19" t="n">
        <v>0.596998071038272</v>
      </c>
      <c r="S78" s="8" t="s">
        <v>225</v>
      </c>
      <c r="T78" s="8" t="s">
        <v>189</v>
      </c>
    </row>
    <row r="79" customFormat="false" ht="15" hidden="false" customHeight="false" outlineLevel="0" collapsed="false">
      <c r="A79" s="8" t="s">
        <v>77</v>
      </c>
      <c r="B79" s="13" t="n">
        <v>3</v>
      </c>
      <c r="C79" s="9" t="n">
        <v>198.956282157462</v>
      </c>
      <c r="D79" s="9" t="n">
        <v>137.428846343833</v>
      </c>
      <c r="E79" s="9" t="n">
        <v>40.1791302978931</v>
      </c>
      <c r="F79" s="9" t="n">
        <v>16.0065745277465</v>
      </c>
      <c r="G79" s="9" t="n">
        <v>5.34173098798944</v>
      </c>
      <c r="H79" s="9" t="n">
        <v>27.5794500898997</v>
      </c>
      <c r="I79" s="11" t="n">
        <f aca="false">IF(C79=0,0,H79/C79)</f>
        <v>0.138620654702786</v>
      </c>
      <c r="J79" s="9" t="n">
        <v>30</v>
      </c>
      <c r="K79" s="9" t="n">
        <v>0</v>
      </c>
      <c r="L79" s="9" t="n">
        <v>0</v>
      </c>
      <c r="M79" s="9" t="n">
        <v>61.7348904816491</v>
      </c>
      <c r="N79" s="9" t="n">
        <v>0</v>
      </c>
      <c r="O79" s="10" t="n">
        <v>100.650955699335</v>
      </c>
      <c r="P79" s="12" t="n">
        <v>72</v>
      </c>
      <c r="Q79" s="12" t="n">
        <v>66.357107554828</v>
      </c>
      <c r="R79" s="19" t="n">
        <v>0.560603096951796</v>
      </c>
      <c r="S79" s="8" t="s">
        <v>225</v>
      </c>
      <c r="T79" s="8" t="s">
        <v>189</v>
      </c>
    </row>
    <row r="80" customFormat="false" ht="15" hidden="false" customHeight="false" outlineLevel="0" collapsed="false">
      <c r="A80" s="8" t="s">
        <v>77</v>
      </c>
      <c r="B80" s="13" t="n">
        <v>4</v>
      </c>
      <c r="C80" s="9" t="n">
        <v>201.051569845675</v>
      </c>
      <c r="D80" s="9" t="n">
        <v>137.360037259652</v>
      </c>
      <c r="E80" s="9" t="n">
        <v>40.4183255334576</v>
      </c>
      <c r="F80" s="9" t="n">
        <v>16.0138603509789</v>
      </c>
      <c r="G80" s="9" t="n">
        <v>7.25934670158684</v>
      </c>
      <c r="H80" s="9" t="n">
        <v>27.9432403820993</v>
      </c>
      <c r="I80" s="11" t="n">
        <f aca="false">IF(C80=0,0,H80/C80)</f>
        <v>0.138985437435521</v>
      </c>
      <c r="J80" s="9" t="n">
        <v>25</v>
      </c>
      <c r="K80" s="9" t="n">
        <v>0</v>
      </c>
      <c r="L80" s="9" t="n">
        <v>0</v>
      </c>
      <c r="M80" s="9" t="n">
        <v>64.6781308637484</v>
      </c>
      <c r="N80" s="9" t="n">
        <v>0</v>
      </c>
      <c r="O80" s="10" t="n">
        <v>104.127815939067</v>
      </c>
      <c r="P80" s="12" t="n">
        <v>72</v>
      </c>
      <c r="Q80" s="12" t="n">
        <v>69.0193234717427</v>
      </c>
      <c r="R80" s="19" t="n">
        <v>0.63021292979447</v>
      </c>
      <c r="S80" s="8" t="s">
        <v>225</v>
      </c>
      <c r="T80" s="8" t="s">
        <v>189</v>
      </c>
    </row>
    <row r="81" customFormat="false" ht="15" hidden="false" customHeight="false" outlineLevel="0" collapsed="false">
      <c r="A81" s="8" t="s">
        <v>77</v>
      </c>
      <c r="B81" s="13" t="n">
        <v>5</v>
      </c>
      <c r="C81" s="9" t="n">
        <v>205.305291663449</v>
      </c>
      <c r="D81" s="9" t="n">
        <v>138.292586479589</v>
      </c>
      <c r="E81" s="9" t="n">
        <v>40.8186016100362</v>
      </c>
      <c r="F81" s="9" t="n">
        <v>16.0237891638172</v>
      </c>
      <c r="G81" s="9" t="n">
        <v>10.1703144100072</v>
      </c>
      <c r="H81" s="9" t="n">
        <v>30.4490252174698</v>
      </c>
      <c r="I81" s="11" t="n">
        <f aca="false">IF(C81=0,0,H81/C81)</f>
        <v>0.148310961547859</v>
      </c>
      <c r="J81" s="9" t="n">
        <v>25</v>
      </c>
      <c r="K81" s="9" t="n">
        <v>8.68341616262818</v>
      </c>
      <c r="L81" s="9" t="n">
        <v>0</v>
      </c>
      <c r="M81" s="9" t="n">
        <v>61.4437399185901</v>
      </c>
      <c r="N81" s="9" t="n">
        <v>0</v>
      </c>
      <c r="O81" s="10" t="n">
        <v>113.387711592977</v>
      </c>
      <c r="P81" s="12" t="n">
        <v>72</v>
      </c>
      <c r="Q81" s="12" t="n">
        <v>71.6118936197217</v>
      </c>
      <c r="R81" s="19" t="n">
        <v>0.680481212442566</v>
      </c>
      <c r="S81" s="8" t="s">
        <v>225</v>
      </c>
      <c r="T81" s="8" t="s">
        <v>189</v>
      </c>
    </row>
    <row r="82" customFormat="false" ht="15" hidden="false" customHeight="false" outlineLevel="0" collapsed="false">
      <c r="A82" s="8" t="s">
        <v>77</v>
      </c>
      <c r="B82" s="13" t="n">
        <v>6</v>
      </c>
      <c r="C82" s="9" t="n">
        <v>211.759322169054</v>
      </c>
      <c r="D82" s="9" t="n">
        <v>138.068387720368</v>
      </c>
      <c r="E82" s="9" t="n">
        <v>44.3153346953659</v>
      </c>
      <c r="F82" s="9" t="n">
        <v>16.0269783691059</v>
      </c>
      <c r="G82" s="9" t="n">
        <v>13.3486213842144</v>
      </c>
      <c r="H82" s="9" t="n">
        <v>32.5934251218716</v>
      </c>
      <c r="I82" s="11" t="n">
        <f aca="false">IF(C82=0,0,H82/C82)</f>
        <v>0.153917309462538</v>
      </c>
      <c r="J82" s="9" t="n">
        <v>25</v>
      </c>
      <c r="K82" s="9" t="n">
        <v>0</v>
      </c>
      <c r="L82" s="9" t="n">
        <v>0</v>
      </c>
      <c r="M82" s="9" t="n">
        <v>69.0371650404616</v>
      </c>
      <c r="N82" s="9" t="n">
        <v>0</v>
      </c>
      <c r="O82" s="10" t="n">
        <v>120.179856570457</v>
      </c>
      <c r="P82" s="12" t="n">
        <v>72</v>
      </c>
      <c r="Q82" s="12" t="n">
        <v>74.1985447738025</v>
      </c>
      <c r="R82" s="19" t="n">
        <v>0.63519504781847</v>
      </c>
      <c r="S82" s="8" t="s">
        <v>225</v>
      </c>
      <c r="T82" s="8" t="s">
        <v>189</v>
      </c>
    </row>
    <row r="83" customFormat="false" ht="15" hidden="false" customHeight="false" outlineLevel="0" collapsed="false">
      <c r="A83" s="8" t="s">
        <v>77</v>
      </c>
      <c r="B83" s="13" t="n">
        <v>7</v>
      </c>
      <c r="C83" s="9" t="n">
        <v>221.271908451957</v>
      </c>
      <c r="D83" s="9" t="n">
        <v>139.119453095699</v>
      </c>
      <c r="E83" s="9" t="n">
        <v>48.3325029623239</v>
      </c>
      <c r="F83" s="9" t="n">
        <v>16.0284961744645</v>
      </c>
      <c r="G83" s="9" t="n">
        <v>17.7914562194687</v>
      </c>
      <c r="H83" s="9" t="n">
        <v>37.3504863929213</v>
      </c>
      <c r="I83" s="11" t="n">
        <f aca="false">IF(C83=0,0,H83/C83)</f>
        <v>0.16879904301558</v>
      </c>
      <c r="J83" s="9" t="n">
        <v>25</v>
      </c>
      <c r="K83" s="9" t="n">
        <v>11.2871599154933</v>
      </c>
      <c r="L83" s="9" t="n">
        <v>0</v>
      </c>
      <c r="M83" s="9" t="n">
        <v>70.1004915178896</v>
      </c>
      <c r="N83" s="9" t="n">
        <v>0</v>
      </c>
      <c r="O83" s="10" t="n">
        <v>131.008965273533</v>
      </c>
      <c r="P83" s="12" t="n">
        <v>72</v>
      </c>
      <c r="Q83" s="12" t="n">
        <v>76.8544545550299</v>
      </c>
      <c r="R83" s="19" t="n">
        <v>0.565141973742035</v>
      </c>
      <c r="S83" s="8" t="s">
        <v>225</v>
      </c>
      <c r="T83" s="8" t="s">
        <v>189</v>
      </c>
    </row>
    <row r="84" customFormat="false" ht="15" hidden="false" customHeight="false" outlineLevel="0" collapsed="false">
      <c r="A84" s="8" t="s">
        <v>77</v>
      </c>
      <c r="B84" s="13" t="n">
        <v>8</v>
      </c>
      <c r="C84" s="9" t="n">
        <v>233.349231609353</v>
      </c>
      <c r="D84" s="9" t="n">
        <v>142.017417408034</v>
      </c>
      <c r="E84" s="9" t="n">
        <v>51.6606518328984</v>
      </c>
      <c r="F84" s="9" t="n">
        <v>16.0401527282242</v>
      </c>
      <c r="G84" s="9" t="n">
        <v>23.6310096401959</v>
      </c>
      <c r="H84" s="9" t="n">
        <v>47.0539280009771</v>
      </c>
      <c r="I84" s="11" t="n">
        <f aca="false">IF(C84=0,0,H84/C84)</f>
        <v>0.201645952191304</v>
      </c>
      <c r="J84" s="9" t="n">
        <v>36.25</v>
      </c>
      <c r="K84" s="9" t="n">
        <v>0</v>
      </c>
      <c r="L84" s="9" t="n">
        <v>0</v>
      </c>
      <c r="M84" s="9" t="n">
        <v>80.9044195188667</v>
      </c>
      <c r="N84" s="9" t="n">
        <v>0</v>
      </c>
      <c r="O84" s="10" t="n">
        <v>148.821126742347</v>
      </c>
      <c r="P84" s="12" t="n">
        <v>72</v>
      </c>
      <c r="Q84" s="12" t="n">
        <v>79.6271140556867</v>
      </c>
      <c r="R84" s="19" t="n">
        <v>0.474712671032694</v>
      </c>
      <c r="S84" s="8" t="s">
        <v>225</v>
      </c>
      <c r="T84" s="8" t="s">
        <v>189</v>
      </c>
    </row>
    <row r="85" customFormat="false" ht="15" hidden="false" customHeight="false" outlineLevel="0" collapsed="false">
      <c r="A85" s="8" t="s">
        <v>82</v>
      </c>
      <c r="B85" s="13" t="n">
        <v>1</v>
      </c>
      <c r="C85" s="9" t="n">
        <v>199.995816670354</v>
      </c>
      <c r="D85" s="9" t="n">
        <v>139.986071169466</v>
      </c>
      <c r="E85" s="9" t="n">
        <v>40.007375</v>
      </c>
      <c r="F85" s="9" t="n">
        <v>16.0023705008889</v>
      </c>
      <c r="G85" s="9" t="n">
        <v>4</v>
      </c>
      <c r="H85" s="9" t="n">
        <v>29.9974194219629</v>
      </c>
      <c r="I85" s="11" t="n">
        <f aca="false">IF(C85=0,0,H85/C85)</f>
        <v>0.149990234402785</v>
      </c>
      <c r="J85" s="9" t="n">
        <v>30</v>
      </c>
      <c r="K85" s="9" t="n">
        <v>0</v>
      </c>
      <c r="L85" s="9" t="n">
        <v>0</v>
      </c>
      <c r="M85" s="9" t="n">
        <v>59.9974194219629</v>
      </c>
      <c r="N85" s="9" t="n">
        <v>0</v>
      </c>
      <c r="O85" s="10" t="n">
        <v>100.946682058837</v>
      </c>
      <c r="P85" s="12" t="n">
        <v>72</v>
      </c>
      <c r="Q85" s="12" t="n">
        <v>60</v>
      </c>
      <c r="R85" s="19" t="n">
        <v>0.366666666666667</v>
      </c>
      <c r="S85" s="8" t="s">
        <v>225</v>
      </c>
      <c r="T85" s="8" t="s">
        <v>189</v>
      </c>
    </row>
    <row r="86" customFormat="false" ht="15" hidden="false" customHeight="false" outlineLevel="0" collapsed="false">
      <c r="A86" s="8" t="s">
        <v>82</v>
      </c>
      <c r="B86" s="13" t="n">
        <v>2</v>
      </c>
      <c r="C86" s="9" t="n">
        <v>198.287194283214</v>
      </c>
      <c r="D86" s="9" t="n">
        <v>137.956100442274</v>
      </c>
      <c r="E86" s="9" t="n">
        <v>40.0366225196474</v>
      </c>
      <c r="F86" s="9" t="n">
        <v>16.0144713212928</v>
      </c>
      <c r="G86" s="9" t="n">
        <v>4.28</v>
      </c>
      <c r="H86" s="9" t="n">
        <v>29.386160580704</v>
      </c>
      <c r="I86" s="11" t="n">
        <f aca="false">IF(C86=0,0,H86/C86)</f>
        <v>0.148199991870033</v>
      </c>
      <c r="J86" s="9" t="n">
        <v>30</v>
      </c>
      <c r="K86" s="9" t="n">
        <v>0</v>
      </c>
      <c r="L86" s="9" t="n">
        <v>0</v>
      </c>
      <c r="M86" s="9" t="n">
        <v>59.3835800026669</v>
      </c>
      <c r="N86" s="9" t="n">
        <v>0</v>
      </c>
      <c r="O86" s="10" t="n">
        <v>100.931386426695</v>
      </c>
      <c r="P86" s="12" t="n">
        <v>72</v>
      </c>
      <c r="Q86" s="12" t="n">
        <v>60</v>
      </c>
      <c r="R86" s="19" t="n">
        <v>0.366666666666667</v>
      </c>
      <c r="S86" s="8" t="s">
        <v>225</v>
      </c>
      <c r="T86" s="8" t="s">
        <v>189</v>
      </c>
    </row>
    <row r="87" customFormat="false" ht="15" hidden="false" customHeight="false" outlineLevel="0" collapsed="false">
      <c r="A87" s="8" t="s">
        <v>82</v>
      </c>
      <c r="B87" s="13" t="n">
        <v>3</v>
      </c>
      <c r="C87" s="9" t="n">
        <v>196.755925274112</v>
      </c>
      <c r="D87" s="9" t="n">
        <v>136.173270997117</v>
      </c>
      <c r="E87" s="9" t="n">
        <v>40.1023046353895</v>
      </c>
      <c r="F87" s="9" t="n">
        <v>16.0494619703727</v>
      </c>
      <c r="G87" s="9" t="n">
        <v>4.43088767123288</v>
      </c>
      <c r="H87" s="9" t="n">
        <v>27.951444853142</v>
      </c>
      <c r="I87" s="11" t="n">
        <f aca="false">IF(C87=0,0,H87/C87)</f>
        <v>0.14206151511931</v>
      </c>
      <c r="J87" s="9" t="n">
        <v>30</v>
      </c>
      <c r="K87" s="9" t="n">
        <v>0</v>
      </c>
      <c r="L87" s="9" t="n">
        <v>0</v>
      </c>
      <c r="M87" s="9" t="n">
        <v>57.3350248558088</v>
      </c>
      <c r="N87" s="9" t="n">
        <v>0</v>
      </c>
      <c r="O87" s="10" t="n">
        <v>104.375579168926</v>
      </c>
      <c r="P87" s="12" t="n">
        <v>72</v>
      </c>
      <c r="Q87" s="12" t="n">
        <v>60</v>
      </c>
      <c r="R87" s="19" t="n">
        <v>0.366666666666667</v>
      </c>
      <c r="S87" s="8" t="s">
        <v>225</v>
      </c>
      <c r="T87" s="8" t="s">
        <v>189</v>
      </c>
    </row>
    <row r="88" customFormat="false" ht="15" hidden="false" customHeight="false" outlineLevel="0" collapsed="false">
      <c r="A88" s="8" t="s">
        <v>82</v>
      </c>
      <c r="B88" s="13" t="n">
        <v>4</v>
      </c>
      <c r="C88" s="9" t="n">
        <v>195.640700237777</v>
      </c>
      <c r="D88" s="9" t="n">
        <v>134.732773677751</v>
      </c>
      <c r="E88" s="9" t="n">
        <v>40.2150965368309</v>
      </c>
      <c r="F88" s="9" t="n">
        <v>16.1267428646284</v>
      </c>
      <c r="G88" s="9" t="n">
        <v>4.56608715856634</v>
      </c>
      <c r="H88" s="9" t="n">
        <v>27.0129426196111</v>
      </c>
      <c r="I88" s="11" t="n">
        <f aca="false">IF(C88=0,0,H88/C88)</f>
        <v>0.138074248286682</v>
      </c>
      <c r="J88" s="9" t="n">
        <v>30</v>
      </c>
      <c r="K88" s="9" t="n">
        <v>0</v>
      </c>
      <c r="L88" s="9" t="n">
        <v>0</v>
      </c>
      <c r="M88" s="9" t="n">
        <v>54.34796747542</v>
      </c>
      <c r="N88" s="9" t="n">
        <v>0</v>
      </c>
      <c r="O88" s="10" t="n">
        <v>109.277061453833</v>
      </c>
      <c r="P88" s="12" t="n">
        <v>72</v>
      </c>
      <c r="Q88" s="12" t="n">
        <v>60</v>
      </c>
      <c r="R88" s="19" t="n">
        <v>0.432897857142857</v>
      </c>
      <c r="S88" s="8" t="s">
        <v>225</v>
      </c>
      <c r="T88" s="8" t="s">
        <v>189</v>
      </c>
    </row>
    <row r="89" customFormat="false" ht="15" hidden="false" customHeight="false" outlineLevel="0" collapsed="false">
      <c r="A89" s="8" t="s">
        <v>82</v>
      </c>
      <c r="B89" s="13" t="n">
        <v>5</v>
      </c>
      <c r="C89" s="9" t="n">
        <v>195.156351615399</v>
      </c>
      <c r="D89" s="9" t="n">
        <v>133.873901161138</v>
      </c>
      <c r="E89" s="9" t="n">
        <v>40.3582722705313</v>
      </c>
      <c r="F89" s="9" t="n">
        <v>16.2652384648329</v>
      </c>
      <c r="G89" s="9" t="n">
        <v>4.65893971889693</v>
      </c>
      <c r="H89" s="9" t="n">
        <v>26.5954420716335</v>
      </c>
      <c r="I89" s="11" t="n">
        <f aca="false">IF(C89=0,0,H89/C89)</f>
        <v>0.136277614597172</v>
      </c>
      <c r="J89" s="9" t="n">
        <v>30</v>
      </c>
      <c r="K89" s="9" t="n">
        <v>0</v>
      </c>
      <c r="L89" s="9" t="n">
        <v>0</v>
      </c>
      <c r="M89" s="9" t="n">
        <v>50.9434095470535</v>
      </c>
      <c r="N89" s="9" t="n">
        <v>0</v>
      </c>
      <c r="O89" s="10" t="n">
        <v>114.73881219012</v>
      </c>
      <c r="P89" s="12" t="n">
        <v>72</v>
      </c>
      <c r="Q89" s="12" t="n">
        <v>60</v>
      </c>
      <c r="R89" s="19" t="n">
        <v>0.414564523809524</v>
      </c>
      <c r="S89" s="8" t="s">
        <v>225</v>
      </c>
      <c r="T89" s="8" t="s">
        <v>189</v>
      </c>
    </row>
    <row r="90" customFormat="false" ht="15" hidden="false" customHeight="false" outlineLevel="0" collapsed="false">
      <c r="A90" s="8" t="s">
        <v>82</v>
      </c>
      <c r="B90" s="13" t="n">
        <v>6</v>
      </c>
      <c r="C90" s="9" t="n">
        <v>193.047547880635</v>
      </c>
      <c r="D90" s="9" t="n">
        <v>131.621301959641</v>
      </c>
      <c r="E90" s="9" t="n">
        <v>40.3025386458138</v>
      </c>
      <c r="F90" s="9" t="n">
        <v>16.4751268077304</v>
      </c>
      <c r="G90" s="9" t="n">
        <v>4.64858046744992</v>
      </c>
      <c r="H90" s="9" t="n">
        <v>27.7455627122503</v>
      </c>
      <c r="I90" s="11" t="n">
        <f aca="false">IF(C90=0,0,H90/C90)</f>
        <v>0.14372398415237</v>
      </c>
      <c r="J90" s="9" t="n">
        <v>30</v>
      </c>
      <c r="K90" s="9" t="n">
        <v>0</v>
      </c>
      <c r="L90" s="9" t="n">
        <v>0</v>
      </c>
      <c r="M90" s="9" t="n">
        <v>48.6889722593037</v>
      </c>
      <c r="N90" s="9" t="n">
        <v>0</v>
      </c>
      <c r="O90" s="10" t="n">
        <v>114.467669099439</v>
      </c>
      <c r="P90" s="12" t="n">
        <v>70.5</v>
      </c>
      <c r="Q90" s="12" t="n">
        <v>59</v>
      </c>
      <c r="R90" s="19" t="n">
        <v>0.408044794188862</v>
      </c>
      <c r="S90" s="8" t="s">
        <v>225</v>
      </c>
      <c r="T90" s="8" t="s">
        <v>189</v>
      </c>
    </row>
    <row r="91" customFormat="false" ht="15" hidden="false" customHeight="false" outlineLevel="0" collapsed="false">
      <c r="A91" s="8" t="s">
        <v>82</v>
      </c>
      <c r="B91" s="13" t="n">
        <v>7</v>
      </c>
      <c r="C91" s="9" t="n">
        <v>190.268117104678</v>
      </c>
      <c r="D91" s="9" t="n">
        <v>130.259611280984</v>
      </c>
      <c r="E91" s="9" t="n">
        <v>40.3801404664433</v>
      </c>
      <c r="F91" s="9" t="n">
        <v>14.9473618813646</v>
      </c>
      <c r="G91" s="9" t="n">
        <v>4.6810034758865</v>
      </c>
      <c r="H91" s="9" t="n">
        <v>25.0830063320981</v>
      </c>
      <c r="I91" s="11" t="n">
        <f aca="false">IF(C91=0,0,H91/C91)</f>
        <v>0.131829792157444</v>
      </c>
      <c r="J91" s="9" t="n">
        <v>30</v>
      </c>
      <c r="K91" s="9" t="n">
        <v>1.5</v>
      </c>
      <c r="L91" s="9" t="n">
        <v>0</v>
      </c>
      <c r="M91" s="9" t="n">
        <v>42.2719785914018</v>
      </c>
      <c r="N91" s="9" t="n">
        <v>0</v>
      </c>
      <c r="O91" s="10" t="n">
        <v>107.620094013866</v>
      </c>
      <c r="P91" s="12" t="n">
        <v>70.5</v>
      </c>
      <c r="Q91" s="12" t="n">
        <v>59</v>
      </c>
      <c r="R91" s="19" t="n">
        <v>0.298305084745763</v>
      </c>
      <c r="S91" s="8" t="s">
        <v>225</v>
      </c>
      <c r="T91" s="8" t="s">
        <v>189</v>
      </c>
    </row>
    <row r="92" customFormat="false" ht="15" hidden="false" customHeight="false" outlineLevel="0" collapsed="false">
      <c r="A92" s="8" t="s">
        <v>82</v>
      </c>
      <c r="B92" s="13" t="n">
        <v>8</v>
      </c>
      <c r="C92" s="9" t="n">
        <v>190.773505347924</v>
      </c>
      <c r="D92" s="9" t="n">
        <v>130.278574283642</v>
      </c>
      <c r="E92" s="9" t="n">
        <v>40.5576164157507</v>
      </c>
      <c r="F92" s="9" t="n">
        <v>15.179564816828</v>
      </c>
      <c r="G92" s="9" t="n">
        <v>4.75774983170401</v>
      </c>
      <c r="H92" s="9" t="n">
        <v>25.1500625247968</v>
      </c>
      <c r="I92" s="11" t="n">
        <f aca="false">IF(C92=0,0,H92/C92)</f>
        <v>0.131832051200869</v>
      </c>
      <c r="J92" s="9" t="n">
        <v>30</v>
      </c>
      <c r="K92" s="9" t="n">
        <v>0</v>
      </c>
      <c r="L92" s="9" t="n">
        <v>0</v>
      </c>
      <c r="M92" s="9" t="n">
        <v>37.4220411161986</v>
      </c>
      <c r="N92" s="9" t="n">
        <v>0</v>
      </c>
      <c r="O92" s="10" t="n">
        <v>111.107861581178</v>
      </c>
      <c r="P92" s="12" t="n">
        <v>70.5</v>
      </c>
      <c r="Q92" s="12" t="n">
        <v>59</v>
      </c>
      <c r="R92" s="19" t="n">
        <v>0.298305084745763</v>
      </c>
      <c r="S92" s="8" t="s">
        <v>234</v>
      </c>
      <c r="T92" s="8" t="s">
        <v>189</v>
      </c>
    </row>
    <row r="93" customFormat="false" ht="15" hidden="false" customHeight="false" outlineLevel="0" collapsed="false">
      <c r="A93" s="8" t="s">
        <v>86</v>
      </c>
      <c r="B93" s="13" t="n">
        <v>1</v>
      </c>
      <c r="C93" s="9" t="n">
        <v>200.175831531423</v>
      </c>
      <c r="D93" s="9" t="n">
        <v>140.175202531423</v>
      </c>
      <c r="E93" s="9" t="n">
        <v>40</v>
      </c>
      <c r="F93" s="9" t="n">
        <v>15.99968</v>
      </c>
      <c r="G93" s="9" t="n">
        <v>4.000949</v>
      </c>
      <c r="H93" s="9" t="n">
        <v>30.1310765359104</v>
      </c>
      <c r="I93" s="11" t="n">
        <f aca="false">IF(C93=0,0,H93/C93)</f>
        <v>0.150523049188286</v>
      </c>
      <c r="J93" s="9" t="n">
        <v>30</v>
      </c>
      <c r="K93" s="9" t="n">
        <v>0</v>
      </c>
      <c r="L93" s="9" t="n">
        <v>0</v>
      </c>
      <c r="M93" s="9" t="n">
        <v>60.1310765359104</v>
      </c>
      <c r="N93" s="9" t="n">
        <v>0</v>
      </c>
      <c r="O93" s="10" t="n">
        <v>100.414138614318</v>
      </c>
      <c r="P93" s="12" t="n">
        <v>72</v>
      </c>
      <c r="Q93" s="12" t="n">
        <v>60</v>
      </c>
      <c r="R93" s="19" t="n">
        <v>0.575</v>
      </c>
      <c r="S93" s="8" t="s">
        <v>225</v>
      </c>
      <c r="T93" s="8" t="s">
        <v>189</v>
      </c>
    </row>
    <row r="94" customFormat="false" ht="15" hidden="false" customHeight="false" outlineLevel="0" collapsed="false">
      <c r="A94" s="8" t="s">
        <v>86</v>
      </c>
      <c r="B94" s="13" t="n">
        <v>2</v>
      </c>
      <c r="C94" s="9" t="n">
        <v>199.553806776193</v>
      </c>
      <c r="D94" s="9" t="n">
        <v>138.753194726933</v>
      </c>
      <c r="E94" s="9" t="n">
        <v>39.9998790806334</v>
      </c>
      <c r="F94" s="9" t="n">
        <v>15.99879201792</v>
      </c>
      <c r="G94" s="9" t="n">
        <v>4.80194095070699</v>
      </c>
      <c r="H94" s="9" t="n">
        <v>29.4729856416207</v>
      </c>
      <c r="I94" s="11" t="n">
        <f aca="false">IF(C94=0,0,H94/C94)</f>
        <v>0.147694429476235</v>
      </c>
      <c r="J94" s="9" t="n">
        <v>30</v>
      </c>
      <c r="K94" s="9" t="n">
        <v>0</v>
      </c>
      <c r="L94" s="9" t="n">
        <v>0</v>
      </c>
      <c r="M94" s="9" t="n">
        <v>59.6040621775311</v>
      </c>
      <c r="N94" s="9" t="n">
        <v>0</v>
      </c>
      <c r="O94" s="10" t="n">
        <v>100.427065208312</v>
      </c>
      <c r="P94" s="12" t="n">
        <v>72</v>
      </c>
      <c r="Q94" s="12" t="n">
        <v>60</v>
      </c>
      <c r="R94" s="19" t="n">
        <v>0.575</v>
      </c>
      <c r="S94" s="8" t="s">
        <v>225</v>
      </c>
      <c r="T94" s="8" t="s">
        <v>189</v>
      </c>
    </row>
    <row r="95" customFormat="false" ht="15" hidden="false" customHeight="false" outlineLevel="0" collapsed="false">
      <c r="A95" s="8" t="s">
        <v>86</v>
      </c>
      <c r="B95" s="13" t="n">
        <v>3</v>
      </c>
      <c r="C95" s="9" t="n">
        <v>201.118203074436</v>
      </c>
      <c r="D95" s="9" t="n">
        <v>138.558432437537</v>
      </c>
      <c r="E95" s="9" t="n">
        <v>40.0000843111361</v>
      </c>
      <c r="F95" s="9" t="n">
        <v>15.9979454836694</v>
      </c>
      <c r="G95" s="9" t="n">
        <v>6.56174084209393</v>
      </c>
      <c r="H95" s="9" t="n">
        <v>29.6089229506619</v>
      </c>
      <c r="I95" s="11" t="n">
        <f aca="false">IF(C95=0,0,H95/C95)</f>
        <v>0.147221497099908</v>
      </c>
      <c r="J95" s="9" t="n">
        <v>30</v>
      </c>
      <c r="K95" s="9" t="n">
        <v>0</v>
      </c>
      <c r="L95" s="9" t="n">
        <v>0</v>
      </c>
      <c r="M95" s="9" t="n">
        <v>59.2129851281931</v>
      </c>
      <c r="N95" s="9" t="n">
        <v>0</v>
      </c>
      <c r="O95" s="10" t="n">
        <v>107.374986415182</v>
      </c>
      <c r="P95" s="12" t="n">
        <v>72</v>
      </c>
      <c r="Q95" s="12" t="n">
        <v>60</v>
      </c>
      <c r="R95" s="19" t="n">
        <v>0.575</v>
      </c>
      <c r="S95" s="8" t="s">
        <v>225</v>
      </c>
      <c r="T95" s="8" t="s">
        <v>189</v>
      </c>
    </row>
    <row r="96" customFormat="false" ht="15" hidden="false" customHeight="false" outlineLevel="0" collapsed="false">
      <c r="A96" s="8" t="s">
        <v>86</v>
      </c>
      <c r="B96" s="13" t="n">
        <v>4</v>
      </c>
      <c r="C96" s="9" t="n">
        <v>206.094791121562</v>
      </c>
      <c r="D96" s="9" t="n">
        <v>140.192885635331</v>
      </c>
      <c r="E96" s="9" t="n">
        <v>40.0165271133036</v>
      </c>
      <c r="F96" s="9" t="n">
        <v>15.9967360947163</v>
      </c>
      <c r="G96" s="9" t="n">
        <v>9.88864227821095</v>
      </c>
      <c r="H96" s="9" t="n">
        <v>32.5785888513921</v>
      </c>
      <c r="I96" s="11" t="n">
        <f aca="false">IF(C96=0,0,H96/C96)</f>
        <v>0.158075750843097</v>
      </c>
      <c r="J96" s="9" t="n">
        <v>30</v>
      </c>
      <c r="K96" s="9" t="n">
        <v>0</v>
      </c>
      <c r="L96" s="9" t="n">
        <v>0</v>
      </c>
      <c r="M96" s="9" t="n">
        <v>61.7915739795852</v>
      </c>
      <c r="N96" s="9" t="n">
        <v>0</v>
      </c>
      <c r="O96" s="10" t="n">
        <v>119.962187363714</v>
      </c>
      <c r="P96" s="12" t="n">
        <v>72</v>
      </c>
      <c r="Q96" s="12" t="n">
        <v>60</v>
      </c>
      <c r="R96" s="19" t="n">
        <v>0.561218512152778</v>
      </c>
      <c r="S96" s="8" t="s">
        <v>225</v>
      </c>
      <c r="T96" s="8" t="s">
        <v>189</v>
      </c>
    </row>
    <row r="97" customFormat="false" ht="15" hidden="false" customHeight="false" outlineLevel="0" collapsed="false">
      <c r="A97" s="8" t="s">
        <v>86</v>
      </c>
      <c r="B97" s="13" t="n">
        <v>5</v>
      </c>
      <c r="C97" s="9" t="n">
        <v>214.110444753759</v>
      </c>
      <c r="D97" s="9" t="n">
        <v>143.81827416462</v>
      </c>
      <c r="E97" s="9" t="n">
        <v>40.038776835343</v>
      </c>
      <c r="F97" s="9" t="n">
        <v>15.9930128707279</v>
      </c>
      <c r="G97" s="9" t="n">
        <v>14.2603808830681</v>
      </c>
      <c r="H97" s="9" t="n">
        <v>37.734803853147</v>
      </c>
      <c r="I97" s="11" t="n">
        <f aca="false">IF(C97=0,0,H97/C97)</f>
        <v>0.176239902245519</v>
      </c>
      <c r="J97" s="9" t="n">
        <v>30</v>
      </c>
      <c r="K97" s="9" t="n">
        <v>0</v>
      </c>
      <c r="L97" s="9" t="n">
        <v>0</v>
      </c>
      <c r="M97" s="9" t="n">
        <v>69.5263778327322</v>
      </c>
      <c r="N97" s="9" t="n">
        <v>0</v>
      </c>
      <c r="O97" s="10" t="n">
        <v>134.740881630762</v>
      </c>
      <c r="P97" s="12" t="n">
        <v>72</v>
      </c>
      <c r="Q97" s="12" t="n">
        <v>60</v>
      </c>
      <c r="R97" s="19" t="n">
        <v>0.529135178819445</v>
      </c>
      <c r="S97" s="8" t="s">
        <v>225</v>
      </c>
      <c r="T97" s="8" t="s">
        <v>189</v>
      </c>
    </row>
    <row r="98" customFormat="false" ht="15" hidden="false" customHeight="false" outlineLevel="0" collapsed="false">
      <c r="A98" s="8" t="s">
        <v>86</v>
      </c>
      <c r="B98" s="13" t="n">
        <v>6</v>
      </c>
      <c r="C98" s="9" t="n">
        <v>221.42377883105</v>
      </c>
      <c r="D98" s="9" t="n">
        <v>147.050226843549</v>
      </c>
      <c r="E98" s="9" t="n">
        <v>39.8298269547773</v>
      </c>
      <c r="F98" s="9" t="n">
        <v>15.9738983495997</v>
      </c>
      <c r="G98" s="9" t="n">
        <v>18.5698266831247</v>
      </c>
      <c r="H98" s="9" t="n">
        <v>45.4432386264767</v>
      </c>
      <c r="I98" s="11" t="n">
        <f aca="false">IF(C98=0,0,H98/C98)</f>
        <v>0.205231971319352</v>
      </c>
      <c r="J98" s="9" t="n">
        <v>30</v>
      </c>
      <c r="K98" s="9" t="n">
        <v>0</v>
      </c>
      <c r="L98" s="9" t="n">
        <v>0</v>
      </c>
      <c r="M98" s="9" t="n">
        <v>84.9696164592089</v>
      </c>
      <c r="N98" s="9" t="n">
        <v>0</v>
      </c>
      <c r="O98" s="10" t="n">
        <v>144.968637745541</v>
      </c>
      <c r="P98" s="12" t="n">
        <v>70.5</v>
      </c>
      <c r="Q98" s="12" t="n">
        <v>59</v>
      </c>
      <c r="R98" s="19" t="n">
        <v>0.53121530720339</v>
      </c>
      <c r="S98" s="8" t="s">
        <v>225</v>
      </c>
      <c r="T98" s="8" t="s">
        <v>189</v>
      </c>
    </row>
    <row r="99" customFormat="false" ht="15" hidden="false" customHeight="false" outlineLevel="0" collapsed="false">
      <c r="A99" s="8" t="s">
        <v>86</v>
      </c>
      <c r="B99" s="13" t="n">
        <v>7</v>
      </c>
      <c r="C99" s="9" t="n">
        <v>228.925706353771</v>
      </c>
      <c r="D99" s="9" t="n">
        <v>148.905564062171</v>
      </c>
      <c r="E99" s="9" t="n">
        <v>39.7013377023733</v>
      </c>
      <c r="F99" s="9" t="n">
        <v>15.9429784963121</v>
      </c>
      <c r="G99" s="9" t="n">
        <v>24.3758260929151</v>
      </c>
      <c r="H99" s="9" t="n">
        <v>49.251676550664</v>
      </c>
      <c r="I99" s="11" t="n">
        <f aca="false">IF(C99=0,0,H99/C99)</f>
        <v>0.215142621312055</v>
      </c>
      <c r="J99" s="9" t="n">
        <v>30</v>
      </c>
      <c r="K99" s="9" t="n">
        <v>10.1490926179561</v>
      </c>
      <c r="L99" s="9" t="n">
        <v>0</v>
      </c>
      <c r="M99" s="9" t="n">
        <v>94.0722003919167</v>
      </c>
      <c r="N99" s="9" t="n">
        <v>0</v>
      </c>
      <c r="O99" s="10" t="n">
        <v>150.74498856187</v>
      </c>
      <c r="P99" s="12" t="n">
        <v>70.5</v>
      </c>
      <c r="Q99" s="12" t="n">
        <v>59</v>
      </c>
      <c r="R99" s="19" t="n">
        <v>0.589830508474576</v>
      </c>
      <c r="S99" s="8" t="s">
        <v>225</v>
      </c>
      <c r="T99" s="8" t="s">
        <v>189</v>
      </c>
    </row>
    <row r="100" customFormat="false" ht="15" hidden="false" customHeight="false" outlineLevel="0" collapsed="false">
      <c r="A100" s="8" t="s">
        <v>86</v>
      </c>
      <c r="B100" s="13" t="n">
        <v>8</v>
      </c>
      <c r="C100" s="9" t="n">
        <v>241.530319216222</v>
      </c>
      <c r="D100" s="9" t="n">
        <v>154.628780957014</v>
      </c>
      <c r="E100" s="9" t="n">
        <v>39.5820604507877</v>
      </c>
      <c r="F100" s="9" t="n">
        <v>15.9086724359444</v>
      </c>
      <c r="G100" s="9" t="n">
        <v>31.4108053724763</v>
      </c>
      <c r="H100" s="9" t="n">
        <v>57.9493468533375</v>
      </c>
      <c r="I100" s="11" t="n">
        <f aca="false">IF(C100=0,0,H100/C100)</f>
        <v>0.239925766013087</v>
      </c>
      <c r="J100" s="9" t="n">
        <v>41.25</v>
      </c>
      <c r="K100" s="9" t="n">
        <v>0</v>
      </c>
      <c r="L100" s="9" t="n">
        <v>0</v>
      </c>
      <c r="M100" s="9" t="n">
        <v>110.771547245254</v>
      </c>
      <c r="N100" s="9" t="n">
        <v>0</v>
      </c>
      <c r="O100" s="10" t="n">
        <v>164.53243513427</v>
      </c>
      <c r="P100" s="12" t="n">
        <v>70.5</v>
      </c>
      <c r="Q100" s="12" t="n">
        <v>59</v>
      </c>
      <c r="R100" s="19" t="n">
        <v>0.593220338983051</v>
      </c>
      <c r="S100" s="8" t="s">
        <v>225</v>
      </c>
      <c r="T100" s="8" t="s">
        <v>189</v>
      </c>
    </row>
    <row r="101" customFormat="false" ht="15" hidden="false" customHeight="false" outlineLevel="0" collapsed="false">
      <c r="A101" s="8" t="s">
        <v>89</v>
      </c>
      <c r="B101" s="13" t="n">
        <v>1</v>
      </c>
      <c r="C101" s="9" t="n">
        <v>200.007493856797</v>
      </c>
      <c r="D101" s="9" t="n">
        <v>139.981414356797</v>
      </c>
      <c r="E101" s="9" t="n">
        <v>40.0254375</v>
      </c>
      <c r="F101" s="9" t="n">
        <v>15.99968</v>
      </c>
      <c r="G101" s="9" t="n">
        <v>4.000962</v>
      </c>
      <c r="H101" s="9" t="n">
        <v>30.0070653958138</v>
      </c>
      <c r="I101" s="11" t="n">
        <f aca="false">IF(C101=0,0,H101/C101)</f>
        <v>0.150029705473428</v>
      </c>
      <c r="J101" s="9" t="n">
        <v>30</v>
      </c>
      <c r="K101" s="9" t="n">
        <v>0</v>
      </c>
      <c r="L101" s="9" t="n">
        <v>0</v>
      </c>
      <c r="M101" s="9" t="n">
        <v>60.0070653958138</v>
      </c>
      <c r="N101" s="9" t="n">
        <v>0</v>
      </c>
      <c r="O101" s="10" t="n">
        <v>100.028049320589</v>
      </c>
      <c r="P101" s="12" t="n">
        <v>72</v>
      </c>
      <c r="Q101" s="12" t="n">
        <v>60</v>
      </c>
      <c r="R101" s="19" t="n">
        <v>0.55</v>
      </c>
      <c r="S101" s="8" t="s">
        <v>225</v>
      </c>
      <c r="T101" s="8" t="s">
        <v>189</v>
      </c>
    </row>
    <row r="102" customFormat="false" ht="15" hidden="false" customHeight="false" outlineLevel="0" collapsed="false">
      <c r="A102" s="8" t="s">
        <v>89</v>
      </c>
      <c r="B102" s="13" t="n">
        <v>2</v>
      </c>
      <c r="C102" s="9" t="n">
        <v>198.904521036622</v>
      </c>
      <c r="D102" s="9" t="n">
        <v>137.967875470829</v>
      </c>
      <c r="E102" s="9" t="n">
        <v>40.1222168737739</v>
      </c>
      <c r="F102" s="9" t="n">
        <v>15.99879201792</v>
      </c>
      <c r="G102" s="9" t="n">
        <v>4.81563667409895</v>
      </c>
      <c r="H102" s="9" t="n">
        <v>28.4052796901301</v>
      </c>
      <c r="I102" s="11" t="n">
        <f aca="false">IF(C102=0,0,H102/C102)</f>
        <v>0.142808617632679</v>
      </c>
      <c r="J102" s="9" t="n">
        <v>30</v>
      </c>
      <c r="K102" s="9" t="n">
        <v>0</v>
      </c>
      <c r="L102" s="9" t="n">
        <v>0</v>
      </c>
      <c r="M102" s="9" t="n">
        <v>58.4123450859439</v>
      </c>
      <c r="N102" s="9" t="n">
        <v>0</v>
      </c>
      <c r="O102" s="10" t="n">
        <v>97.9975524263324</v>
      </c>
      <c r="P102" s="12" t="n">
        <v>72</v>
      </c>
      <c r="Q102" s="12" t="n">
        <v>60</v>
      </c>
      <c r="R102" s="19" t="n">
        <v>0.55</v>
      </c>
      <c r="S102" s="8" t="s">
        <v>225</v>
      </c>
      <c r="T102" s="8" t="s">
        <v>189</v>
      </c>
    </row>
    <row r="103" customFormat="false" ht="15" hidden="false" customHeight="false" outlineLevel="0" collapsed="false">
      <c r="A103" s="8" t="s">
        <v>89</v>
      </c>
      <c r="B103" s="13" t="n">
        <v>3</v>
      </c>
      <c r="C103" s="9" t="n">
        <v>199.3545132694</v>
      </c>
      <c r="D103" s="9" t="n">
        <v>136.417031306915</v>
      </c>
      <c r="E103" s="9" t="n">
        <v>40.3329268397757</v>
      </c>
      <c r="F103" s="9" t="n">
        <v>15.9979454836694</v>
      </c>
      <c r="G103" s="9" t="n">
        <v>6.60660963904008</v>
      </c>
      <c r="H103" s="9" t="n">
        <v>27.1174659605231</v>
      </c>
      <c r="I103" s="11" t="n">
        <f aca="false">IF(C103=0,0,H103/C103)</f>
        <v>0.136026345808773</v>
      </c>
      <c r="J103" s="9" t="n">
        <v>30</v>
      </c>
      <c r="K103" s="9" t="n">
        <v>0</v>
      </c>
      <c r="L103" s="9" t="n">
        <v>0</v>
      </c>
      <c r="M103" s="9" t="n">
        <v>55.5298110464669</v>
      </c>
      <c r="N103" s="9" t="n">
        <v>0</v>
      </c>
      <c r="O103" s="10" t="n">
        <v>100.802933261139</v>
      </c>
      <c r="P103" s="12" t="n">
        <v>72</v>
      </c>
      <c r="Q103" s="12" t="n">
        <v>60</v>
      </c>
      <c r="R103" s="19" t="n">
        <v>0.55</v>
      </c>
      <c r="S103" s="8" t="s">
        <v>225</v>
      </c>
      <c r="T103" s="8" t="s">
        <v>189</v>
      </c>
    </row>
    <row r="104" customFormat="false" ht="15" hidden="false" customHeight="false" outlineLevel="0" collapsed="false">
      <c r="A104" s="8" t="s">
        <v>89</v>
      </c>
      <c r="B104" s="13" t="n">
        <v>4</v>
      </c>
      <c r="C104" s="9" t="n">
        <v>201.915978410429</v>
      </c>
      <c r="D104" s="9" t="n">
        <v>135.232295842195</v>
      </c>
      <c r="E104" s="9" t="n">
        <v>40.7273658817118</v>
      </c>
      <c r="F104" s="9" t="n">
        <v>15.9967360947163</v>
      </c>
      <c r="G104" s="9" t="n">
        <v>9.95958059180643</v>
      </c>
      <c r="H104" s="9" t="n">
        <v>27.7288851603758</v>
      </c>
      <c r="I104" s="11" t="n">
        <f aca="false">IF(C104=0,0,H104/C104)</f>
        <v>0.137328830430705</v>
      </c>
      <c r="J104" s="9" t="n">
        <v>30</v>
      </c>
      <c r="K104" s="9" t="n">
        <v>0</v>
      </c>
      <c r="L104" s="9" t="n">
        <v>0</v>
      </c>
      <c r="M104" s="9" t="n">
        <v>53.2586962068428</v>
      </c>
      <c r="N104" s="9" t="n">
        <v>0</v>
      </c>
      <c r="O104" s="10" t="n">
        <v>108.748722036164</v>
      </c>
      <c r="P104" s="12" t="n">
        <v>72</v>
      </c>
      <c r="Q104" s="12" t="n">
        <v>60</v>
      </c>
      <c r="R104" s="19" t="n">
        <v>0.612596416666667</v>
      </c>
      <c r="S104" s="8" t="s">
        <v>225</v>
      </c>
      <c r="T104" s="8" t="s">
        <v>189</v>
      </c>
    </row>
    <row r="105" customFormat="false" ht="15" hidden="false" customHeight="false" outlineLevel="0" collapsed="false">
      <c r="A105" s="8" t="s">
        <v>89</v>
      </c>
      <c r="B105" s="13" t="n">
        <v>5</v>
      </c>
      <c r="C105" s="9" t="n">
        <v>206.053834728215</v>
      </c>
      <c r="D105" s="9" t="n">
        <v>134.305833991497</v>
      </c>
      <c r="E105" s="9" t="n">
        <v>41.4220578935757</v>
      </c>
      <c r="F105" s="9" t="n">
        <v>15.9930128707279</v>
      </c>
      <c r="G105" s="9" t="n">
        <v>14.3329299724148</v>
      </c>
      <c r="H105" s="9" t="n">
        <v>29.5253446359348</v>
      </c>
      <c r="I105" s="11" t="n">
        <f aca="false">IF(C105=0,0,H105/C105)</f>
        <v>0.143289469350952</v>
      </c>
      <c r="J105" s="9" t="n">
        <v>30</v>
      </c>
      <c r="K105" s="9" t="n">
        <v>7.70992144580346</v>
      </c>
      <c r="L105" s="9" t="n">
        <v>0</v>
      </c>
      <c r="M105" s="9" t="n">
        <v>45.0741193969741</v>
      </c>
      <c r="N105" s="9" t="n">
        <v>0</v>
      </c>
      <c r="O105" s="10" t="n">
        <v>118.115890169219</v>
      </c>
      <c r="P105" s="12" t="n">
        <v>72</v>
      </c>
      <c r="Q105" s="12" t="n">
        <v>60</v>
      </c>
      <c r="R105" s="19" t="n">
        <v>0.684839553476165</v>
      </c>
      <c r="S105" s="8" t="s">
        <v>225</v>
      </c>
      <c r="T105" s="8" t="s">
        <v>189</v>
      </c>
    </row>
    <row r="106" customFormat="false" ht="15" hidden="false" customHeight="false" outlineLevel="0" collapsed="false">
      <c r="A106" s="8" t="s">
        <v>89</v>
      </c>
      <c r="B106" s="13" t="n">
        <v>6</v>
      </c>
      <c r="C106" s="9" t="n">
        <v>211.552004125527</v>
      </c>
      <c r="D106" s="9" t="n">
        <v>131.505129782328</v>
      </c>
      <c r="E106" s="9" t="n">
        <v>45.4640240922869</v>
      </c>
      <c r="F106" s="9" t="n">
        <v>15.9738983495997</v>
      </c>
      <c r="G106" s="9" t="n">
        <v>18.6089519013125</v>
      </c>
      <c r="H106" s="9" t="n">
        <v>32.2985231916906</v>
      </c>
      <c r="I106" s="11" t="n">
        <f aca="false">IF(C106=0,0,H106/C106)</f>
        <v>0.152674153691902</v>
      </c>
      <c r="J106" s="9" t="n">
        <v>30</v>
      </c>
      <c r="K106" s="9" t="n">
        <v>0</v>
      </c>
      <c r="L106" s="9" t="n">
        <v>0</v>
      </c>
      <c r="M106" s="9" t="n">
        <v>47.3726425886647</v>
      </c>
      <c r="N106" s="9" t="n">
        <v>0</v>
      </c>
      <c r="O106" s="10" t="n">
        <v>125.337441390343</v>
      </c>
      <c r="P106" s="12" t="n">
        <v>70.5</v>
      </c>
      <c r="Q106" s="12" t="n">
        <v>59</v>
      </c>
      <c r="R106" s="19" t="n">
        <v>0.66533864321426</v>
      </c>
      <c r="S106" s="8" t="s">
        <v>225</v>
      </c>
      <c r="T106" s="8" t="s">
        <v>189</v>
      </c>
    </row>
    <row r="107" customFormat="false" ht="15" hidden="false" customHeight="false" outlineLevel="0" collapsed="false">
      <c r="A107" s="8" t="s">
        <v>89</v>
      </c>
      <c r="B107" s="13" t="n">
        <v>7</v>
      </c>
      <c r="C107" s="9" t="n">
        <v>219.657842157548</v>
      </c>
      <c r="D107" s="9" t="n">
        <v>129.193762164762</v>
      </c>
      <c r="E107" s="9" t="n">
        <v>50.4159553842625</v>
      </c>
      <c r="F107" s="9" t="n">
        <v>15.9423520907298</v>
      </c>
      <c r="G107" s="9" t="n">
        <v>24.1057725177937</v>
      </c>
      <c r="H107" s="9" t="n">
        <v>35.2925910889742</v>
      </c>
      <c r="I107" s="11" t="n">
        <f aca="false">IF(C107=0,0,H107/C107)</f>
        <v>0.160670753852079</v>
      </c>
      <c r="J107" s="9" t="n">
        <v>30</v>
      </c>
      <c r="K107" s="9" t="n">
        <v>10.7181826781685</v>
      </c>
      <c r="L107" s="9" t="n">
        <v>0</v>
      </c>
      <c r="M107" s="9" t="n">
        <v>41.9470509994705</v>
      </c>
      <c r="N107" s="9" t="n">
        <v>0</v>
      </c>
      <c r="O107" s="10" t="n">
        <v>133.11559739925</v>
      </c>
      <c r="P107" s="12" t="n">
        <v>70.5</v>
      </c>
      <c r="Q107" s="12" t="n">
        <v>59</v>
      </c>
      <c r="R107" s="19" t="n">
        <v>0.674315054382541</v>
      </c>
      <c r="S107" s="8" t="s">
        <v>225</v>
      </c>
      <c r="T107" s="8" t="s">
        <v>189</v>
      </c>
    </row>
    <row r="108" customFormat="false" ht="15" hidden="false" customHeight="false" outlineLevel="0" collapsed="false">
      <c r="A108" s="8" t="s">
        <v>89</v>
      </c>
      <c r="B108" s="13" t="n">
        <v>8</v>
      </c>
      <c r="C108" s="9" t="n">
        <v>229.379120444057</v>
      </c>
      <c r="D108" s="9" t="n">
        <v>127.859348239853</v>
      </c>
      <c r="E108" s="9" t="n">
        <v>54.8485117216742</v>
      </c>
      <c r="F108" s="9" t="n">
        <v>15.9069376644309</v>
      </c>
      <c r="G108" s="9" t="n">
        <v>30.7643228180985</v>
      </c>
      <c r="H108" s="9" t="n">
        <v>43.6428209669373</v>
      </c>
      <c r="I108" s="11" t="n">
        <f aca="false">IF(C108=0,0,H108/C108)</f>
        <v>0.190265011403169</v>
      </c>
      <c r="J108" s="9" t="n">
        <v>41.25</v>
      </c>
      <c r="K108" s="9" t="n">
        <v>0</v>
      </c>
      <c r="L108" s="9" t="n">
        <v>0</v>
      </c>
      <c r="M108" s="9" t="n">
        <v>44.3398719664078</v>
      </c>
      <c r="N108" s="9" t="n">
        <v>0</v>
      </c>
      <c r="O108" s="10" t="n">
        <v>145.254317899383</v>
      </c>
      <c r="P108" s="12" t="n">
        <v>70.5</v>
      </c>
      <c r="Q108" s="12" t="n">
        <v>59</v>
      </c>
      <c r="R108" s="19" t="n">
        <v>0.566101694915254</v>
      </c>
      <c r="S108" s="8" t="s">
        <v>225</v>
      </c>
      <c r="T108" s="8" t="s">
        <v>189</v>
      </c>
    </row>
    <row r="109" customFormat="false" ht="15" hidden="false" customHeight="false" outlineLevel="0" collapsed="false">
      <c r="A109" s="8" t="s">
        <v>92</v>
      </c>
      <c r="B109" s="13" t="n">
        <v>1</v>
      </c>
      <c r="C109" s="9" t="n">
        <v>200.027827251661</v>
      </c>
      <c r="D109" s="9" t="n">
        <v>140.000119751661</v>
      </c>
      <c r="E109" s="9" t="n">
        <v>40.0254375</v>
      </c>
      <c r="F109" s="9" t="n">
        <v>15.99968</v>
      </c>
      <c r="G109" s="9" t="n">
        <v>4.00259</v>
      </c>
      <c r="H109" s="9" t="n">
        <v>30.0223847149875</v>
      </c>
      <c r="I109" s="11" t="n">
        <f aca="false">IF(C109=0,0,H109/C109)</f>
        <v>0.150091040469161</v>
      </c>
      <c r="J109" s="9" t="n">
        <v>30</v>
      </c>
      <c r="K109" s="9" t="n">
        <v>0</v>
      </c>
      <c r="L109" s="9" t="n">
        <v>0</v>
      </c>
      <c r="M109" s="9" t="n">
        <v>60.0223847149875</v>
      </c>
      <c r="N109" s="9" t="n">
        <v>0</v>
      </c>
      <c r="O109" s="10" t="n">
        <v>100.075335933622</v>
      </c>
      <c r="P109" s="12" t="n">
        <v>72</v>
      </c>
      <c r="Q109" s="12" t="n">
        <v>61.3875</v>
      </c>
      <c r="R109" s="19" t="n">
        <v>0.537568723274282</v>
      </c>
      <c r="S109" s="8" t="s">
        <v>225</v>
      </c>
      <c r="T109" s="8" t="s">
        <v>189</v>
      </c>
    </row>
    <row r="110" customFormat="false" ht="15" hidden="false" customHeight="false" outlineLevel="0" collapsed="false">
      <c r="A110" s="8" t="s">
        <v>92</v>
      </c>
      <c r="B110" s="13" t="n">
        <v>2</v>
      </c>
      <c r="C110" s="9" t="n">
        <v>198.854388620731</v>
      </c>
      <c r="D110" s="9" t="n">
        <v>138.09422103271</v>
      </c>
      <c r="E110" s="9" t="n">
        <v>40.122595549746</v>
      </c>
      <c r="F110" s="9" t="n">
        <v>15.99879201792</v>
      </c>
      <c r="G110" s="9" t="n">
        <v>4.63878002035453</v>
      </c>
      <c r="H110" s="9" t="n">
        <v>28.3482614190258</v>
      </c>
      <c r="I110" s="11" t="n">
        <f aca="false">IF(C110=0,0,H110/C110)</f>
        <v>0.142557886781637</v>
      </c>
      <c r="J110" s="9" t="n">
        <v>30</v>
      </c>
      <c r="K110" s="9" t="n">
        <v>0</v>
      </c>
      <c r="L110" s="9" t="n">
        <v>0</v>
      </c>
      <c r="M110" s="9" t="n">
        <v>58.3706461340132</v>
      </c>
      <c r="N110" s="9" t="n">
        <v>0</v>
      </c>
      <c r="O110" s="10" t="n">
        <v>97.9457664162924</v>
      </c>
      <c r="P110" s="12" t="n">
        <v>72</v>
      </c>
      <c r="Q110" s="12" t="n">
        <v>63.7555734575443</v>
      </c>
      <c r="R110" s="19" t="n">
        <v>0.517601806561667</v>
      </c>
      <c r="S110" s="8" t="s">
        <v>225</v>
      </c>
      <c r="T110" s="8" t="s">
        <v>189</v>
      </c>
    </row>
    <row r="111" customFormat="false" ht="15" hidden="false" customHeight="false" outlineLevel="0" collapsed="false">
      <c r="A111" s="8" t="s">
        <v>92</v>
      </c>
      <c r="B111" s="13" t="n">
        <v>3</v>
      </c>
      <c r="C111" s="9" t="n">
        <v>199.155440088663</v>
      </c>
      <c r="D111" s="9" t="n">
        <v>136.773731825708</v>
      </c>
      <c r="E111" s="9" t="n">
        <v>40.3357040991084</v>
      </c>
      <c r="F111" s="9" t="n">
        <v>15.9979454836694</v>
      </c>
      <c r="G111" s="9" t="n">
        <v>6.04805868017634</v>
      </c>
      <c r="H111" s="9" t="n">
        <v>26.9090038417935</v>
      </c>
      <c r="I111" s="11" t="n">
        <f aca="false">IF(C111=0,0,H111/C111)</f>
        <v>0.135115585242431</v>
      </c>
      <c r="J111" s="9" t="n">
        <v>30</v>
      </c>
      <c r="K111" s="9" t="n">
        <v>0</v>
      </c>
      <c r="L111" s="9" t="n">
        <v>0</v>
      </c>
      <c r="M111" s="9" t="n">
        <v>55.2796499758067</v>
      </c>
      <c r="N111" s="9" t="n">
        <v>0</v>
      </c>
      <c r="O111" s="10" t="n">
        <v>100.435509802299</v>
      </c>
      <c r="P111" s="12" t="n">
        <v>72</v>
      </c>
      <c r="Q111" s="12" t="n">
        <v>66.561398522904</v>
      </c>
      <c r="R111" s="19" t="n">
        <v>0.495782852108262</v>
      </c>
      <c r="S111" s="8" t="s">
        <v>225</v>
      </c>
      <c r="T111" s="8" t="s">
        <v>189</v>
      </c>
    </row>
    <row r="112" customFormat="false" ht="15" hidden="false" customHeight="false" outlineLevel="0" collapsed="false">
      <c r="A112" s="8" t="s">
        <v>92</v>
      </c>
      <c r="B112" s="13" t="n">
        <v>4</v>
      </c>
      <c r="C112" s="9" t="n">
        <v>201.685214985035</v>
      </c>
      <c r="D112" s="9" t="n">
        <v>136.018174562033</v>
      </c>
      <c r="E112" s="9" t="n">
        <v>40.7368742145581</v>
      </c>
      <c r="F112" s="9" t="n">
        <v>15.9967360947163</v>
      </c>
      <c r="G112" s="9" t="n">
        <v>8.9334301137274</v>
      </c>
      <c r="H112" s="9" t="n">
        <v>27.446791854725</v>
      </c>
      <c r="I112" s="11" t="n">
        <f aca="false">IF(C112=0,0,H112/C112)</f>
        <v>0.136087277675568</v>
      </c>
      <c r="J112" s="9" t="n">
        <v>30</v>
      </c>
      <c r="K112" s="9" t="n">
        <v>0</v>
      </c>
      <c r="L112" s="9" t="n">
        <v>0</v>
      </c>
      <c r="M112" s="9" t="n">
        <v>52.7264418305317</v>
      </c>
      <c r="N112" s="9" t="n">
        <v>0</v>
      </c>
      <c r="O112" s="10" t="n">
        <v>107.148460602404</v>
      </c>
      <c r="P112" s="12" t="n">
        <v>72</v>
      </c>
      <c r="Q112" s="12" t="n">
        <v>69.3430127773918</v>
      </c>
      <c r="R112" s="19" t="n">
        <v>0.544820935769292</v>
      </c>
      <c r="S112" s="8" t="s">
        <v>225</v>
      </c>
      <c r="T112" s="8" t="s">
        <v>189</v>
      </c>
    </row>
    <row r="113" customFormat="false" ht="15" hidden="false" customHeight="false" outlineLevel="0" collapsed="false">
      <c r="A113" s="8" t="s">
        <v>92</v>
      </c>
      <c r="B113" s="13" t="n">
        <v>5</v>
      </c>
      <c r="C113" s="9" t="n">
        <v>206.340554423319</v>
      </c>
      <c r="D113" s="9" t="n">
        <v>135.778310994123</v>
      </c>
      <c r="E113" s="9" t="n">
        <v>41.445923856929</v>
      </c>
      <c r="F113" s="9" t="n">
        <v>15.9930128707279</v>
      </c>
      <c r="G113" s="9" t="n">
        <v>13.1233067015389</v>
      </c>
      <c r="H113" s="9" t="n">
        <v>29.6195417783464</v>
      </c>
      <c r="I113" s="11" t="n">
        <f aca="false">IF(C113=0,0,H113/C113)</f>
        <v>0.143546875024773</v>
      </c>
      <c r="J113" s="9" t="n">
        <v>30</v>
      </c>
      <c r="K113" s="9" t="n">
        <v>7.78107872919856</v>
      </c>
      <c r="L113" s="9" t="n">
        <v>0</v>
      </c>
      <c r="M113" s="9" t="n">
        <v>44.5649048796796</v>
      </c>
      <c r="N113" s="9" t="n">
        <v>0</v>
      </c>
      <c r="O113" s="10" t="n">
        <v>117.396188090869</v>
      </c>
      <c r="P113" s="12" t="n">
        <v>72</v>
      </c>
      <c r="Q113" s="12" t="n">
        <v>72.0729789971412</v>
      </c>
      <c r="R113" s="19" t="n">
        <v>0.584443166928076</v>
      </c>
      <c r="S113" s="8" t="s">
        <v>225</v>
      </c>
      <c r="T113" s="8" t="s">
        <v>189</v>
      </c>
    </row>
    <row r="114" customFormat="false" ht="15" hidden="false" customHeight="false" outlineLevel="0" collapsed="false">
      <c r="A114" s="8" t="s">
        <v>92</v>
      </c>
      <c r="B114" s="13" t="n">
        <v>6</v>
      </c>
      <c r="C114" s="9" t="n">
        <v>212.74416882609</v>
      </c>
      <c r="D114" s="9" t="n">
        <v>133.803749458425</v>
      </c>
      <c r="E114" s="9" t="n">
        <v>45.5235290491299</v>
      </c>
      <c r="F114" s="9" t="n">
        <v>15.9738983495997</v>
      </c>
      <c r="G114" s="9" t="n">
        <v>17.4429919689356</v>
      </c>
      <c r="H114" s="9" t="n">
        <v>31.0375990343374</v>
      </c>
      <c r="I114" s="11" t="n">
        <f aca="false">IF(C114=0,0,H114/C114)</f>
        <v>0.145891655717762</v>
      </c>
      <c r="J114" s="9" t="n">
        <v>30</v>
      </c>
      <c r="K114" s="9" t="n">
        <v>0</v>
      </c>
      <c r="L114" s="9" t="n">
        <v>0</v>
      </c>
      <c r="M114" s="9" t="n">
        <v>45.602503914017</v>
      </c>
      <c r="N114" s="9" t="n">
        <v>0</v>
      </c>
      <c r="O114" s="10" t="n">
        <v>124.15882503697</v>
      </c>
      <c r="P114" s="12" t="n">
        <v>72</v>
      </c>
      <c r="Q114" s="12" t="n">
        <v>74.8072780290753</v>
      </c>
      <c r="R114" s="19" t="n">
        <v>0.538350828369629</v>
      </c>
      <c r="S114" s="8" t="s">
        <v>225</v>
      </c>
      <c r="T114" s="8" t="s">
        <v>189</v>
      </c>
    </row>
    <row r="115" customFormat="false" ht="15" hidden="false" customHeight="false" outlineLevel="0" collapsed="false">
      <c r="A115" s="8" t="s">
        <v>92</v>
      </c>
      <c r="B115" s="13" t="n">
        <v>7</v>
      </c>
      <c r="C115" s="9" t="n">
        <v>222.132380303303</v>
      </c>
      <c r="D115" s="9" t="n">
        <v>132.383294661146</v>
      </c>
      <c r="E115" s="9" t="n">
        <v>50.6094643330744</v>
      </c>
      <c r="F115" s="9" t="n">
        <v>15.9425048043806</v>
      </c>
      <c r="G115" s="9" t="n">
        <v>23.1971165047023</v>
      </c>
      <c r="H115" s="9" t="n">
        <v>35.0079854934277</v>
      </c>
      <c r="I115" s="11" t="n">
        <f aca="false">IF(C115=0,0,H115/C115)</f>
        <v>0.15759965046801</v>
      </c>
      <c r="J115" s="9" t="n">
        <v>30</v>
      </c>
      <c r="K115" s="9" t="n">
        <v>10.4555358396536</v>
      </c>
      <c r="L115" s="9" t="n">
        <v>0</v>
      </c>
      <c r="M115" s="9" t="n">
        <v>40.1549535677911</v>
      </c>
      <c r="N115" s="9" t="n">
        <v>0</v>
      </c>
      <c r="O115" s="10" t="n">
        <v>133.368658175492</v>
      </c>
      <c r="P115" s="12" t="n">
        <v>72</v>
      </c>
      <c r="Q115" s="12" t="n">
        <v>77.5782890472648</v>
      </c>
      <c r="R115" s="19" t="n">
        <v>0.512940353200433</v>
      </c>
      <c r="S115" s="8" t="s">
        <v>225</v>
      </c>
      <c r="T115" s="8" t="s">
        <v>189</v>
      </c>
    </row>
    <row r="116" customFormat="false" ht="15" hidden="false" customHeight="false" outlineLevel="0" collapsed="false">
      <c r="A116" s="8" t="s">
        <v>92</v>
      </c>
      <c r="B116" s="13" t="n">
        <v>8</v>
      </c>
      <c r="C116" s="9" t="n">
        <v>233.409852496534</v>
      </c>
      <c r="D116" s="9" t="n">
        <v>132.046480971498</v>
      </c>
      <c r="E116" s="9" t="n">
        <v>55.193196914353</v>
      </c>
      <c r="F116" s="9" t="n">
        <v>15.9073605824132</v>
      </c>
      <c r="G116" s="9" t="n">
        <v>30.2628140282696</v>
      </c>
      <c r="H116" s="9" t="n">
        <v>44.191944262978</v>
      </c>
      <c r="I116" s="11" t="n">
        <f aca="false">IF(C116=0,0,H116/C116)</f>
        <v>0.189331957457255</v>
      </c>
      <c r="J116" s="9" t="n">
        <v>41.25</v>
      </c>
      <c r="K116" s="9" t="n">
        <v>0</v>
      </c>
      <c r="L116" s="9" t="n">
        <v>0</v>
      </c>
      <c r="M116" s="9" t="n">
        <v>43.0968978307691</v>
      </c>
      <c r="N116" s="9" t="n">
        <v>0</v>
      </c>
      <c r="O116" s="10" t="n">
        <v>148.269271778725</v>
      </c>
      <c r="P116" s="12" t="n">
        <v>72</v>
      </c>
      <c r="Q116" s="12" t="n">
        <v>80.4243460596288</v>
      </c>
      <c r="R116" s="19" t="n">
        <v>0.415297128748008</v>
      </c>
      <c r="S116" s="8" t="s">
        <v>225</v>
      </c>
      <c r="T116" s="8" t="s">
        <v>189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93F3B"/>
    <pageSetUpPr fitToPage="true"/>
  </sheetPr>
  <dimension ref="A1:Q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
    <col collapsed="false" customWidth="true" hidden="false" outlineLevel="0" max="4" min="3" style="0" width="20"/>
    <col collapsed="false" customWidth="true" hidden="false" outlineLevel="0" max="5" min="5" style="0" width="11"/>
    <col collapsed="false" customWidth="true" hidden="false" outlineLevel="0" max="8" min="6" style="0" width="20"/>
    <col collapsed="false" customWidth="true" hidden="false" outlineLevel="0" max="17" min="9" style="0" width="11"/>
  </cols>
  <sheetData>
    <row r="1" customFormat="false" ht="17.35" hidden="false" customHeight="false" outlineLevel="0" collapsed="false">
      <c r="A1" s="1" t="s">
        <v>238</v>
      </c>
    </row>
    <row r="2" customFormat="false" ht="15" hidden="false" customHeight="false" outlineLevel="0" collapsed="false">
      <c r="A2" s="2" t="s">
        <v>239</v>
      </c>
    </row>
    <row r="4" customFormat="false" ht="15" hidden="false" customHeight="false" outlineLevel="0" collapsed="false">
      <c r="A4" s="3" t="s">
        <v>240</v>
      </c>
    </row>
    <row r="5" customFormat="false" ht="30" hidden="false" customHeight="true" outlineLevel="0" collapsed="false">
      <c r="A5" s="7" t="s">
        <v>157</v>
      </c>
      <c r="B5" s="7" t="s">
        <v>37</v>
      </c>
      <c r="C5" s="7" t="s">
        <v>42</v>
      </c>
      <c r="D5" s="7" t="s">
        <v>47</v>
      </c>
      <c r="E5" s="7" t="s">
        <v>241</v>
      </c>
      <c r="F5" s="7" t="s">
        <v>242</v>
      </c>
      <c r="G5" s="7" t="s">
        <v>219</v>
      </c>
      <c r="H5" s="7" t="s">
        <v>220</v>
      </c>
      <c r="I5" s="7" t="s">
        <v>243</v>
      </c>
      <c r="J5" s="7" t="s">
        <v>244</v>
      </c>
      <c r="K5" s="7" t="s">
        <v>245</v>
      </c>
      <c r="L5" s="7" t="s">
        <v>246</v>
      </c>
      <c r="M5" s="7" t="s">
        <v>247</v>
      </c>
      <c r="N5" s="7" t="s">
        <v>248</v>
      </c>
      <c r="O5" s="7" t="s">
        <v>249</v>
      </c>
      <c r="P5" s="7" t="s">
        <v>250</v>
      </c>
      <c r="Q5" s="7" t="s">
        <v>251</v>
      </c>
    </row>
    <row r="6" customFormat="false" ht="15" hidden="false" customHeight="false" outlineLevel="0" collapsed="false">
      <c r="A6" s="8" t="s">
        <v>36</v>
      </c>
      <c r="B6" s="12" t="n">
        <v>120</v>
      </c>
      <c r="C6" s="12" t="n">
        <v>30</v>
      </c>
      <c r="D6" s="12" t="n">
        <v>11.0422294536371</v>
      </c>
      <c r="E6" s="12" t="n">
        <v>100</v>
      </c>
      <c r="F6" s="12" t="n">
        <v>40</v>
      </c>
      <c r="G6" s="12" t="n">
        <v>72</v>
      </c>
      <c r="H6" s="12" t="n">
        <v>100</v>
      </c>
      <c r="I6" s="12" t="n">
        <v>111.042229453637</v>
      </c>
      <c r="J6" s="12" t="n">
        <v>151.884958032545</v>
      </c>
      <c r="K6" s="12" t="n">
        <v>39.5421810417664</v>
      </c>
      <c r="L6" s="12" t="n">
        <v>15.9058606326434</v>
      </c>
      <c r="M6" s="12" t="n">
        <v>5.03770740845352</v>
      </c>
      <c r="N6" s="9" t="n">
        <f aca="false">J6-140</f>
        <v>11.8849580325448</v>
      </c>
      <c r="O6" s="9" t="n">
        <f aca="false">K6-40</f>
        <v>-0.457818958233602</v>
      </c>
      <c r="P6" s="9" t="n">
        <f aca="false">L6-16</f>
        <v>-0.0941393673565791</v>
      </c>
      <c r="Q6" s="9" t="n">
        <f aca="false">M6-4</f>
        <v>1.03770740845352</v>
      </c>
    </row>
    <row r="7" customFormat="false" ht="15" hidden="false" customHeight="false" outlineLevel="0" collapsed="false">
      <c r="A7" s="8" t="s">
        <v>41</v>
      </c>
      <c r="B7" s="12" t="n">
        <v>53</v>
      </c>
      <c r="C7" s="12" t="n">
        <v>120</v>
      </c>
      <c r="D7" s="12" t="n">
        <v>10</v>
      </c>
      <c r="E7" s="12" t="n">
        <v>84.8613710422556</v>
      </c>
      <c r="F7" s="12" t="n">
        <v>40</v>
      </c>
      <c r="G7" s="12" t="n">
        <v>63</v>
      </c>
      <c r="H7" s="12" t="n">
        <v>86.0308218824434</v>
      </c>
      <c r="I7" s="12" t="n">
        <v>137.083483526605</v>
      </c>
      <c r="J7" s="12" t="n">
        <v>126.614348836562</v>
      </c>
      <c r="K7" s="12" t="n">
        <v>50.1021650036316</v>
      </c>
      <c r="L7" s="12" t="n">
        <v>15.8894021171473</v>
      </c>
      <c r="M7" s="12" t="n">
        <v>4.91816257006477</v>
      </c>
      <c r="N7" s="9" t="n">
        <f aca="false">J7-140</f>
        <v>-13.385651163438</v>
      </c>
      <c r="O7" s="9" t="n">
        <f aca="false">K7-40</f>
        <v>10.1021650036316</v>
      </c>
      <c r="P7" s="9" t="n">
        <f aca="false">L7-16</f>
        <v>-0.110597882852749</v>
      </c>
      <c r="Q7" s="9" t="n">
        <f aca="false">M7-4</f>
        <v>0.918162570064765</v>
      </c>
    </row>
    <row r="8" customFormat="false" ht="15" hidden="false" customHeight="false" outlineLevel="0" collapsed="false">
      <c r="A8" s="8" t="s">
        <v>46</v>
      </c>
      <c r="B8" s="12" t="n">
        <v>55</v>
      </c>
      <c r="C8" s="12" t="n">
        <v>30</v>
      </c>
      <c r="D8" s="12" t="n">
        <v>100</v>
      </c>
      <c r="E8" s="12" t="n">
        <v>99.0751887129357</v>
      </c>
      <c r="F8" s="12" t="n">
        <v>40</v>
      </c>
      <c r="G8" s="12" t="n">
        <v>67.7058291157245</v>
      </c>
      <c r="H8" s="12" t="n">
        <v>100</v>
      </c>
      <c r="I8" s="12" t="n">
        <v>134.075188712936</v>
      </c>
      <c r="J8" s="12" t="n">
        <v>140.153092391001</v>
      </c>
      <c r="K8" s="12" t="n">
        <v>39.3709787908919</v>
      </c>
      <c r="L8" s="12" t="n">
        <v>15.9221667710777</v>
      </c>
      <c r="M8" s="12" t="n">
        <v>39.2538560628545</v>
      </c>
      <c r="N8" s="9" t="n">
        <f aca="false">J8-140</f>
        <v>0.153092391000911</v>
      </c>
      <c r="O8" s="9" t="n">
        <f aca="false">K8-40</f>
        <v>-0.629021209108103</v>
      </c>
      <c r="P8" s="9" t="n">
        <f aca="false">L8-16</f>
        <v>-0.0778332289222892</v>
      </c>
      <c r="Q8" s="9" t="n">
        <f aca="false">M8-4</f>
        <v>35.2538560628545</v>
      </c>
    </row>
    <row r="9" customFormat="false" ht="15" hidden="false" customHeight="false" outlineLevel="0" collapsed="false">
      <c r="A9" s="8" t="s">
        <v>51</v>
      </c>
      <c r="B9" s="12" t="n">
        <v>100</v>
      </c>
      <c r="C9" s="12" t="n">
        <v>95.9408404666173</v>
      </c>
      <c r="D9" s="12" t="n">
        <v>86.1782347310699</v>
      </c>
      <c r="E9" s="12" t="n">
        <v>53.5</v>
      </c>
      <c r="F9" s="12" t="n">
        <v>40</v>
      </c>
      <c r="G9" s="12" t="n">
        <v>69.4516451809628</v>
      </c>
      <c r="H9" s="12" t="n">
        <v>59.9032903619256</v>
      </c>
      <c r="I9" s="12" t="n">
        <v>194.490022111345</v>
      </c>
      <c r="J9" s="12" t="n">
        <v>141.877516699414</v>
      </c>
      <c r="K9" s="12" t="n">
        <v>43.7973263962411</v>
      </c>
      <c r="L9" s="12" t="n">
        <v>15.9221667710777</v>
      </c>
      <c r="M9" s="12" t="n">
        <v>24.6229816723716</v>
      </c>
      <c r="N9" s="9" t="n">
        <f aca="false">J9-140</f>
        <v>1.87751669941389</v>
      </c>
      <c r="O9" s="9" t="n">
        <f aca="false">K9-40</f>
        <v>3.79732639624107</v>
      </c>
      <c r="P9" s="9" t="n">
        <f aca="false">L9-16</f>
        <v>-0.0778332289222892</v>
      </c>
      <c r="Q9" s="9" t="n">
        <f aca="false">M9-4</f>
        <v>20.6229816723716</v>
      </c>
    </row>
    <row r="10" customFormat="false" ht="15" hidden="false" customHeight="false" outlineLevel="0" collapsed="false">
      <c r="A10" s="8" t="s">
        <v>55</v>
      </c>
      <c r="B10" s="12" t="n">
        <v>120</v>
      </c>
      <c r="C10" s="12" t="n">
        <v>30</v>
      </c>
      <c r="D10" s="12" t="n">
        <v>11.8800663599514</v>
      </c>
      <c r="E10" s="12" t="n">
        <v>53.5</v>
      </c>
      <c r="F10" s="12" t="n">
        <v>40</v>
      </c>
      <c r="G10" s="12" t="n">
        <v>70.5</v>
      </c>
      <c r="H10" s="12" t="n">
        <v>59</v>
      </c>
      <c r="I10" s="12" t="n">
        <v>65.3800663599514</v>
      </c>
      <c r="J10" s="12" t="n">
        <v>143.952978567686</v>
      </c>
      <c r="K10" s="12" t="n">
        <v>39.2463786901263</v>
      </c>
      <c r="L10" s="12" t="n">
        <v>15.9041943769392</v>
      </c>
      <c r="M10" s="12" t="n">
        <v>4.78960818182069</v>
      </c>
      <c r="N10" s="9" t="n">
        <f aca="false">J10-140</f>
        <v>3.95297856768579</v>
      </c>
      <c r="O10" s="9" t="n">
        <f aca="false">K10-40</f>
        <v>-0.753621309873743</v>
      </c>
      <c r="P10" s="9" t="n">
        <f aca="false">L10-16</f>
        <v>-0.0958056230607998</v>
      </c>
      <c r="Q10" s="9" t="n">
        <f aca="false">M10-4</f>
        <v>0.789608181820691</v>
      </c>
    </row>
    <row r="11" customFormat="false" ht="15" hidden="false" customHeight="false" outlineLevel="0" collapsed="false">
      <c r="A11" s="8" t="s">
        <v>59</v>
      </c>
      <c r="B11" s="12" t="n">
        <v>53</v>
      </c>
      <c r="C11" s="12" t="n">
        <v>120</v>
      </c>
      <c r="D11" s="12" t="n">
        <v>10</v>
      </c>
      <c r="E11" s="12" t="n">
        <v>45.5</v>
      </c>
      <c r="F11" s="12" t="n">
        <v>40</v>
      </c>
      <c r="G11" s="12" t="n">
        <v>61.5</v>
      </c>
      <c r="H11" s="12" t="n">
        <v>53</v>
      </c>
      <c r="I11" s="12" t="n">
        <v>106.257180071718</v>
      </c>
      <c r="J11" s="12" t="n">
        <v>120.6870835429</v>
      </c>
      <c r="K11" s="12" t="n">
        <v>51.9852683851449</v>
      </c>
      <c r="L11" s="12" t="n">
        <v>15.8883317838861</v>
      </c>
      <c r="M11" s="12" t="n">
        <v>4.71774603816191</v>
      </c>
      <c r="N11" s="9" t="n">
        <f aca="false">J11-140</f>
        <v>-19.3129164571002</v>
      </c>
      <c r="O11" s="9" t="n">
        <f aca="false">K11-40</f>
        <v>11.9852683851448</v>
      </c>
      <c r="P11" s="9" t="n">
        <f aca="false">L11-16</f>
        <v>-0.111668216113911</v>
      </c>
      <c r="Q11" s="9" t="n">
        <f aca="false">M11-4</f>
        <v>0.717746038161905</v>
      </c>
    </row>
    <row r="12" customFormat="false" ht="15" hidden="false" customHeight="false" outlineLevel="0" collapsed="false">
      <c r="A12" s="8" t="s">
        <v>63</v>
      </c>
      <c r="B12" s="12" t="n">
        <v>58.2302553489884</v>
      </c>
      <c r="C12" s="12" t="n">
        <v>30</v>
      </c>
      <c r="D12" s="12" t="n">
        <v>120</v>
      </c>
      <c r="E12" s="12" t="n">
        <v>53.5</v>
      </c>
      <c r="F12" s="12" t="n">
        <v>40</v>
      </c>
      <c r="G12" s="12" t="n">
        <v>70.5</v>
      </c>
      <c r="H12" s="12" t="n">
        <v>59</v>
      </c>
      <c r="I12" s="12" t="n">
        <v>111.730255348988</v>
      </c>
      <c r="J12" s="12" t="n">
        <v>126.571911861964</v>
      </c>
      <c r="K12" s="12" t="n">
        <v>39.712694412157</v>
      </c>
      <c r="L12" s="12" t="n">
        <v>15.9081846931993</v>
      </c>
      <c r="M12" s="12" t="n">
        <v>38.7510974202793</v>
      </c>
      <c r="N12" s="9" t="n">
        <f aca="false">J12-140</f>
        <v>-13.4280881380365</v>
      </c>
      <c r="O12" s="9" t="n">
        <f aca="false">K12-40</f>
        <v>-0.287305587843008</v>
      </c>
      <c r="P12" s="9" t="n">
        <f aca="false">L12-16</f>
        <v>-0.0918153068007399</v>
      </c>
      <c r="Q12" s="9" t="n">
        <f aca="false">M12-4</f>
        <v>34.7510974202793</v>
      </c>
    </row>
    <row r="13" customFormat="false" ht="15" hidden="false" customHeight="false" outlineLevel="0" collapsed="false">
      <c r="A13" s="8" t="s">
        <v>67</v>
      </c>
      <c r="B13" s="12" t="n">
        <v>55</v>
      </c>
      <c r="C13" s="12" t="n">
        <v>30</v>
      </c>
      <c r="D13" s="12" t="n">
        <v>10</v>
      </c>
      <c r="E13" s="12" t="n">
        <v>100</v>
      </c>
      <c r="F13" s="12" t="n">
        <v>120</v>
      </c>
      <c r="G13" s="12" t="n">
        <v>72</v>
      </c>
      <c r="H13" s="12" t="n">
        <v>100</v>
      </c>
      <c r="I13" s="12" t="n">
        <v>125</v>
      </c>
      <c r="J13" s="12" t="n">
        <v>137.39844362063</v>
      </c>
      <c r="K13" s="12" t="n">
        <v>40.652857342268</v>
      </c>
      <c r="L13" s="12" t="n">
        <v>15.1216882833063</v>
      </c>
      <c r="M13" s="12" t="n">
        <v>4.99119857494195</v>
      </c>
      <c r="N13" s="9" t="n">
        <f aca="false">J13-140</f>
        <v>-2.60155637936981</v>
      </c>
      <c r="O13" s="9" t="n">
        <f aca="false">K13-40</f>
        <v>0.652857342268021</v>
      </c>
      <c r="P13" s="9" t="n">
        <f aca="false">L13-16</f>
        <v>-0.878311716693711</v>
      </c>
      <c r="Q13" s="9" t="n">
        <f aca="false">M13-4</f>
        <v>0.991198574941951</v>
      </c>
    </row>
    <row r="14" customFormat="false" ht="15" hidden="false" customHeight="false" outlineLevel="0" collapsed="false">
      <c r="A14" s="8" t="s">
        <v>72</v>
      </c>
      <c r="B14" s="12" t="n">
        <v>85.8852189543299</v>
      </c>
      <c r="C14" s="12" t="n">
        <v>55.4770388498185</v>
      </c>
      <c r="D14" s="12" t="n">
        <v>38.6491722979115</v>
      </c>
      <c r="E14" s="12" t="n">
        <v>53.5</v>
      </c>
      <c r="F14" s="12" t="n">
        <v>40</v>
      </c>
      <c r="G14" s="12" t="n">
        <v>69.5240571428572</v>
      </c>
      <c r="H14" s="12" t="n">
        <v>60.0481142857143</v>
      </c>
      <c r="I14" s="12" t="n">
        <v>84.8404700665088</v>
      </c>
      <c r="J14" s="12" t="n">
        <v>129.008193994161</v>
      </c>
      <c r="K14" s="12" t="n">
        <v>40.775677806062</v>
      </c>
      <c r="L14" s="12" t="n">
        <v>15.9221667710777</v>
      </c>
      <c r="M14" s="12" t="n">
        <v>10.6457555394483</v>
      </c>
      <c r="N14" s="9" t="n">
        <f aca="false">J14-140</f>
        <v>-10.991806005839</v>
      </c>
      <c r="O14" s="9" t="n">
        <f aca="false">K14-40</f>
        <v>0.775677806062042</v>
      </c>
      <c r="P14" s="9" t="n">
        <f aca="false">L14-16</f>
        <v>-0.0778332289222892</v>
      </c>
      <c r="Q14" s="9" t="n">
        <f aca="false">M14-4</f>
        <v>6.64575553944833</v>
      </c>
    </row>
    <row r="15" customFormat="false" ht="15" hidden="false" customHeight="false" outlineLevel="0" collapsed="false">
      <c r="A15" s="8" t="s">
        <v>77</v>
      </c>
      <c r="B15" s="12" t="n">
        <v>87.7118567594778</v>
      </c>
      <c r="C15" s="12" t="n">
        <v>81.1683496302802</v>
      </c>
      <c r="D15" s="12" t="n">
        <v>61.6765651139926</v>
      </c>
      <c r="E15" s="12" t="n">
        <v>81.1694854075822</v>
      </c>
      <c r="F15" s="12" t="n">
        <v>61.1589042309048</v>
      </c>
      <c r="G15" s="12" t="n">
        <v>72</v>
      </c>
      <c r="H15" s="12" t="n">
        <v>79.6271140556867</v>
      </c>
      <c r="I15" s="12" t="n">
        <v>197.826652275269</v>
      </c>
      <c r="J15" s="12" t="n">
        <v>142.017417408034</v>
      </c>
      <c r="K15" s="12" t="n">
        <v>51.6606518328984</v>
      </c>
      <c r="L15" s="12" t="n">
        <v>16.0401527282242</v>
      </c>
      <c r="M15" s="12" t="n">
        <v>23.6310096401959</v>
      </c>
      <c r="N15" s="9" t="n">
        <f aca="false">J15-140</f>
        <v>2.01741740803411</v>
      </c>
      <c r="O15" s="9" t="n">
        <f aca="false">K15-40</f>
        <v>11.6606518328984</v>
      </c>
      <c r="P15" s="9" t="n">
        <f aca="false">L15-16</f>
        <v>0.0401527282241894</v>
      </c>
      <c r="Q15" s="9" t="n">
        <f aca="false">M15-4</f>
        <v>19.6310096401959</v>
      </c>
    </row>
    <row r="16" customFormat="false" ht="15" hidden="false" customHeight="false" outlineLevel="0" collapsed="false">
      <c r="A16" s="8" t="s">
        <v>82</v>
      </c>
      <c r="B16" s="12" t="n">
        <v>55</v>
      </c>
      <c r="C16" s="12" t="n">
        <v>30</v>
      </c>
      <c r="D16" s="12" t="n">
        <v>10</v>
      </c>
      <c r="E16" s="12" t="n">
        <v>53.5</v>
      </c>
      <c r="F16" s="12" t="n">
        <v>120</v>
      </c>
      <c r="G16" s="12" t="n">
        <v>70.5</v>
      </c>
      <c r="H16" s="12" t="n">
        <v>59</v>
      </c>
      <c r="I16" s="12" t="n">
        <v>78.5</v>
      </c>
      <c r="J16" s="12" t="n">
        <v>130.278574283642</v>
      </c>
      <c r="K16" s="12" t="n">
        <v>40.5576164157507</v>
      </c>
      <c r="L16" s="12" t="n">
        <v>15.179564816828</v>
      </c>
      <c r="M16" s="12" t="n">
        <v>4.75774983170401</v>
      </c>
      <c r="N16" s="9" t="n">
        <f aca="false">J16-140</f>
        <v>-9.7214257163584</v>
      </c>
      <c r="O16" s="9" t="n">
        <f aca="false">K16-40</f>
        <v>0.557616415750722</v>
      </c>
      <c r="P16" s="9" t="n">
        <f aca="false">L16-16</f>
        <v>-0.820435183172</v>
      </c>
      <c r="Q16" s="9" t="n">
        <f aca="false">M16-4</f>
        <v>0.757749831704011</v>
      </c>
    </row>
    <row r="17" customFormat="false" ht="15" hidden="false" customHeight="false" outlineLevel="0" collapsed="false">
      <c r="A17" s="8" t="s">
        <v>86</v>
      </c>
      <c r="B17" s="12" t="n">
        <v>120</v>
      </c>
      <c r="C17" s="12" t="n">
        <v>30</v>
      </c>
      <c r="D17" s="12" t="n">
        <v>114.879577114354</v>
      </c>
      <c r="E17" s="12" t="n">
        <v>53.5</v>
      </c>
      <c r="F17" s="12" t="n">
        <v>40</v>
      </c>
      <c r="G17" s="12" t="n">
        <v>70.5</v>
      </c>
      <c r="H17" s="12" t="n">
        <v>59</v>
      </c>
      <c r="I17" s="12" t="n">
        <v>168.379577114354</v>
      </c>
      <c r="J17" s="12" t="n">
        <v>154.628780957014</v>
      </c>
      <c r="K17" s="12" t="n">
        <v>39.5820604507877</v>
      </c>
      <c r="L17" s="12" t="n">
        <v>15.9086724359444</v>
      </c>
      <c r="M17" s="12" t="n">
        <v>31.4108053724763</v>
      </c>
      <c r="N17" s="9" t="n">
        <f aca="false">J17-140</f>
        <v>14.628780957014</v>
      </c>
      <c r="O17" s="9" t="n">
        <f aca="false">K17-40</f>
        <v>-0.417939549212292</v>
      </c>
      <c r="P17" s="9" t="n">
        <f aca="false">L17-16</f>
        <v>-0.09132756405557</v>
      </c>
      <c r="Q17" s="9" t="n">
        <f aca="false">M17-4</f>
        <v>27.4108053724763</v>
      </c>
    </row>
    <row r="18" customFormat="false" ht="15" hidden="false" customHeight="false" outlineLevel="0" collapsed="false">
      <c r="A18" s="8" t="s">
        <v>89</v>
      </c>
      <c r="B18" s="12" t="n">
        <v>55</v>
      </c>
      <c r="C18" s="12" t="n">
        <v>120</v>
      </c>
      <c r="D18" s="12" t="n">
        <v>114.067330445004</v>
      </c>
      <c r="E18" s="12" t="n">
        <v>53.5</v>
      </c>
      <c r="F18" s="12" t="n">
        <v>40</v>
      </c>
      <c r="G18" s="12" t="n">
        <v>70.5</v>
      </c>
      <c r="H18" s="12" t="n">
        <v>59</v>
      </c>
      <c r="I18" s="12" t="n">
        <v>216.798542858745</v>
      </c>
      <c r="J18" s="12" t="n">
        <v>127.859348239853</v>
      </c>
      <c r="K18" s="12" t="n">
        <v>54.8485117216742</v>
      </c>
      <c r="L18" s="12" t="n">
        <v>15.9069376644309</v>
      </c>
      <c r="M18" s="12" t="n">
        <v>30.7643228180985</v>
      </c>
      <c r="N18" s="9" t="n">
        <f aca="false">J18-140</f>
        <v>-12.1406517601467</v>
      </c>
      <c r="O18" s="9" t="n">
        <f aca="false">K18-40</f>
        <v>14.8485117216742</v>
      </c>
      <c r="P18" s="9" t="n">
        <f aca="false">L18-16</f>
        <v>-0.0930623355691296</v>
      </c>
      <c r="Q18" s="9" t="n">
        <f aca="false">M18-4</f>
        <v>26.7643228180985</v>
      </c>
    </row>
    <row r="19" customFormat="false" ht="15" hidden="false" customHeight="false" outlineLevel="0" collapsed="false">
      <c r="A19" s="8" t="s">
        <v>92</v>
      </c>
      <c r="B19" s="12" t="n">
        <v>55</v>
      </c>
      <c r="C19" s="12" t="n">
        <v>120</v>
      </c>
      <c r="D19" s="12" t="n">
        <v>92.2775927918855</v>
      </c>
      <c r="E19" s="12" t="n">
        <v>82.2324614128384</v>
      </c>
      <c r="F19" s="12" t="n">
        <v>40</v>
      </c>
      <c r="G19" s="12" t="n">
        <v>72</v>
      </c>
      <c r="H19" s="12" t="n">
        <v>80.4243460596288</v>
      </c>
      <c r="I19" s="12" t="n">
        <v>224.501457455816</v>
      </c>
      <c r="J19" s="12" t="n">
        <v>132.046480971498</v>
      </c>
      <c r="K19" s="12" t="n">
        <v>55.193196914353</v>
      </c>
      <c r="L19" s="12" t="n">
        <v>15.9073605824132</v>
      </c>
      <c r="M19" s="12" t="n">
        <v>30.2628140282696</v>
      </c>
      <c r="N19" s="9" t="n">
        <f aca="false">J19-140</f>
        <v>-7.95351902850209</v>
      </c>
      <c r="O19" s="9" t="n">
        <f aca="false">K19-40</f>
        <v>15.193196914353</v>
      </c>
      <c r="P19" s="9" t="n">
        <f aca="false">L19-16</f>
        <v>-0.0926394175868008</v>
      </c>
      <c r="Q19" s="9" t="n">
        <f aca="false">M19-4</f>
        <v>26.2628140282696</v>
      </c>
    </row>
    <row r="21" customFormat="false" ht="15" hidden="false" customHeight="false" outlineLevel="0" collapsed="false">
      <c r="A21" s="3" t="s">
        <v>252</v>
      </c>
    </row>
    <row r="22" customFormat="false" ht="15" hidden="false" customHeight="false" outlineLevel="0" collapsed="false">
      <c r="A22" s="2" t="s">
        <v>253</v>
      </c>
    </row>
    <row r="23" customFormat="false" ht="30" hidden="false" customHeight="true" outlineLevel="0" collapsed="false">
      <c r="A23" s="7" t="s">
        <v>254</v>
      </c>
      <c r="B23" s="7" t="s">
        <v>255</v>
      </c>
      <c r="C23" s="7" t="s">
        <v>256</v>
      </c>
      <c r="D23" s="7" t="s">
        <v>257</v>
      </c>
      <c r="E23" s="7" t="s">
        <v>258</v>
      </c>
      <c r="F23" s="7" t="s">
        <v>259</v>
      </c>
      <c r="G23" s="7" t="s">
        <v>260</v>
      </c>
      <c r="H23" s="7" t="s">
        <v>261</v>
      </c>
      <c r="I23" s="7" t="s">
        <v>262</v>
      </c>
      <c r="J23" s="7" t="s">
        <v>263</v>
      </c>
      <c r="K23" s="7" t="s">
        <v>264</v>
      </c>
      <c r="L23" s="7" t="s">
        <v>265</v>
      </c>
      <c r="M23" s="7" t="s">
        <v>266</v>
      </c>
      <c r="N23" s="7" t="s">
        <v>267</v>
      </c>
      <c r="O23" s="7" t="s">
        <v>268</v>
      </c>
      <c r="P23" s="7" t="s">
        <v>269</v>
      </c>
    </row>
    <row r="24" customFormat="false" ht="15" hidden="false" customHeight="false" outlineLevel="0" collapsed="false">
      <c r="A24" s="8" t="s">
        <v>270</v>
      </c>
      <c r="B24" s="8" t="s">
        <v>37</v>
      </c>
      <c r="C24" s="9" t="n">
        <v>0.463349816637276</v>
      </c>
      <c r="D24" s="9" t="n">
        <v>2.20095715935443</v>
      </c>
      <c r="E24" s="20" t="n">
        <v>8.28638388392577</v>
      </c>
      <c r="F24" s="9" t="n">
        <v>10.463467677769</v>
      </c>
      <c r="G24" s="20" t="n">
        <v>20.2122424748918</v>
      </c>
      <c r="H24" s="9" t="n">
        <v>45.2477731836931</v>
      </c>
      <c r="I24" s="9" t="n">
        <v>-59.9586376544861</v>
      </c>
      <c r="J24" s="9" t="n">
        <v>4.90186740829897</v>
      </c>
      <c r="K24" s="20" t="n">
        <v>10.8987991834807</v>
      </c>
      <c r="L24" s="9" t="n">
        <v>9.14342309818701</v>
      </c>
      <c r="M24" s="9" t="n">
        <v>-0.113829618637944</v>
      </c>
      <c r="N24" s="9" t="n">
        <v>-0.00941259422204865</v>
      </c>
      <c r="O24" s="9" t="n">
        <v>-0.733797001401255</v>
      </c>
      <c r="P24" s="19" t="n">
        <f aca="false">G24/80</f>
        <v>0.252653030936147</v>
      </c>
    </row>
    <row r="25" customFormat="false" ht="15" hidden="false" customHeight="false" outlineLevel="0" collapsed="false">
      <c r="A25" s="8" t="s">
        <v>270</v>
      </c>
      <c r="B25" s="8" t="s">
        <v>42</v>
      </c>
      <c r="C25" s="9" t="n">
        <v>0.0594850437709624</v>
      </c>
      <c r="D25" s="9" t="n">
        <v>0.282073108720653</v>
      </c>
      <c r="E25" s="20" t="n">
        <v>2.04463711672386</v>
      </c>
      <c r="F25" s="9" t="n">
        <v>5.28500803249557</v>
      </c>
      <c r="G25" s="20" t="n">
        <v>-7.35889005446086</v>
      </c>
      <c r="H25" s="9" t="n">
        <v>-7.57471937019022</v>
      </c>
      <c r="I25" s="9" t="n">
        <v>-87.5154663373251</v>
      </c>
      <c r="J25" s="9" t="n">
        <v>1.01078978125459</v>
      </c>
      <c r="K25" s="20" t="n">
        <v>3.07970188377877</v>
      </c>
      <c r="L25" s="9" t="n">
        <v>-0.753198530735659</v>
      </c>
      <c r="M25" s="9" t="n">
        <v>3.47431705620883</v>
      </c>
      <c r="N25" s="9" t="n">
        <v>-0.00854950216226769</v>
      </c>
      <c r="O25" s="9" t="n">
        <v>-0.667931906587066</v>
      </c>
      <c r="P25" s="19" t="n">
        <f aca="false">G25/80</f>
        <v>-0.0919861256807607</v>
      </c>
    </row>
    <row r="26" customFormat="false" ht="15" hidden="false" customHeight="false" outlineLevel="0" collapsed="false">
      <c r="A26" s="8" t="s">
        <v>270</v>
      </c>
      <c r="B26" s="8" t="s">
        <v>271</v>
      </c>
      <c r="C26" s="9" t="n">
        <v>0.462477689417767</v>
      </c>
      <c r="D26" s="9" t="n">
        <v>5.69092698016831</v>
      </c>
      <c r="E26" s="20" t="n">
        <v>25.0094565934858</v>
      </c>
      <c r="F26" s="9" t="n">
        <v>36.7839255607806</v>
      </c>
      <c r="G26" s="20" t="n">
        <v>44.8842601762395</v>
      </c>
      <c r="H26" s="9" t="n">
        <v>126.407115355407</v>
      </c>
      <c r="I26" s="9" t="n">
        <v>-35.3221764868514</v>
      </c>
      <c r="J26" s="9" t="n">
        <v>10.7582715578794</v>
      </c>
      <c r="K26" s="20" t="n">
        <v>30.3211216895566</v>
      </c>
      <c r="L26" s="9" t="n">
        <v>6.23670227019514</v>
      </c>
      <c r="M26" s="9" t="n">
        <v>0.263456989509429</v>
      </c>
      <c r="N26" s="9" t="n">
        <v>-0.0115452128680644</v>
      </c>
      <c r="O26" s="9" t="n">
        <v>18.5208425466492</v>
      </c>
      <c r="P26" s="19" t="n">
        <f aca="false">G26/80</f>
        <v>0.561053252202994</v>
      </c>
    </row>
    <row r="27" customFormat="false" ht="15" hidden="false" customHeight="false" outlineLevel="0" collapsed="false">
      <c r="A27" s="8" t="s">
        <v>270</v>
      </c>
      <c r="B27" s="8" t="s">
        <v>272</v>
      </c>
      <c r="C27" s="9" t="n">
        <v>0.426756454538776</v>
      </c>
      <c r="D27" s="9" t="n">
        <v>2.00995294519754</v>
      </c>
      <c r="E27" s="20" t="n">
        <v>9.70975340194815</v>
      </c>
      <c r="F27" s="9" t="n">
        <v>22.4491219306489</v>
      </c>
      <c r="G27" s="20" t="n">
        <v>4.62169301542045</v>
      </c>
      <c r="H27" s="9" t="n">
        <v>34.2532604943722</v>
      </c>
      <c r="I27" s="9" t="n">
        <v>-74.9846925800672</v>
      </c>
      <c r="J27" s="9" t="n">
        <v>2.78846058386264</v>
      </c>
      <c r="K27" s="20" t="n">
        <v>11.1906846618094</v>
      </c>
      <c r="L27" s="9" t="n">
        <v>7.22173182679649</v>
      </c>
      <c r="M27" s="9" t="n">
        <v>0.305981680684468</v>
      </c>
      <c r="N27" s="9" t="n">
        <v>-0.00189620959931602</v>
      </c>
      <c r="O27" s="9" t="n">
        <v>2.18393610406648</v>
      </c>
      <c r="P27" s="19" t="n">
        <f aca="false">G27/80</f>
        <v>0.0577711626927556</v>
      </c>
    </row>
    <row r="28" customFormat="false" ht="15" hidden="false" customHeight="false" outlineLevel="0" collapsed="false">
      <c r="A28" s="8" t="s">
        <v>270</v>
      </c>
      <c r="B28" s="8" t="s">
        <v>68</v>
      </c>
      <c r="C28" s="9" t="n">
        <v>0.0362487032054162</v>
      </c>
      <c r="D28" s="9" t="n">
        <v>0.432513253355211</v>
      </c>
      <c r="E28" s="20" t="n">
        <v>3.6390520948973</v>
      </c>
      <c r="F28" s="9" t="n">
        <v>11.6483471266657</v>
      </c>
      <c r="G28" s="20" t="n">
        <v>6.71033929595919</v>
      </c>
      <c r="H28" s="9" t="n">
        <v>29.041521102751</v>
      </c>
      <c r="I28" s="9" t="n">
        <v>-73.4098367402217</v>
      </c>
      <c r="J28" s="9" t="n">
        <v>3.0442888186309</v>
      </c>
      <c r="K28" s="20" t="n">
        <v>11.4823735257904</v>
      </c>
      <c r="L28" s="9" t="n">
        <v>3.27676498186574</v>
      </c>
      <c r="M28" s="9" t="n">
        <v>0.459903733903147</v>
      </c>
      <c r="N28" s="9" t="n">
        <v>0.407665668632955</v>
      </c>
      <c r="O28" s="9" t="n">
        <v>-0.505282289504603</v>
      </c>
      <c r="P28" s="19" t="n">
        <f aca="false">G28/80</f>
        <v>0.0838792411994898</v>
      </c>
    </row>
    <row r="29" customFormat="false" ht="15" hidden="false" customHeight="false" outlineLevel="0" collapsed="false">
      <c r="A29" s="8" t="s">
        <v>273</v>
      </c>
      <c r="B29" s="8" t="s">
        <v>37</v>
      </c>
      <c r="C29" s="9" t="n">
        <v>0.293741632069413</v>
      </c>
      <c r="D29" s="9" t="n">
        <v>1.25256123021467</v>
      </c>
      <c r="E29" s="9" t="n">
        <v>3.59382613702138</v>
      </c>
      <c r="F29" s="9" t="n">
        <v>1.07176311246803</v>
      </c>
      <c r="G29" s="9" t="n">
        <v>8.80179400324903</v>
      </c>
      <c r="H29" s="9" t="n">
        <v>11.0574759765395</v>
      </c>
      <c r="I29" s="9" t="n">
        <v>-71.3690861261288</v>
      </c>
      <c r="J29" s="9" t="n">
        <v>3.55021418937199</v>
      </c>
      <c r="K29" s="9" t="n">
        <v>5.13716778273175</v>
      </c>
      <c r="L29" s="9" t="n">
        <v>6.53101649870497</v>
      </c>
      <c r="M29" s="9" t="n">
        <v>-0.170744427956926</v>
      </c>
      <c r="N29" s="9" t="n">
        <v>-0.0147071784719586</v>
      </c>
      <c r="O29" s="9" t="n">
        <v>-2.75173875525471</v>
      </c>
      <c r="P29" s="19" t="n">
        <f aca="false">G29/80</f>
        <v>0.110022425040613</v>
      </c>
    </row>
    <row r="30" customFormat="false" ht="15" hidden="false" customHeight="false" outlineLevel="0" collapsed="false">
      <c r="A30" s="8" t="s">
        <v>273</v>
      </c>
      <c r="B30" s="8" t="s">
        <v>42</v>
      </c>
      <c r="C30" s="9" t="n">
        <v>0.0725493009988441</v>
      </c>
      <c r="D30" s="9" t="n">
        <v>0.275766968754112</v>
      </c>
      <c r="E30" s="9" t="n">
        <v>2.15537338695773</v>
      </c>
      <c r="F30" s="9" t="n">
        <v>5.60481902340837</v>
      </c>
      <c r="G30" s="9" t="n">
        <v>-8.12888410982691</v>
      </c>
      <c r="H30" s="9" t="n">
        <v>-10.3564782068586</v>
      </c>
      <c r="I30" s="9" t="n">
        <v>-88.2854603926911</v>
      </c>
      <c r="J30" s="9" t="n">
        <v>1.28505845275143</v>
      </c>
      <c r="K30" s="9" t="n">
        <v>3.33745602024072</v>
      </c>
      <c r="L30" s="9" t="n">
        <v>-0.537998950525463</v>
      </c>
      <c r="M30" s="9" t="n">
        <v>5.21147558431321</v>
      </c>
      <c r="N30" s="9" t="n">
        <v>-0.0133585971285477</v>
      </c>
      <c r="O30" s="9" t="n">
        <v>-2.5047446497015</v>
      </c>
      <c r="P30" s="19" t="n">
        <f aca="false">G30/80</f>
        <v>-0.101611051372836</v>
      </c>
    </row>
    <row r="31" customFormat="false" ht="15" hidden="false" customHeight="false" outlineLevel="0" collapsed="false">
      <c r="A31" s="8" t="s">
        <v>273</v>
      </c>
      <c r="B31" s="8" t="s">
        <v>271</v>
      </c>
      <c r="C31" s="9" t="n">
        <v>1.59113968813682</v>
      </c>
      <c r="D31" s="9" t="n">
        <v>16.9805170461324</v>
      </c>
      <c r="E31" s="9" t="n">
        <v>74.285092974946</v>
      </c>
      <c r="F31" s="9" t="n">
        <v>108.445906471782</v>
      </c>
      <c r="G31" s="9" t="n">
        <v>165.326029015623</v>
      </c>
      <c r="H31" s="9" t="n">
        <v>441.101814676933</v>
      </c>
      <c r="I31" s="9" t="n">
        <v>85.1195923525317</v>
      </c>
      <c r="J31" s="9" t="n">
        <v>25.5306054092196</v>
      </c>
      <c r="K31" s="9" t="n">
        <v>44.9396236894395</v>
      </c>
      <c r="L31" s="9" t="n">
        <v>4.45478733585364</v>
      </c>
      <c r="M31" s="9" t="n">
        <v>0.395185484264083</v>
      </c>
      <c r="N31" s="9" t="n">
        <v>-0.0180393951063564</v>
      </c>
      <c r="O31" s="9" t="n">
        <v>69.4531595499346</v>
      </c>
      <c r="P31" s="19" t="n">
        <f aca="false">G31/80</f>
        <v>2.06657536269528</v>
      </c>
    </row>
    <row r="32" customFormat="false" ht="15" hidden="false" customHeight="false" outlineLevel="0" collapsed="false">
      <c r="A32" s="8" t="s">
        <v>273</v>
      </c>
      <c r="B32" s="8" t="s">
        <v>272</v>
      </c>
      <c r="C32" s="9" t="n">
        <v>0.450120034646062</v>
      </c>
      <c r="D32" s="9" t="n">
        <v>2.450340430198</v>
      </c>
      <c r="E32" s="9" t="n">
        <v>13.8041499600603</v>
      </c>
      <c r="F32" s="9" t="n">
        <v>36.3040894118408</v>
      </c>
      <c r="G32" s="9" t="n">
        <v>11.7274882362682</v>
      </c>
      <c r="H32" s="9" t="n">
        <v>72.2783067855341</v>
      </c>
      <c r="I32" s="9" t="n">
        <v>-67.8788973592194</v>
      </c>
      <c r="J32" s="9" t="n">
        <v>3.37456028852266</v>
      </c>
      <c r="K32" s="9" t="n">
        <v>13.8035507713141</v>
      </c>
      <c r="L32" s="9" t="n">
        <v>5.15837987628322</v>
      </c>
      <c r="M32" s="9" t="n">
        <v>0.458972521026702</v>
      </c>
      <c r="N32" s="9" t="n">
        <v>-0.00296282749895482</v>
      </c>
      <c r="O32" s="9" t="n">
        <v>8.18976039024931</v>
      </c>
      <c r="P32" s="19" t="n">
        <f aca="false">G32/80</f>
        <v>0.146593602953352</v>
      </c>
    </row>
    <row r="33" customFormat="false" ht="15" hidden="false" customHeight="false" outlineLevel="0" collapsed="false">
      <c r="A33" s="8" t="s">
        <v>273</v>
      </c>
      <c r="B33" s="8" t="s">
        <v>68</v>
      </c>
      <c r="C33" s="9" t="n">
        <v>0.0166207244870975</v>
      </c>
      <c r="D33" s="9" t="n">
        <v>0.194571560922782</v>
      </c>
      <c r="E33" s="9" t="n">
        <v>1.77257103806983</v>
      </c>
      <c r="F33" s="9" t="n">
        <v>6.59399152088088</v>
      </c>
      <c r="G33" s="9" t="n">
        <v>2.61733950526661</v>
      </c>
      <c r="H33" s="9" t="n">
        <v>12.7600325743177</v>
      </c>
      <c r="I33" s="9" t="n">
        <v>-77.5028365309142</v>
      </c>
      <c r="J33" s="9" t="n">
        <v>2.85169937916299</v>
      </c>
      <c r="K33" s="9" t="n">
        <v>9.51762801536427</v>
      </c>
      <c r="L33" s="9" t="n">
        <v>2.34054641561841</v>
      </c>
      <c r="M33" s="9" t="n">
        <v>0.689855600854678</v>
      </c>
      <c r="N33" s="9" t="n">
        <v>0.636977607238983</v>
      </c>
      <c r="O33" s="9" t="n">
        <v>-1.89480858564225</v>
      </c>
      <c r="P33" s="19" t="n">
        <f aca="false">G33/80</f>
        <v>0.0327167438158327</v>
      </c>
    </row>
    <row r="34" customFormat="false" ht="15" hidden="false" customHeight="false" outlineLevel="0" collapsed="false">
      <c r="A34" s="8" t="s">
        <v>274</v>
      </c>
      <c r="B34" s="8" t="s">
        <v>37</v>
      </c>
      <c r="C34" s="9" t="n">
        <v>0.210392985045189</v>
      </c>
      <c r="D34" s="9" t="n">
        <v>0.791060955600216</v>
      </c>
      <c r="E34" s="9" t="n">
        <v>1.3389777451749</v>
      </c>
      <c r="F34" s="9" t="n">
        <v>-3.37628959076045</v>
      </c>
      <c r="G34" s="9" t="n">
        <v>3.89298813341537</v>
      </c>
      <c r="H34" s="9" t="n">
        <v>-4.21920741686381</v>
      </c>
      <c r="I34" s="9" t="n">
        <v>-76.2778919959625</v>
      </c>
      <c r="J34" s="9" t="n">
        <v>2.94180620553651</v>
      </c>
      <c r="K34" s="9" t="n">
        <v>3.16358526475</v>
      </c>
      <c r="L34" s="9" t="n">
        <v>5.22481319896399</v>
      </c>
      <c r="M34" s="9" t="n">
        <v>-0.199201832616467</v>
      </c>
      <c r="N34" s="9" t="n">
        <v>-0.0176486141663368</v>
      </c>
      <c r="O34" s="9" t="n">
        <v>-3.66898500700628</v>
      </c>
      <c r="P34" s="19" t="n">
        <f aca="false">G34/80</f>
        <v>0.0486623516676922</v>
      </c>
    </row>
    <row r="35" customFormat="false" ht="15" hidden="false" customHeight="false" outlineLevel="0" collapsed="false">
      <c r="A35" s="8" t="s">
        <v>274</v>
      </c>
      <c r="B35" s="8" t="s">
        <v>42</v>
      </c>
      <c r="C35" s="9" t="n">
        <v>0.0804020245839752</v>
      </c>
      <c r="D35" s="9" t="n">
        <v>0.284126167486562</v>
      </c>
      <c r="E35" s="9" t="n">
        <v>2.29396583845534</v>
      </c>
      <c r="F35" s="9" t="n">
        <v>5.98972045871267</v>
      </c>
      <c r="G35" s="9" t="n">
        <v>-8.22028014026211</v>
      </c>
      <c r="H35" s="9" t="n">
        <v>-10.7863894830862</v>
      </c>
      <c r="I35" s="9" t="n">
        <v>-88.3768564231263</v>
      </c>
      <c r="J35" s="9" t="n">
        <v>1.43907831140409</v>
      </c>
      <c r="K35" s="9" t="n">
        <v>2.69682667608262</v>
      </c>
      <c r="L35" s="9" t="n">
        <v>-0.430399160420421</v>
      </c>
      <c r="M35" s="9" t="n">
        <v>6.08005484836535</v>
      </c>
      <c r="N35" s="9" t="n">
        <v>-0.0160303165542466</v>
      </c>
      <c r="O35" s="9" t="n">
        <v>-3.33965953293534</v>
      </c>
      <c r="P35" s="19" t="n">
        <f aca="false">G35/80</f>
        <v>-0.102753501753276</v>
      </c>
    </row>
    <row r="36" customFormat="false" ht="15" hidden="false" customHeight="false" outlineLevel="0" collapsed="false">
      <c r="A36" s="8" t="s">
        <v>274</v>
      </c>
      <c r="B36" s="8" t="s">
        <v>271</v>
      </c>
      <c r="C36" s="9" t="n">
        <v>2.10346240997401</v>
      </c>
      <c r="D36" s="9" t="n">
        <v>22.0932670016706</v>
      </c>
      <c r="E36" s="9" t="n">
        <v>96.6074450594428</v>
      </c>
      <c r="F36" s="9" t="n">
        <v>140.910282958825</v>
      </c>
      <c r="G36" s="9" t="n">
        <v>220.570699271015</v>
      </c>
      <c r="H36" s="9" t="n">
        <v>584.814306513645</v>
      </c>
      <c r="I36" s="9" t="n">
        <v>140.364262607924</v>
      </c>
      <c r="J36" s="9" t="n">
        <v>29.6788581219952</v>
      </c>
      <c r="K36" s="9" t="n">
        <v>34.2608533837951</v>
      </c>
      <c r="L36" s="9" t="n">
        <v>3.5638298686829</v>
      </c>
      <c r="M36" s="9" t="n">
        <v>0.461049731641396</v>
      </c>
      <c r="N36" s="9" t="n">
        <v>-0.0216472741276093</v>
      </c>
      <c r="O36" s="9" t="n">
        <v>92.6042127332461</v>
      </c>
      <c r="P36" s="19" t="n">
        <f aca="false">G36/80</f>
        <v>2.75713374088769</v>
      </c>
    </row>
    <row r="37" customFormat="false" ht="15" hidden="false" customHeight="false" outlineLevel="0" collapsed="false">
      <c r="A37" s="8" t="s">
        <v>274</v>
      </c>
      <c r="B37" s="8" t="s">
        <v>272</v>
      </c>
      <c r="C37" s="9" t="n">
        <v>0.455815584131528</v>
      </c>
      <c r="D37" s="9" t="n">
        <v>2.62936720179252</v>
      </c>
      <c r="E37" s="9" t="n">
        <v>15.578296969558</v>
      </c>
      <c r="F37" s="9" t="n">
        <v>42.4304539605371</v>
      </c>
      <c r="G37" s="9" t="n">
        <v>15.2973112847091</v>
      </c>
      <c r="H37" s="9" t="n">
        <v>89.9139892524115</v>
      </c>
      <c r="I37" s="9" t="n">
        <v>-64.3090743107786</v>
      </c>
      <c r="J37" s="9" t="n">
        <v>3.62723992530334</v>
      </c>
      <c r="K37" s="9" t="n">
        <v>13.6486059196658</v>
      </c>
      <c r="L37" s="9" t="n">
        <v>4.1267039010266</v>
      </c>
      <c r="M37" s="9" t="n">
        <v>0.535467941197766</v>
      </c>
      <c r="N37" s="9" t="n">
        <v>-0.00355539299872376</v>
      </c>
      <c r="O37" s="9" t="n">
        <v>10.9196805203324</v>
      </c>
      <c r="P37" s="19" t="n">
        <f aca="false">G37/80</f>
        <v>0.191216391058863</v>
      </c>
    </row>
    <row r="38" customFormat="false" ht="15" hidden="false" customHeight="false" outlineLevel="0" collapsed="false">
      <c r="A38" s="8" t="s">
        <v>274</v>
      </c>
      <c r="B38" s="8" t="s">
        <v>68</v>
      </c>
      <c r="C38" s="9" t="n">
        <v>0.00799072769865461</v>
      </c>
      <c r="D38" s="9" t="n">
        <v>0.0857033070851117</v>
      </c>
      <c r="E38" s="9" t="n">
        <v>0.915230347988967</v>
      </c>
      <c r="F38" s="9" t="n">
        <v>4.2845875721174</v>
      </c>
      <c r="G38" s="9" t="n">
        <v>0.943880887942328</v>
      </c>
      <c r="H38" s="9" t="n">
        <v>5.71667315301772</v>
      </c>
      <c r="I38" s="9" t="n">
        <v>-79.1762951482385</v>
      </c>
      <c r="J38" s="9" t="n">
        <v>2.78759956563424</v>
      </c>
      <c r="K38" s="9" t="n">
        <v>8.04411182074608</v>
      </c>
      <c r="L38" s="9" t="n">
        <v>1.87243713249474</v>
      </c>
      <c r="M38" s="9" t="n">
        <v>0.804831534330432</v>
      </c>
      <c r="N38" s="9" t="n">
        <v>0.764373128686792</v>
      </c>
      <c r="O38" s="9" t="n">
        <v>-2.526411447523</v>
      </c>
      <c r="P38" s="19" t="n">
        <f aca="false">G38/80</f>
        <v>0.0117985110992791</v>
      </c>
    </row>
    <row r="39" customFormat="false" ht="15" hidden="false" customHeight="false" outlineLevel="0" collapsed="false">
      <c r="A39" s="8" t="s">
        <v>275</v>
      </c>
      <c r="B39" s="8" t="s">
        <v>37</v>
      </c>
      <c r="C39" s="9" t="n">
        <v>0.322445742694754</v>
      </c>
      <c r="D39" s="9" t="n">
        <v>1.50843157260354</v>
      </c>
      <c r="E39" s="9" t="n">
        <v>5.45313213318514</v>
      </c>
      <c r="F39" s="9" t="n">
        <v>6.01854178771936</v>
      </c>
      <c r="G39" s="9" t="n">
        <v>12.6846275973823</v>
      </c>
      <c r="H39" s="9" t="n">
        <v>26.840404651051</v>
      </c>
      <c r="I39" s="9" t="n">
        <v>-67.4862525319956</v>
      </c>
      <c r="J39" s="9" t="n">
        <v>3.9433202645657</v>
      </c>
      <c r="K39" s="9" t="n">
        <v>7.55648929950871</v>
      </c>
      <c r="L39" s="9" t="n">
        <v>6.53101649870497</v>
      </c>
      <c r="M39" s="9" t="n">
        <v>-0.170744427956926</v>
      </c>
      <c r="N39" s="9" t="n">
        <v>-0.0147071784719586</v>
      </c>
      <c r="O39" s="9" t="n">
        <v>-0.892432759090966</v>
      </c>
      <c r="P39" s="19" t="n">
        <f aca="false">G39/80</f>
        <v>0.158557844967279</v>
      </c>
    </row>
    <row r="40" customFormat="false" ht="15" hidden="false" customHeight="false" outlineLevel="0" collapsed="false">
      <c r="A40" s="8" t="s">
        <v>275</v>
      </c>
      <c r="B40" s="8" t="s">
        <v>42</v>
      </c>
      <c r="C40" s="9" t="n">
        <v>0.0985943462879675</v>
      </c>
      <c r="D40" s="9" t="n">
        <v>0.507754355661433</v>
      </c>
      <c r="E40" s="9" t="n">
        <v>3.84756989944884</v>
      </c>
      <c r="F40" s="9" t="n">
        <v>10.0957153246733</v>
      </c>
      <c r="G40" s="9" t="n">
        <v>-4.60395330974944</v>
      </c>
      <c r="H40" s="9" t="n">
        <v>3.99914290825564</v>
      </c>
      <c r="I40" s="9" t="n">
        <v>-84.7605295926137</v>
      </c>
      <c r="J40" s="9" t="n">
        <v>1.62438331178164</v>
      </c>
      <c r="K40" s="9" t="n">
        <v>5.32524028517156</v>
      </c>
      <c r="L40" s="9" t="n">
        <v>-0.537998950525463</v>
      </c>
      <c r="M40" s="9" t="n">
        <v>5.21147558431321</v>
      </c>
      <c r="N40" s="9" t="n">
        <v>-0.0133585971285477</v>
      </c>
      <c r="O40" s="9" t="n">
        <v>-0.812548137210403</v>
      </c>
      <c r="P40" s="19" t="n">
        <f aca="false">G40/80</f>
        <v>-0.057549416371868</v>
      </c>
    </row>
    <row r="41" customFormat="false" ht="15" hidden="false" customHeight="false" outlineLevel="0" collapsed="false">
      <c r="A41" s="8" t="s">
        <v>275</v>
      </c>
      <c r="B41" s="8" t="s">
        <v>271</v>
      </c>
      <c r="C41" s="9" t="n">
        <v>0.530886861912364</v>
      </c>
      <c r="D41" s="9" t="n">
        <v>6.12228709507446</v>
      </c>
      <c r="E41" s="9" t="n">
        <v>27.3001701780611</v>
      </c>
      <c r="F41" s="9" t="n">
        <v>43.6689200333231</v>
      </c>
      <c r="G41" s="9" t="n">
        <v>48.9921953654476</v>
      </c>
      <c r="H41" s="9" t="n">
        <v>145.64312045863</v>
      </c>
      <c r="I41" s="9" t="n">
        <v>-31.2142412976434</v>
      </c>
      <c r="J41" s="9" t="n">
        <v>11.1478419084834</v>
      </c>
      <c r="K41" s="9" t="n">
        <v>31.6885361235614</v>
      </c>
      <c r="L41" s="9" t="n">
        <v>4.45478733585364</v>
      </c>
      <c r="M41" s="9" t="n">
        <v>0.395185484264083</v>
      </c>
      <c r="N41" s="9" t="n">
        <v>-0.0180393951063564</v>
      </c>
      <c r="O41" s="9" t="n">
        <v>22.4682367530497</v>
      </c>
      <c r="P41" s="19" t="n">
        <f aca="false">G41/80</f>
        <v>0.612402442068095</v>
      </c>
    </row>
    <row r="42" customFormat="false" ht="15" hidden="false" customHeight="false" outlineLevel="0" collapsed="false">
      <c r="A42" s="8" t="s">
        <v>275</v>
      </c>
      <c r="B42" s="8" t="s">
        <v>272</v>
      </c>
      <c r="C42" s="9" t="n">
        <v>0.369554293358249</v>
      </c>
      <c r="D42" s="9" t="n">
        <v>1.75540286546354</v>
      </c>
      <c r="E42" s="9" t="n">
        <v>8.65750925598942</v>
      </c>
      <c r="F42" s="9" t="n">
        <v>21.2306105019293</v>
      </c>
      <c r="G42" s="9" t="n">
        <v>1.36206932203407</v>
      </c>
      <c r="H42" s="9" t="n">
        <v>27.4230543134615</v>
      </c>
      <c r="I42" s="9" t="n">
        <v>-78.2443162734536</v>
      </c>
      <c r="J42" s="9" t="n">
        <v>2.43195307989006</v>
      </c>
      <c r="K42" s="9" t="n">
        <v>9.67943204926044</v>
      </c>
      <c r="L42" s="9" t="n">
        <v>5.15837987628322</v>
      </c>
      <c r="M42" s="9" t="n">
        <v>0.458972521026702</v>
      </c>
      <c r="N42" s="9" t="n">
        <v>-0.00296282749895482</v>
      </c>
      <c r="O42" s="9" t="n">
        <v>3.04311968617843</v>
      </c>
      <c r="P42" s="19" t="n">
        <f aca="false">G42/80</f>
        <v>0.0170258665254259</v>
      </c>
    </row>
    <row r="43" customFormat="false" ht="15" hidden="false" customHeight="false" outlineLevel="0" collapsed="false">
      <c r="A43" s="8" t="s">
        <v>275</v>
      </c>
      <c r="B43" s="8" t="s">
        <v>68</v>
      </c>
      <c r="C43" s="9" t="n">
        <v>0.0362042779993885</v>
      </c>
      <c r="D43" s="9" t="n">
        <v>0.368389465364658</v>
      </c>
      <c r="E43" s="9" t="n">
        <v>3.05224111211365</v>
      </c>
      <c r="F43" s="9" t="n">
        <v>10.0505927574004</v>
      </c>
      <c r="G43" s="9" t="n">
        <v>5.26584386390775</v>
      </c>
      <c r="H43" s="9" t="n">
        <v>23.7231132613921</v>
      </c>
      <c r="I43" s="9" t="n">
        <v>-74.8543321722731</v>
      </c>
      <c r="J43" s="9" t="n">
        <v>3.10962884699431</v>
      </c>
      <c r="K43" s="9" t="n">
        <v>11.1543706928398</v>
      </c>
      <c r="L43" s="9" t="n">
        <v>2.34054641561841</v>
      </c>
      <c r="M43" s="9" t="n">
        <v>0.689855600854678</v>
      </c>
      <c r="N43" s="9" t="n">
        <v>0.636977607238983</v>
      </c>
      <c r="O43" s="9" t="n">
        <v>-0.615138511598445</v>
      </c>
      <c r="P43" s="19" t="n">
        <f aca="false">G43/80</f>
        <v>0.0658230482988469</v>
      </c>
    </row>
    <row r="44" customFormat="false" ht="15" hidden="false" customHeight="false" outlineLevel="0" collapsed="false">
      <c r="A44" s="8" t="s">
        <v>276</v>
      </c>
      <c r="B44" s="8" t="s">
        <v>37</v>
      </c>
      <c r="C44" s="9" t="n">
        <v>0.252144418682036</v>
      </c>
      <c r="D44" s="9" t="n">
        <v>1.1632846479128</v>
      </c>
      <c r="E44" s="9" t="n">
        <v>4.04975696422608</v>
      </c>
      <c r="F44" s="9" t="n">
        <v>3.89723379129228</v>
      </c>
      <c r="G44" s="9" t="n">
        <v>9.47329508292796</v>
      </c>
      <c r="H44" s="9" t="n">
        <v>18.7916915208446</v>
      </c>
      <c r="I44" s="9" t="n">
        <v>-70.6975850464499</v>
      </c>
      <c r="J44" s="9" t="n">
        <v>3.48202577100145</v>
      </c>
      <c r="K44" s="9" t="n">
        <v>6.13203371976924</v>
      </c>
      <c r="L44" s="9" t="n">
        <v>5.22481319896399</v>
      </c>
      <c r="M44" s="9" t="n">
        <v>-0.199201832616467</v>
      </c>
      <c r="N44" s="9" t="n">
        <v>-0.0176486141663368</v>
      </c>
      <c r="O44" s="9" t="n">
        <v>-0.958205787955109</v>
      </c>
      <c r="P44" s="19" t="n">
        <f aca="false">G44/80</f>
        <v>0.1184161885366</v>
      </c>
    </row>
    <row r="45" customFormat="false" ht="15" hidden="false" customHeight="false" outlineLevel="0" collapsed="false">
      <c r="A45" s="8" t="s">
        <v>276</v>
      </c>
      <c r="B45" s="8" t="s">
        <v>42</v>
      </c>
      <c r="C45" s="9" t="n">
        <v>0.118285726822705</v>
      </c>
      <c r="D45" s="9" t="n">
        <v>0.621606841643796</v>
      </c>
      <c r="E45" s="9" t="n">
        <v>4.76113486252524</v>
      </c>
      <c r="F45" s="9" t="n">
        <v>12.5933277129001</v>
      </c>
      <c r="G45" s="9" t="n">
        <v>-3.14861238804909</v>
      </c>
      <c r="H45" s="9" t="n">
        <v>10.1510912942871</v>
      </c>
      <c r="I45" s="9" t="n">
        <v>-83.3051886709133</v>
      </c>
      <c r="J45" s="9" t="n">
        <v>1.9119084820945</v>
      </c>
      <c r="K45" s="9" t="n">
        <v>5.83508764830269</v>
      </c>
      <c r="L45" s="9" t="n">
        <v>-0.430399160420421</v>
      </c>
      <c r="M45" s="9" t="n">
        <v>6.08005484836535</v>
      </c>
      <c r="N45" s="9" t="n">
        <v>-0.0160303165542466</v>
      </c>
      <c r="O45" s="9" t="n">
        <v>-0.872490508865454</v>
      </c>
      <c r="P45" s="19" t="n">
        <f aca="false">G45/80</f>
        <v>-0.0393576548506136</v>
      </c>
    </row>
    <row r="46" customFormat="false" ht="15" hidden="false" customHeight="false" outlineLevel="0" collapsed="false">
      <c r="A46" s="8" t="s">
        <v>276</v>
      </c>
      <c r="B46" s="8" t="s">
        <v>271</v>
      </c>
      <c r="C46" s="9" t="n">
        <v>0.561276480920213</v>
      </c>
      <c r="D46" s="9" t="n">
        <v>6.28920444505349</v>
      </c>
      <c r="E46" s="9" t="n">
        <v>27.8005983394565</v>
      </c>
      <c r="F46" s="9" t="n">
        <v>44.5297716793896</v>
      </c>
      <c r="G46" s="9" t="n">
        <v>50.5644400619804</v>
      </c>
      <c r="H46" s="9" t="n">
        <v>149.713671731579</v>
      </c>
      <c r="I46" s="9" t="n">
        <v>-29.6419966011106</v>
      </c>
      <c r="J46" s="9" t="n">
        <v>11.3008226617106</v>
      </c>
      <c r="K46" s="9" t="n">
        <v>31.8503990785784</v>
      </c>
      <c r="L46" s="9" t="n">
        <v>3.5638298686829</v>
      </c>
      <c r="M46" s="9" t="n">
        <v>0.461049731641396</v>
      </c>
      <c r="N46" s="9" t="n">
        <v>-0.0216472741276093</v>
      </c>
      <c r="O46" s="9" t="n">
        <v>23.7973660132598</v>
      </c>
      <c r="P46" s="19" t="n">
        <f aca="false">G46/80</f>
        <v>0.632055500774755</v>
      </c>
    </row>
    <row r="47" customFormat="false" ht="15" hidden="false" customHeight="false" outlineLevel="0" collapsed="false">
      <c r="A47" s="8" t="s">
        <v>276</v>
      </c>
      <c r="B47" s="8" t="s">
        <v>272</v>
      </c>
      <c r="C47" s="9" t="n">
        <v>0.338629051349244</v>
      </c>
      <c r="D47" s="9" t="n">
        <v>1.61836553008226</v>
      </c>
      <c r="E47" s="9" t="n">
        <v>8.07082003760374</v>
      </c>
      <c r="F47" s="9" t="n">
        <v>20.215709579187</v>
      </c>
      <c r="G47" s="9" t="n">
        <v>0.116190267989367</v>
      </c>
      <c r="H47" s="9" t="n">
        <v>24.0591256339146</v>
      </c>
      <c r="I47" s="9" t="n">
        <v>-79.4901953274983</v>
      </c>
      <c r="J47" s="9" t="n">
        <v>2.24874813075752</v>
      </c>
      <c r="K47" s="9" t="n">
        <v>9.05709687008611</v>
      </c>
      <c r="L47" s="9" t="n">
        <v>4.1267039010266</v>
      </c>
      <c r="M47" s="9" t="n">
        <v>0.535467941197766</v>
      </c>
      <c r="N47" s="9" t="n">
        <v>-0.00355539299872376</v>
      </c>
      <c r="O47" s="9" t="n">
        <v>3.41220358837809</v>
      </c>
      <c r="P47" s="19" t="n">
        <f aca="false">G47/80</f>
        <v>0.00145237834986709</v>
      </c>
    </row>
    <row r="48" customFormat="false" ht="15" hidden="false" customHeight="false" outlineLevel="0" collapsed="false">
      <c r="A48" s="8" t="s">
        <v>276</v>
      </c>
      <c r="B48" s="8" t="s">
        <v>68</v>
      </c>
      <c r="C48" s="9" t="n">
        <v>0.0364758964437897</v>
      </c>
      <c r="D48" s="9" t="n">
        <v>0.338563357735382</v>
      </c>
      <c r="E48" s="9" t="n">
        <v>2.78099905062493</v>
      </c>
      <c r="F48" s="9" t="n">
        <v>9.36780927021135</v>
      </c>
      <c r="G48" s="9" t="n">
        <v>4.76467774657496</v>
      </c>
      <c r="H48" s="9" t="n">
        <v>21.7207373956143</v>
      </c>
      <c r="I48" s="9" t="n">
        <v>-75.3554982896059</v>
      </c>
      <c r="J48" s="9" t="n">
        <v>3.14818363094564</v>
      </c>
      <c r="K48" s="9" t="n">
        <v>10.420758566744</v>
      </c>
      <c r="L48" s="9" t="n">
        <v>1.87243713249474</v>
      </c>
      <c r="M48" s="9" t="n">
        <v>0.804831534330432</v>
      </c>
      <c r="N48" s="9" t="n">
        <v>0.764373128686792</v>
      </c>
      <c r="O48" s="9" t="n">
        <v>-0.660642744887056</v>
      </c>
      <c r="P48" s="19" t="n">
        <f aca="false">G48/80</f>
        <v>0.059558471832187</v>
      </c>
    </row>
    <row r="50" customFormat="false" ht="15" hidden="false" customHeight="false" outlineLevel="0" collapsed="false">
      <c r="A50" s="3" t="s">
        <v>277</v>
      </c>
    </row>
    <row r="51" customFormat="false" ht="15" hidden="false" customHeight="false" outlineLevel="0" collapsed="false">
      <c r="A51" s="2" t="s">
        <v>278</v>
      </c>
    </row>
    <row r="52" customFormat="false" ht="30" hidden="false" customHeight="true" outlineLevel="0" collapsed="false">
      <c r="A52" s="21" t="s">
        <v>279</v>
      </c>
      <c r="B52" s="7" t="s">
        <v>280</v>
      </c>
      <c r="C52" s="7" t="s">
        <v>281</v>
      </c>
      <c r="D52" s="7" t="s">
        <v>282</v>
      </c>
      <c r="E52" s="7" t="s">
        <v>283</v>
      </c>
      <c r="F52" s="7" t="s">
        <v>284</v>
      </c>
      <c r="G52" s="7" t="s">
        <v>285</v>
      </c>
      <c r="H52" s="7" t="s">
        <v>286</v>
      </c>
    </row>
    <row r="53" customFormat="false" ht="15" hidden="false" customHeight="false" outlineLevel="0" collapsed="false">
      <c r="A53" s="8" t="s">
        <v>37</v>
      </c>
      <c r="B53" s="10" t="n">
        <f aca="false">AVERAGEIFS('Allocation grid'!$N$5:$N$2314,'Allocation grid'!$A$5:$A$2314,0,'Allocation grid'!$S$5:$S$2314,1)</f>
        <v>121.095099279977</v>
      </c>
      <c r="C53" s="10" t="n">
        <f aca="false">AVERAGEIFS('Allocation grid'!$N$5:$N$2314,'Allocation grid'!$A$5:$A$2314,5,'Allocation grid'!$S$5:$S$2314,1)</f>
        <v>129.936806708825</v>
      </c>
      <c r="D53" s="10" t="n">
        <f aca="false">AVERAGEIFS('Allocation grid'!$N$5:$N$2314,'Allocation grid'!$A$5:$A$2314,10,'Allocation grid'!$S$5:$S$2314,1)</f>
        <v>133.565893999018</v>
      </c>
      <c r="E53" s="10" t="n">
        <f aca="false">AVERAGEIFS('Allocation grid'!$N$5:$N$2314,'Allocation grid'!$A$5:$A$2314,15,'Allocation grid'!$S$5:$S$2314,1)</f>
        <v>130.959574650854</v>
      </c>
      <c r="F53" s="10" t="n">
        <f aca="false">AVERAGEIFS('Allocation grid'!$N$5:$N$2314,'Allocation grid'!$A$5:$A$2314,20,'Allocation grid'!$S$5:$S$2314,1)</f>
        <v>126.806732054018</v>
      </c>
      <c r="G53" s="10" t="n">
        <f aca="false">AVERAGEIFS('Allocation grid'!$N$5:$N$2314,'Allocation grid'!$A$5:$A$2314,25,'Allocation grid'!$S$5:$S$2314,1)</f>
        <v>118.769194494835</v>
      </c>
      <c r="H53" s="10" t="n">
        <f aca="false">AVERAGEIFS('Allocation grid'!$N$5:$N$2314,'Allocation grid'!$A$5:$A$2314,30,'Allocation grid'!$S$5:$S$2314,1)</f>
        <v>109.882212011446</v>
      </c>
    </row>
    <row r="54" customFormat="false" ht="15" hidden="false" customHeight="false" outlineLevel="0" collapsed="false">
      <c r="A54" s="8" t="s">
        <v>42</v>
      </c>
      <c r="B54" s="10" t="n">
        <f aca="false">AVERAGEIFS('Allocation grid'!$N$5:$N$2314,'Allocation grid'!$B$5:$B$2314,0,'Allocation grid'!$S$5:$S$2314,1)</f>
        <v>130.493435971581</v>
      </c>
      <c r="C54" s="10" t="n">
        <f aca="false">AVERAGEIFS('Allocation grid'!$N$5:$N$2314,'Allocation grid'!$B$5:$B$2314,5,'Allocation grid'!$S$5:$S$2314,1)</f>
        <v>127.027579802475</v>
      </c>
      <c r="D54" s="10" t="n">
        <f aca="false">AVERAGEIFS('Allocation grid'!$N$5:$N$2314,'Allocation grid'!$B$5:$B$2314,10,'Allocation grid'!$S$5:$S$2314,1)</f>
        <v>124.232036298955</v>
      </c>
      <c r="E54" s="10" t="n">
        <f aca="false">AVERAGEIFS('Allocation grid'!$N$5:$N$2314,'Allocation grid'!$B$5:$B$2314,15,'Allocation grid'!$S$5:$S$2314,1)</f>
        <v>116.451271812105</v>
      </c>
      <c r="F54" s="10" t="n">
        <f aca="false">AVERAGEIFS('Allocation grid'!$N$5:$N$2314,'Allocation grid'!$B$5:$B$2314,20,'Allocation grid'!$S$5:$S$2314,1)</f>
        <v>107.751898058056</v>
      </c>
      <c r="G54" s="10" t="n">
        <f aca="false">AVERAGEIFS('Allocation grid'!$N$5:$N$2314,'Allocation grid'!$B$5:$B$2314,25,'Allocation grid'!$S$5:$S$2314,1)</f>
        <v>91.8830975048083</v>
      </c>
      <c r="H54" s="10" t="n">
        <f aca="false">AVERAGEIFS('Allocation grid'!$N$5:$N$2314,'Allocation grid'!$B$5:$B$2314,30,'Allocation grid'!$S$5:$S$2314,1)</f>
        <v>84.207730224794</v>
      </c>
    </row>
    <row r="55" customFormat="false" ht="15" hidden="false" customHeight="false" outlineLevel="0" collapsed="false">
      <c r="A55" s="8" t="s">
        <v>271</v>
      </c>
      <c r="B55" s="10" t="n">
        <f aca="false">AVERAGEIFS('Allocation grid'!$N$5:$N$2314,'Allocation grid'!$C$5:$C$2314,0,'Allocation grid'!$S$5:$S$2314,1)</f>
        <v>105.983673881208</v>
      </c>
      <c r="C55" s="10" t="n">
        <f aca="false">AVERAGEIFS('Allocation grid'!$N$5:$N$2314,'Allocation grid'!$C$5:$C$2314,5,'Allocation grid'!$S$5:$S$2314,1)</f>
        <v>137.175745043503</v>
      </c>
      <c r="D55" s="10" t="n">
        <f aca="false">AVERAGEIFS('Allocation grid'!$N$5:$N$2314,'Allocation grid'!$C$5:$C$2314,10,'Allocation grid'!$S$5:$S$2314,1)</f>
        <v>150.711573603018</v>
      </c>
      <c r="E55" s="10" t="n">
        <f aca="false">AVERAGEIFS('Allocation grid'!$N$5:$N$2314,'Allocation grid'!$C$5:$C$2314,15,'Allocation grid'!$S$5:$S$2314,1)</f>
        <v>149.952599717778</v>
      </c>
      <c r="F55" s="10" t="n">
        <f aca="false">AVERAGEIFS('Allocation grid'!$N$5:$N$2314,'Allocation grid'!$C$5:$C$2314,20,'Allocation grid'!$S$5:$S$2314,1)</f>
        <v>145.694360347727</v>
      </c>
      <c r="G55" s="10" t="n">
        <f aca="false">AVERAGEIFS('Allocation grid'!$N$5:$N$2314,'Allocation grid'!$C$5:$C$2314,25,'Allocation grid'!$S$5:$S$2314,1)</f>
        <v>137.898838804313</v>
      </c>
      <c r="H55" s="10" t="n">
        <f aca="false">AVERAGEIFS('Allocation grid'!$N$5:$N$2314,'Allocation grid'!$C$5:$C$2314,30,'Allocation grid'!$S$5:$S$2314,1)</f>
        <v>127.259220008078</v>
      </c>
    </row>
    <row r="56" customFormat="false" ht="15" hidden="false" customHeight="false" outlineLevel="0" collapsed="false">
      <c r="A56" s="8" t="s">
        <v>272</v>
      </c>
      <c r="B56" s="10" t="n">
        <f aca="false">AVERAGEIFS('Allocation grid'!$N$5:$N$2314,'Allocation grid'!$D$5:$D$2314,0,'Allocation grid'!$S$5:$S$2314,1)</f>
        <v>127.953368752119</v>
      </c>
      <c r="C56" s="10" t="n">
        <f aca="false">AVERAGEIFS('Allocation grid'!$N$5:$N$2314,'Allocation grid'!$D$5:$D$2314,5,'Allocation grid'!$S$5:$S$2314,1)</f>
        <v>128.731752404927</v>
      </c>
      <c r="D56" s="10" t="n">
        <f aca="false">AVERAGEIFS('Allocation grid'!$N$5:$N$2314,'Allocation grid'!$D$5:$D$2314,10,'Allocation grid'!$S$5:$S$2314,1)</f>
        <v>126.88302444998</v>
      </c>
      <c r="E56" s="10" t="n">
        <f aca="false">AVERAGEIFS('Allocation grid'!$N$5:$N$2314,'Allocation grid'!$D$5:$D$2314,15,'Allocation grid'!$S$5:$S$2314,1)</f>
        <v>119.61683331635</v>
      </c>
      <c r="F56" s="10" t="n">
        <f aca="false">AVERAGEIFS('Allocation grid'!$N$5:$N$2314,'Allocation grid'!$D$5:$D$2314,20,'Allocation grid'!$S$5:$S$2314,1)</f>
        <v>109.31947834195</v>
      </c>
      <c r="G56" s="10" t="n">
        <f aca="false">AVERAGEIFS('Allocation grid'!$N$5:$N$2314,'Allocation grid'!$D$5:$D$2314,25,'Allocation grid'!$S$5:$S$2314,1)</f>
        <v>93.6790892156378</v>
      </c>
      <c r="H56" s="10" t="n">
        <f aca="false">AVERAGEIFS('Allocation grid'!$N$5:$N$2314,'Allocation grid'!$D$5:$D$2314,30,'Allocation grid'!$S$5:$S$2314,1)</f>
        <v>74.0386123700289</v>
      </c>
    </row>
    <row r="57" customFormat="false" ht="15" hidden="false" customHeight="false" outlineLevel="0" collapsed="false">
      <c r="A57" s="8" t="s">
        <v>68</v>
      </c>
      <c r="B57" s="10" t="n">
        <f aca="false">AVERAGEIFS('Allocation grid'!$N$5:$N$2314,'Allocation grid'!$E$5:$E$2314,0,'Allocation grid'!$S$5:$S$2314,1)</f>
        <v>125.203433847199</v>
      </c>
      <c r="C57" s="10" t="n">
        <f aca="false">AVERAGEIFS('Allocation grid'!$N$5:$N$2314,'Allocation grid'!$E$5:$E$2314,5,'Allocation grid'!$S$5:$S$2314,1)</f>
        <v>126.470590815311</v>
      </c>
      <c r="D57" s="10" t="n">
        <f aca="false">AVERAGEIFS('Allocation grid'!$N$5:$N$2314,'Allocation grid'!$E$5:$E$2314,10,'Allocation grid'!$S$5:$S$2314,1)</f>
        <v>129.733366243902</v>
      </c>
      <c r="E57" s="10" t="n">
        <f aca="false">AVERAGEIFS('Allocation grid'!$N$5:$N$2314,'Allocation grid'!$E$5:$E$2314,15,'Allocation grid'!$S$5:$S$2314,1)</f>
        <v>127.255707460469</v>
      </c>
      <c r="F57" s="10" t="n">
        <f aca="false">AVERAGEIFS('Allocation grid'!$N$5:$N$2314,'Allocation grid'!$E$5:$E$2314,20,'Allocation grid'!$S$5:$S$2314,1)</f>
        <v>125.273675291485</v>
      </c>
      <c r="G57" s="10" t="n">
        <f aca="false">AVERAGEIFS('Allocation grid'!$N$5:$N$2314,'Allocation grid'!$E$5:$E$2314,25,'Allocation grid'!$S$5:$S$2314,1)</f>
        <v>117.504282466044</v>
      </c>
      <c r="H57" s="10" t="n">
        <f aca="false">AVERAGEIFS('Allocation grid'!$N$5:$N$2314,'Allocation grid'!$E$5:$E$2314,30,'Allocation grid'!$S$5:$S$2314,1)</f>
        <v>111.107861581178</v>
      </c>
    </row>
    <row r="58" customFormat="false" ht="15" hidden="false" customHeight="false" outlineLevel="0" collapsed="false">
      <c r="A58" s="8" t="s">
        <v>287</v>
      </c>
      <c r="B58" s="10" t="n">
        <f aca="false">AVERAGEIFS('Allocation grid'!$N$5:$N$2314,'Allocation grid'!$F$5:$F$2314,0,'Allocation grid'!$S$5:$S$2314,1)</f>
        <v>131.879559040804</v>
      </c>
      <c r="C58" s="10" t="n">
        <f aca="false">AVERAGEIFS('Allocation grid'!$N$5:$N$2314,'Allocation grid'!$F$5:$F$2314,5,'Allocation grid'!$S$5:$S$2314,1)</f>
        <v>128.826799081096</v>
      </c>
      <c r="D58" s="10" t="n">
        <f aca="false">AVERAGEIFS('Allocation grid'!$N$5:$N$2314,'Allocation grid'!$F$5:$F$2314,10,'Allocation grid'!$S$5:$S$2314,1)</f>
        <v>121.555159119403</v>
      </c>
      <c r="E58" s="10" t="n">
        <f aca="false">AVERAGEIFS('Allocation grid'!$N$5:$N$2314,'Allocation grid'!$F$5:$F$2314,15,'Allocation grid'!$S$5:$S$2314,1)</f>
        <v>111.619850265913</v>
      </c>
      <c r="F58" s="10" t="n">
        <f aca="false">AVERAGEIFS('Allocation grid'!$N$5:$N$2314,'Allocation grid'!$F$5:$F$2314,20,'Allocation grid'!$S$5:$S$2314,1)</f>
        <v>99.5455388967487</v>
      </c>
      <c r="G58" s="10" t="n">
        <f aca="false">AVERAGEIFS('Allocation grid'!$N$5:$N$2314,'Allocation grid'!$F$5:$F$2314,25,'Allocation grid'!$S$5:$S$2314,1)</f>
        <v>86.3275819258615</v>
      </c>
      <c r="H58" s="10" t="n">
        <f aca="false">AVERAGEIFS('Allocation grid'!$N$5:$N$2314,'Allocation grid'!$F$5:$F$2314,30,'Allocation grid'!$S$5:$S$2314,1)</f>
        <v>73.7743785814641</v>
      </c>
    </row>
    <row r="60" customFormat="false" ht="30" hidden="false" customHeight="true" outlineLevel="0" collapsed="false">
      <c r="A60" s="21" t="s">
        <v>288</v>
      </c>
      <c r="B60" s="7" t="s">
        <v>280</v>
      </c>
      <c r="C60" s="7" t="s">
        <v>281</v>
      </c>
      <c r="D60" s="7" t="s">
        <v>282</v>
      </c>
      <c r="E60" s="7" t="s">
        <v>283</v>
      </c>
      <c r="F60" s="7" t="s">
        <v>284</v>
      </c>
      <c r="G60" s="7" t="s">
        <v>285</v>
      </c>
      <c r="H60" s="7" t="s">
        <v>286</v>
      </c>
    </row>
    <row r="61" customFormat="false" ht="15" hidden="false" customHeight="false" outlineLevel="0" collapsed="false">
      <c r="A61" s="8" t="s">
        <v>37</v>
      </c>
      <c r="B61" s="12" t="n">
        <f aca="false">AVERAGEIFS('Allocation grid'!$O$5:$O$2314,'Allocation grid'!$A$5:$A$2314,0,'Allocation grid'!$S$5:$S$2314,1)</f>
        <v>69.1906734786856</v>
      </c>
      <c r="C61" s="12" t="n">
        <f aca="false">AVERAGEIFS('Allocation grid'!$O$5:$O$2314,'Allocation grid'!$A$5:$A$2314,5,'Allocation grid'!$S$5:$S$2314,1)</f>
        <v>71.9245783772593</v>
      </c>
      <c r="D61" s="12" t="n">
        <f aca="false">AVERAGEIFS('Allocation grid'!$O$5:$O$2314,'Allocation grid'!$A$5:$A$2314,10,'Allocation grid'!$S$5:$S$2314,1)</f>
        <v>73.0093182277732</v>
      </c>
      <c r="E61" s="12" t="n">
        <f aca="false">AVERAGEIFS('Allocation grid'!$O$5:$O$2314,'Allocation grid'!$A$5:$A$2314,15,'Allocation grid'!$S$5:$S$2314,1)</f>
        <v>71.5002216982659</v>
      </c>
      <c r="F61" s="12" t="n">
        <f aca="false">AVERAGEIFS('Allocation grid'!$O$5:$O$2314,'Allocation grid'!$A$5:$A$2314,20,'Allocation grid'!$S$5:$S$2314,1)</f>
        <v>69.1666770291531</v>
      </c>
      <c r="G61" s="12" t="n">
        <f aca="false">AVERAGEIFS('Allocation grid'!$O$5:$O$2314,'Allocation grid'!$A$5:$A$2314,25,'Allocation grid'!$S$5:$S$2314,1)</f>
        <v>65.7229843914878</v>
      </c>
      <c r="H61" s="12" t="n">
        <f aca="false">AVERAGEIFS('Allocation grid'!$O$5:$O$2314,'Allocation grid'!$A$5:$A$2314,30,'Allocation grid'!$S$5:$S$2314,1)</f>
        <v>61.8035853090846</v>
      </c>
    </row>
    <row r="62" customFormat="false" ht="15" hidden="false" customHeight="false" outlineLevel="0" collapsed="false">
      <c r="A62" s="8" t="s">
        <v>42</v>
      </c>
      <c r="B62" s="12" t="n">
        <f aca="false">AVERAGEIFS('Allocation grid'!$O$5:$O$2314,'Allocation grid'!$B$5:$B$2314,0,'Allocation grid'!$S$5:$S$2314,1)</f>
        <v>72.385925544592</v>
      </c>
      <c r="C62" s="12" t="n">
        <f aca="false">AVERAGEIFS('Allocation grid'!$O$5:$O$2314,'Allocation grid'!$B$5:$B$2314,5,'Allocation grid'!$S$5:$S$2314,1)</f>
        <v>70.9580426420743</v>
      </c>
      <c r="D62" s="12" t="n">
        <f aca="false">AVERAGEIFS('Allocation grid'!$O$5:$O$2314,'Allocation grid'!$B$5:$B$2314,10,'Allocation grid'!$S$5:$S$2314,1)</f>
        <v>70.0564497992838</v>
      </c>
      <c r="E62" s="12" t="n">
        <f aca="false">AVERAGEIFS('Allocation grid'!$O$5:$O$2314,'Allocation grid'!$B$5:$B$2314,15,'Allocation grid'!$S$5:$S$2314,1)</f>
        <v>66.8525992484014</v>
      </c>
      <c r="F62" s="12" t="n">
        <f aca="false">AVERAGEIFS('Allocation grid'!$O$5:$O$2314,'Allocation grid'!$B$5:$B$2314,20,'Allocation grid'!$S$5:$S$2314,1)</f>
        <v>61.5874458819269</v>
      </c>
      <c r="G62" s="12" t="n">
        <f aca="false">AVERAGEIFS('Allocation grid'!$O$5:$O$2314,'Allocation grid'!$B$5:$B$2314,25,'Allocation grid'!$S$5:$S$2314,1)</f>
        <v>55.1388433484813</v>
      </c>
      <c r="H62" s="12" t="n">
        <f aca="false">AVERAGEIFS('Allocation grid'!$O$5:$O$2314,'Allocation grid'!$B$5:$B$2314,30,'Allocation grid'!$S$5:$S$2314,1)</f>
        <v>48.5609022649801</v>
      </c>
    </row>
    <row r="63" customFormat="false" ht="15" hidden="false" customHeight="false" outlineLevel="0" collapsed="false">
      <c r="A63" s="8" t="s">
        <v>271</v>
      </c>
      <c r="B63" s="12" t="n">
        <f aca="false">AVERAGEIFS('Allocation grid'!$O$5:$O$2314,'Allocation grid'!$C$5:$C$2314,0,'Allocation grid'!$S$5:$S$2314,1)</f>
        <v>63.4894586517138</v>
      </c>
      <c r="C63" s="12" t="n">
        <f aca="false">AVERAGEIFS('Allocation grid'!$O$5:$O$2314,'Allocation grid'!$C$5:$C$2314,5,'Allocation grid'!$S$5:$S$2314,1)</f>
        <v>74.6408861150024</v>
      </c>
      <c r="D63" s="12" t="n">
        <f aca="false">AVERAGEIFS('Allocation grid'!$O$5:$O$2314,'Allocation grid'!$C$5:$C$2314,10,'Allocation grid'!$S$5:$S$2314,1)</f>
        <v>79.2504642839525</v>
      </c>
      <c r="E63" s="12" t="n">
        <f aca="false">AVERAGEIFS('Allocation grid'!$O$5:$O$2314,'Allocation grid'!$C$5:$C$2314,15,'Allocation grid'!$S$5:$S$2314,1)</f>
        <v>78.7180867709012</v>
      </c>
      <c r="F63" s="12" t="n">
        <f aca="false">AVERAGEIFS('Allocation grid'!$O$5:$O$2314,'Allocation grid'!$C$5:$C$2314,20,'Allocation grid'!$S$5:$S$2314,1)</f>
        <v>77.0176275683657</v>
      </c>
      <c r="G63" s="12" t="n">
        <f aca="false">AVERAGEIFS('Allocation grid'!$O$5:$O$2314,'Allocation grid'!$C$5:$C$2314,25,'Allocation grid'!$S$5:$S$2314,1)</f>
        <v>73.7776256198706</v>
      </c>
      <c r="H63" s="12" t="n">
        <f aca="false">AVERAGEIFS('Allocation grid'!$O$5:$O$2314,'Allocation grid'!$C$5:$C$2314,30,'Allocation grid'!$S$5:$S$2314,1)</f>
        <v>69.2609583126287</v>
      </c>
    </row>
    <row r="64" customFormat="false" ht="15" hidden="false" customHeight="false" outlineLevel="0" collapsed="false">
      <c r="A64" s="8" t="s">
        <v>272</v>
      </c>
      <c r="B64" s="12" t="n">
        <f aca="false">AVERAGEIFS('Allocation grid'!$O$5:$O$2314,'Allocation grid'!$D$5:$D$2314,0,'Allocation grid'!$S$5:$S$2314,1)</f>
        <v>69.3287278057619</v>
      </c>
      <c r="C64" s="12" t="n">
        <f aca="false">AVERAGEIFS('Allocation grid'!$O$5:$O$2314,'Allocation grid'!$D$5:$D$2314,5,'Allocation grid'!$S$5:$S$2314,1)</f>
        <v>72.839660020133</v>
      </c>
      <c r="D64" s="12" t="n">
        <f aca="false">AVERAGEIFS('Allocation grid'!$O$5:$O$2314,'Allocation grid'!$D$5:$D$2314,10,'Allocation grid'!$S$5:$S$2314,1)</f>
        <v>72.757097538144</v>
      </c>
      <c r="E64" s="12" t="n">
        <f aca="false">AVERAGEIFS('Allocation grid'!$O$5:$O$2314,'Allocation grid'!$D$5:$D$2314,15,'Allocation grid'!$S$5:$S$2314,1)</f>
        <v>70.0963005544858</v>
      </c>
      <c r="F64" s="12" t="n">
        <f aca="false">AVERAGEIFS('Allocation grid'!$O$5:$O$2314,'Allocation grid'!$D$5:$D$2314,20,'Allocation grid'!$S$5:$S$2314,1)</f>
        <v>66.2531481107792</v>
      </c>
      <c r="G64" s="12" t="n">
        <f aca="false">AVERAGEIFS('Allocation grid'!$O$5:$O$2314,'Allocation grid'!$D$5:$D$2314,25,'Allocation grid'!$S$5:$S$2314,1)</f>
        <v>60.5656626988415</v>
      </c>
      <c r="H64" s="12" t="n">
        <f aca="false">AVERAGEIFS('Allocation grid'!$O$5:$O$2314,'Allocation grid'!$D$5:$D$2314,30,'Allocation grid'!$S$5:$S$2314,1)</f>
        <v>53.7941201661614</v>
      </c>
    </row>
    <row r="65" customFormat="false" ht="15" hidden="false" customHeight="false" outlineLevel="0" collapsed="false">
      <c r="A65" s="8" t="s">
        <v>68</v>
      </c>
      <c r="B65" s="12" t="n">
        <f aca="false">AVERAGEIFS('Allocation grid'!$O$5:$O$2314,'Allocation grid'!$E$5:$E$2314,0,'Allocation grid'!$S$5:$S$2314,1)</f>
        <v>71.4478282564201</v>
      </c>
      <c r="C65" s="12" t="n">
        <f aca="false">AVERAGEIFS('Allocation grid'!$O$5:$O$2314,'Allocation grid'!$E$5:$E$2314,5,'Allocation grid'!$S$5:$S$2314,1)</f>
        <v>70.8566502978838</v>
      </c>
      <c r="D65" s="12" t="n">
        <f aca="false">AVERAGEIFS('Allocation grid'!$O$5:$O$2314,'Allocation grid'!$E$5:$E$2314,10,'Allocation grid'!$S$5:$S$2314,1)</f>
        <v>70.3690087490945</v>
      </c>
      <c r="E65" s="12" t="n">
        <f aca="false">AVERAGEIFS('Allocation grid'!$O$5:$O$2314,'Allocation grid'!$E$5:$E$2314,15,'Allocation grid'!$S$5:$S$2314,1)</f>
        <v>68.5972000399404</v>
      </c>
      <c r="F65" s="12" t="n">
        <f aca="false">AVERAGEIFS('Allocation grid'!$O$5:$O$2314,'Allocation grid'!$E$5:$E$2314,20,'Allocation grid'!$S$5:$S$2314,1)</f>
        <v>66.6374307122043</v>
      </c>
      <c r="G65" s="12" t="n">
        <f aca="false">AVERAGEIFS('Allocation grid'!$O$5:$O$2314,'Allocation grid'!$E$5:$E$2314,25,'Allocation grid'!$S$5:$S$2314,1)</f>
        <v>62.891387893478</v>
      </c>
      <c r="H65" s="12" t="n">
        <f aca="false">AVERAGEIFS('Allocation grid'!$O$5:$O$2314,'Allocation grid'!$E$5:$E$2314,30,'Allocation grid'!$S$5:$S$2314,1)</f>
        <v>60.8841187793358</v>
      </c>
    </row>
    <row r="66" customFormat="false" ht="15" hidden="false" customHeight="false" outlineLevel="0" collapsed="false">
      <c r="A66" s="8" t="s">
        <v>287</v>
      </c>
      <c r="B66" s="12" t="n">
        <f aca="false">AVERAGEIFS('Allocation grid'!$O$5:$O$2314,'Allocation grid'!$F$5:$F$2314,0,'Allocation grid'!$S$5:$S$2314,1)</f>
        <v>71.4514748653705</v>
      </c>
      <c r="C66" s="12" t="n">
        <f aca="false">AVERAGEIFS('Allocation grid'!$O$5:$O$2314,'Allocation grid'!$F$5:$F$2314,5,'Allocation grid'!$S$5:$S$2314,1)</f>
        <v>71.6245210380606</v>
      </c>
      <c r="D66" s="12" t="n">
        <f aca="false">AVERAGEIFS('Allocation grid'!$O$5:$O$2314,'Allocation grid'!$F$5:$F$2314,10,'Allocation grid'!$S$5:$S$2314,1)</f>
        <v>70.3422872893408</v>
      </c>
      <c r="E66" s="12" t="n">
        <f aca="false">AVERAGEIFS('Allocation grid'!$O$5:$O$2314,'Allocation grid'!$F$5:$F$2314,15,'Allocation grid'!$S$5:$S$2314,1)</f>
        <v>67.909263301977</v>
      </c>
      <c r="F66" s="12" t="n">
        <f aca="false">AVERAGEIFS('Allocation grid'!$O$5:$O$2314,'Allocation grid'!$F$5:$F$2314,20,'Allocation grid'!$S$5:$S$2314,1)</f>
        <v>63.9138001870548</v>
      </c>
      <c r="G66" s="12" t="n">
        <f aca="false">AVERAGEIFS('Allocation grid'!$O$5:$O$2314,'Allocation grid'!$F$5:$F$2314,25,'Allocation grid'!$S$5:$S$2314,1)</f>
        <v>58.5656127547684</v>
      </c>
      <c r="H66" s="12" t="n">
        <f aca="false">AVERAGEIFS('Allocation grid'!$O$5:$O$2314,'Allocation grid'!$F$5:$F$2314,30,'Allocation grid'!$S$5:$S$2314,1)</f>
        <v>51.7982392197382</v>
      </c>
    </row>
    <row r="68" customFormat="false" ht="30" hidden="false" customHeight="true" outlineLevel="0" collapsed="false">
      <c r="A68" s="21" t="s">
        <v>289</v>
      </c>
      <c r="B68" s="7" t="s">
        <v>280</v>
      </c>
      <c r="C68" s="7" t="s">
        <v>281</v>
      </c>
      <c r="D68" s="7" t="s">
        <v>282</v>
      </c>
      <c r="E68" s="7" t="s">
        <v>283</v>
      </c>
      <c r="F68" s="7" t="s">
        <v>284</v>
      </c>
      <c r="G68" s="7" t="s">
        <v>285</v>
      </c>
      <c r="H68" s="7" t="s">
        <v>286</v>
      </c>
    </row>
    <row r="69" customFormat="false" ht="15" hidden="false" customHeight="false" outlineLevel="0" collapsed="false">
      <c r="A69" s="8" t="s">
        <v>37</v>
      </c>
      <c r="B69" s="9" t="n">
        <f aca="false">AVERAGEIFS('Allocation grid'!$J$5:$J$2314,'Allocation grid'!$A$5:$A$2314,0,'Allocation grid'!$S$5:$S$2314,1)</f>
        <v>210.097711852825</v>
      </c>
      <c r="C69" s="9" t="n">
        <f aca="false">AVERAGEIFS('Allocation grid'!$J$5:$J$2314,'Allocation grid'!$A$5:$A$2314,5,'Allocation grid'!$S$5:$S$2314,1)</f>
        <v>215.415884370418</v>
      </c>
      <c r="D69" s="9" t="n">
        <f aca="false">AVERAGEIFS('Allocation grid'!$J$5:$J$2314,'Allocation grid'!$A$5:$A$2314,10,'Allocation grid'!$S$5:$S$2314,1)</f>
        <v>217.953770477501</v>
      </c>
      <c r="E69" s="9" t="n">
        <f aca="false">AVERAGEIFS('Allocation grid'!$J$5:$J$2314,'Allocation grid'!$A$5:$A$2314,15,'Allocation grid'!$S$5:$S$2314,1)</f>
        <v>216.770392877681</v>
      </c>
      <c r="F69" s="9" t="n">
        <f aca="false">AVERAGEIFS('Allocation grid'!$J$5:$J$2314,'Allocation grid'!$A$5:$A$2314,20,'Allocation grid'!$S$5:$S$2314,1)</f>
        <v>214.723443837371</v>
      </c>
      <c r="G69" s="9" t="n">
        <f aca="false">AVERAGEIFS('Allocation grid'!$J$5:$J$2314,'Allocation grid'!$A$5:$A$2314,25,'Allocation grid'!$S$5:$S$2314,1)</f>
        <v>209.474284887499</v>
      </c>
      <c r="H69" s="9" t="n">
        <f aca="false">AVERAGEIFS('Allocation grid'!$J$5:$J$2314,'Allocation grid'!$A$5:$A$2314,30,'Allocation grid'!$S$5:$S$2314,1)</f>
        <v>203.893159816572</v>
      </c>
    </row>
    <row r="70" customFormat="false" ht="15" hidden="false" customHeight="false" outlineLevel="0" collapsed="false">
      <c r="A70" s="8" t="s">
        <v>42</v>
      </c>
      <c r="B70" s="9" t="n">
        <f aca="false">AVERAGEIFS('Allocation grid'!$J$5:$J$2314,'Allocation grid'!$B$5:$B$2314,0,'Allocation grid'!$S$5:$S$2314,1)</f>
        <v>214.738414525964</v>
      </c>
      <c r="C70" s="9" t="n">
        <f aca="false">AVERAGEIFS('Allocation grid'!$J$5:$J$2314,'Allocation grid'!$B$5:$B$2314,5,'Allocation grid'!$S$5:$S$2314,1)</f>
        <v>213.027348282528</v>
      </c>
      <c r="D70" s="9" t="n">
        <f aca="false">AVERAGEIFS('Allocation grid'!$J$5:$J$2314,'Allocation grid'!$B$5:$B$2314,10,'Allocation grid'!$S$5:$S$2314,1)</f>
        <v>213.892591465055</v>
      </c>
      <c r="E70" s="9" t="n">
        <f aca="false">AVERAGEIFS('Allocation grid'!$J$5:$J$2314,'Allocation grid'!$B$5:$B$2314,15,'Allocation grid'!$S$5:$S$2314,1)</f>
        <v>210.803490308338</v>
      </c>
      <c r="F70" s="9" t="n">
        <f aca="false">AVERAGEIFS('Allocation grid'!$J$5:$J$2314,'Allocation grid'!$B$5:$B$2314,20,'Allocation grid'!$S$5:$S$2314,1)</f>
        <v>206.684471236897</v>
      </c>
      <c r="G70" s="9" t="n">
        <f aca="false">AVERAGEIFS('Allocation grid'!$J$5:$J$2314,'Allocation grid'!$B$5:$B$2314,25,'Allocation grid'!$S$5:$S$2314,1)</f>
        <v>199.664422432608</v>
      </c>
      <c r="H70" s="9" t="n">
        <f aca="false">AVERAGEIFS('Allocation grid'!$J$5:$J$2314,'Allocation grid'!$B$5:$B$2314,30,'Allocation grid'!$S$5:$S$2314,1)</f>
        <v>193.059167611395</v>
      </c>
    </row>
    <row r="71" customFormat="false" ht="15" hidden="false" customHeight="false" outlineLevel="0" collapsed="false">
      <c r="A71" s="8" t="s">
        <v>271</v>
      </c>
      <c r="B71" s="9" t="n">
        <f aca="false">AVERAGEIFS('Allocation grid'!$J$5:$J$2314,'Allocation grid'!$C$5:$C$2314,0,'Allocation grid'!$S$5:$S$2314,1)</f>
        <v>199.827835961648</v>
      </c>
      <c r="C71" s="9" t="n">
        <f aca="false">AVERAGEIFS('Allocation grid'!$J$5:$J$2314,'Allocation grid'!$C$5:$C$2314,5,'Allocation grid'!$S$5:$S$2314,1)</f>
        <v>218.691440270887</v>
      </c>
      <c r="D71" s="9" t="n">
        <f aca="false">AVERAGEIFS('Allocation grid'!$J$5:$J$2314,'Allocation grid'!$C$5:$C$2314,10,'Allocation grid'!$S$5:$S$2314,1)</f>
        <v>230.427042273273</v>
      </c>
      <c r="E71" s="9" t="n">
        <f aca="false">AVERAGEIFS('Allocation grid'!$J$5:$J$2314,'Allocation grid'!$C$5:$C$2314,15,'Allocation grid'!$S$5:$S$2314,1)</f>
        <v>231.744024713802</v>
      </c>
      <c r="F71" s="9" t="n">
        <f aca="false">AVERAGEIFS('Allocation grid'!$J$5:$J$2314,'Allocation grid'!$C$5:$C$2314,20,'Allocation grid'!$S$5:$S$2314,1)</f>
        <v>230.794347185488</v>
      </c>
      <c r="G71" s="9" t="n">
        <f aca="false">AVERAGEIFS('Allocation grid'!$J$5:$J$2314,'Allocation grid'!$C$5:$C$2314,25,'Allocation grid'!$S$5:$S$2314,1)</f>
        <v>227.200979872918</v>
      </c>
      <c r="H71" s="9" t="n">
        <f aca="false">AVERAGEIFS('Allocation grid'!$J$5:$J$2314,'Allocation grid'!$C$5:$C$2314,30,'Allocation grid'!$S$5:$S$2314,1)</f>
        <v>220.943888387599</v>
      </c>
    </row>
    <row r="72" customFormat="false" ht="15" hidden="false" customHeight="false" outlineLevel="0" collapsed="false">
      <c r="A72" s="8" t="s">
        <v>272</v>
      </c>
      <c r="B72" s="9" t="n">
        <f aca="false">AVERAGEIFS('Allocation grid'!$J$5:$J$2314,'Allocation grid'!$D$5:$D$2314,0,'Allocation grid'!$S$5:$S$2314,1)</f>
        <v>212.228114482388</v>
      </c>
      <c r="C72" s="9" t="n">
        <f aca="false">AVERAGEIFS('Allocation grid'!$J$5:$J$2314,'Allocation grid'!$D$5:$D$2314,5,'Allocation grid'!$S$5:$S$2314,1)</f>
        <v>215.659013907475</v>
      </c>
      <c r="D72" s="9" t="n">
        <f aca="false">AVERAGEIFS('Allocation grid'!$J$5:$J$2314,'Allocation grid'!$D$5:$D$2314,10,'Allocation grid'!$S$5:$S$2314,1)</f>
        <v>215.519589003689</v>
      </c>
      <c r="E72" s="9" t="n">
        <f aca="false">AVERAGEIFS('Allocation grid'!$J$5:$J$2314,'Allocation grid'!$D$5:$D$2314,15,'Allocation grid'!$S$5:$S$2314,1)</f>
        <v>212.238813022636</v>
      </c>
      <c r="F72" s="9" t="n">
        <f aca="false">AVERAGEIFS('Allocation grid'!$J$5:$J$2314,'Allocation grid'!$D$5:$D$2314,20,'Allocation grid'!$S$5:$S$2314,1)</f>
        <v>208.489423274881</v>
      </c>
      <c r="G72" s="9" t="n">
        <f aca="false">AVERAGEIFS('Allocation grid'!$J$5:$J$2314,'Allocation grid'!$D$5:$D$2314,25,'Allocation grid'!$S$5:$S$2314,1)</f>
        <v>200.442249272765</v>
      </c>
      <c r="H72" s="9" t="n">
        <f aca="false">AVERAGEIFS('Allocation grid'!$J$5:$J$2314,'Allocation grid'!$D$5:$D$2314,30,'Allocation grid'!$S$5:$S$2314,1)</f>
        <v>193.542770543562</v>
      </c>
    </row>
    <row r="73" customFormat="false" ht="15" hidden="false" customHeight="false" outlineLevel="0" collapsed="false">
      <c r="A73" s="8" t="s">
        <v>68</v>
      </c>
      <c r="B73" s="9" t="n">
        <f aca="false">AVERAGEIFS('Allocation grid'!$J$5:$J$2314,'Allocation grid'!$E$5:$E$2314,0,'Allocation grid'!$S$5:$S$2314,1)</f>
        <v>216.402008097251</v>
      </c>
      <c r="C73" s="9" t="n">
        <f aca="false">AVERAGEIFS('Allocation grid'!$J$5:$J$2314,'Allocation grid'!$E$5:$E$2314,5,'Allocation grid'!$S$5:$S$2314,1)</f>
        <v>214.222159257643</v>
      </c>
      <c r="D73" s="9" t="n">
        <f aca="false">AVERAGEIFS('Allocation grid'!$J$5:$J$2314,'Allocation grid'!$E$5:$E$2314,10,'Allocation grid'!$S$5:$S$2314,1)</f>
        <v>210.423286610449</v>
      </c>
      <c r="E73" s="9" t="n">
        <f aca="false">AVERAGEIFS('Allocation grid'!$J$5:$J$2314,'Allocation grid'!$E$5:$E$2314,15,'Allocation grid'!$S$5:$S$2314,1)</f>
        <v>206.059560030893</v>
      </c>
      <c r="F73" s="9" t="n">
        <f aca="false">AVERAGEIFS('Allocation grid'!$J$5:$J$2314,'Allocation grid'!$E$5:$E$2314,20,'Allocation grid'!$S$5:$S$2314,1)</f>
        <v>201.950841510122</v>
      </c>
      <c r="G73" s="9" t="n">
        <f aca="false">AVERAGEIFS('Allocation grid'!$J$5:$J$2314,'Allocation grid'!$E$5:$E$2314,25,'Allocation grid'!$S$5:$S$2314,1)</f>
        <v>196.120057405228</v>
      </c>
      <c r="H73" s="9" t="n">
        <f aca="false">AVERAGEIFS('Allocation grid'!$J$5:$J$2314,'Allocation grid'!$E$5:$E$2314,30,'Allocation grid'!$S$5:$S$2314,1)</f>
        <v>190.773505347924</v>
      </c>
    </row>
    <row r="74" customFormat="false" ht="15" hidden="false" customHeight="false" outlineLevel="0" collapsed="false">
      <c r="A74" s="8" t="s">
        <v>287</v>
      </c>
      <c r="B74" s="9" t="n">
        <f aca="false">AVERAGEIFS('Allocation grid'!$J$5:$J$2314,'Allocation grid'!$F$5:$F$2314,0,'Allocation grid'!$S$5:$S$2314,1)</f>
        <v>218.535203605585</v>
      </c>
      <c r="C74" s="9" t="n">
        <f aca="false">AVERAGEIFS('Allocation grid'!$J$5:$J$2314,'Allocation grid'!$F$5:$F$2314,5,'Allocation grid'!$S$5:$S$2314,1)</f>
        <v>214.533971602183</v>
      </c>
      <c r="D74" s="9" t="n">
        <f aca="false">AVERAGEIFS('Allocation grid'!$J$5:$J$2314,'Allocation grid'!$F$5:$F$2314,10,'Allocation grid'!$S$5:$S$2314,1)</f>
        <v>208.677277701069</v>
      </c>
      <c r="E74" s="9" t="n">
        <f aca="false">AVERAGEIFS('Allocation grid'!$J$5:$J$2314,'Allocation grid'!$F$5:$F$2314,15,'Allocation grid'!$S$5:$S$2314,1)</f>
        <v>201.447531561381</v>
      </c>
      <c r="F74" s="9" t="n">
        <f aca="false">AVERAGEIFS('Allocation grid'!$J$5:$J$2314,'Allocation grid'!$F$5:$F$2314,20,'Allocation grid'!$S$5:$S$2314,1)</f>
        <v>192.617046347692</v>
      </c>
      <c r="G74" s="9" t="n">
        <f aca="false">AVERAGEIFS('Allocation grid'!$J$5:$J$2314,'Allocation grid'!$F$5:$F$2314,25,'Allocation grid'!$S$5:$S$2314,1)</f>
        <v>185.492618024155</v>
      </c>
      <c r="H74" s="9" t="n">
        <f aca="false">AVERAGEIFS('Allocation grid'!$J$5:$J$2314,'Allocation grid'!$F$5:$F$2314,30,'Allocation grid'!$S$5:$S$2314,1)</f>
        <v>180.299837617188</v>
      </c>
    </row>
    <row r="76" customFormat="false" ht="15" hidden="false" customHeight="false" outlineLevel="0" collapsed="false">
      <c r="A76" s="3" t="s">
        <v>290</v>
      </c>
    </row>
    <row r="77" customFormat="false" ht="30" hidden="false" customHeight="true" outlineLevel="0" collapsed="false">
      <c r="A77" s="7" t="s">
        <v>255</v>
      </c>
      <c r="B77" s="7" t="s">
        <v>291</v>
      </c>
      <c r="C77" s="7" t="s">
        <v>292</v>
      </c>
      <c r="D77" s="7" t="s">
        <v>293</v>
      </c>
      <c r="E77" s="7" t="s">
        <v>294</v>
      </c>
      <c r="F77" s="7" t="s">
        <v>295</v>
      </c>
      <c r="G77" s="7" t="s">
        <v>296</v>
      </c>
      <c r="H77" s="7" t="s">
        <v>297</v>
      </c>
    </row>
    <row r="78" customFormat="false" ht="30" hidden="false" customHeight="true" outlineLevel="0" collapsed="false">
      <c r="A78" s="5" t="s">
        <v>37</v>
      </c>
      <c r="B78" s="5" t="n">
        <v>17</v>
      </c>
      <c r="C78" s="5" t="s">
        <v>298</v>
      </c>
      <c r="D78" s="5" t="s">
        <v>299</v>
      </c>
      <c r="E78" s="5" t="n">
        <v>28</v>
      </c>
      <c r="F78" s="5" t="s">
        <v>300</v>
      </c>
      <c r="G78" s="5" t="s">
        <v>298</v>
      </c>
      <c r="H78" s="5" t="s">
        <v>301</v>
      </c>
    </row>
    <row r="79" customFormat="false" ht="30" hidden="false" customHeight="true" outlineLevel="0" collapsed="false">
      <c r="A79" s="5" t="s">
        <v>42</v>
      </c>
      <c r="B79" s="5" t="n">
        <v>21</v>
      </c>
      <c r="C79" s="5" t="s">
        <v>302</v>
      </c>
      <c r="D79" s="5" t="s">
        <v>303</v>
      </c>
      <c r="E79" s="5" t="n">
        <v>26</v>
      </c>
      <c r="F79" s="5" t="s">
        <v>304</v>
      </c>
      <c r="G79" s="5" t="s">
        <v>305</v>
      </c>
      <c r="H79" s="5" t="s">
        <v>306</v>
      </c>
    </row>
    <row r="80" customFormat="false" ht="30" hidden="false" customHeight="true" outlineLevel="0" collapsed="false">
      <c r="A80" s="5" t="s">
        <v>271</v>
      </c>
      <c r="B80" s="5" t="n">
        <v>27</v>
      </c>
      <c r="C80" s="5" t="s">
        <v>307</v>
      </c>
      <c r="D80" s="5" t="s">
        <v>308</v>
      </c>
      <c r="E80" s="5" t="n">
        <v>32</v>
      </c>
      <c r="F80" s="5" t="s">
        <v>309</v>
      </c>
      <c r="G80" s="5" t="s">
        <v>305</v>
      </c>
      <c r="H80" s="5" t="s">
        <v>310</v>
      </c>
    </row>
    <row r="81" customFormat="false" ht="30" hidden="false" customHeight="true" outlineLevel="0" collapsed="false">
      <c r="A81" s="5" t="s">
        <v>272</v>
      </c>
      <c r="B81" s="5" t="n">
        <v>13</v>
      </c>
      <c r="C81" s="5" t="s">
        <v>311</v>
      </c>
      <c r="D81" s="5" t="s">
        <v>299</v>
      </c>
      <c r="E81" s="5" t="n">
        <v>16</v>
      </c>
      <c r="F81" s="5" t="s">
        <v>309</v>
      </c>
      <c r="G81" s="5" t="s">
        <v>312</v>
      </c>
      <c r="H81" s="5" t="s">
        <v>313</v>
      </c>
    </row>
    <row r="82" customFormat="false" ht="30" hidden="false" customHeight="true" outlineLevel="0" collapsed="false">
      <c r="A82" s="5" t="s">
        <v>314</v>
      </c>
      <c r="B82" s="5" t="n">
        <v>17</v>
      </c>
      <c r="C82" s="5" t="s">
        <v>315</v>
      </c>
      <c r="D82" s="5" t="s">
        <v>308</v>
      </c>
      <c r="E82" s="5" t="n">
        <v>22</v>
      </c>
      <c r="F82" s="5" t="s">
        <v>300</v>
      </c>
      <c r="G82" s="5" t="s">
        <v>298</v>
      </c>
      <c r="H82" s="5" t="s">
        <v>316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93F3B"/>
    <pageSetUpPr fitToPage="true"/>
  </sheetPr>
  <dimension ref="A1:I1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13"/>
    <col collapsed="false" customWidth="true" hidden="false" outlineLevel="0" max="5" min="5" style="0" width="60"/>
    <col collapsed="false" customWidth="true" hidden="false" outlineLevel="0" max="17" min="6" style="0" width="13"/>
  </cols>
  <sheetData>
    <row r="1" customFormat="false" ht="17.35" hidden="false" customHeight="false" outlineLevel="0" collapsed="false">
      <c r="A1" s="1" t="s">
        <v>317</v>
      </c>
    </row>
    <row r="2" customFormat="false" ht="15" hidden="false" customHeight="false" outlineLevel="0" collapsed="false">
      <c r="A2" s="2" t="s">
        <v>318</v>
      </c>
    </row>
    <row r="4" customFormat="false" ht="15" hidden="false" customHeight="false" outlineLevel="0" collapsed="false">
      <c r="A4" s="3" t="s">
        <v>319</v>
      </c>
    </row>
    <row r="5" customFormat="false" ht="30" hidden="false" customHeight="true" outlineLevel="0" collapsed="false">
      <c r="A5" s="7" t="s">
        <v>320</v>
      </c>
      <c r="B5" s="7" t="s">
        <v>37</v>
      </c>
      <c r="C5" s="7" t="s">
        <v>42</v>
      </c>
      <c r="D5" s="7" t="s">
        <v>68</v>
      </c>
      <c r="E5" s="7" t="s">
        <v>211</v>
      </c>
      <c r="F5" s="7" t="s">
        <v>321</v>
      </c>
      <c r="G5" s="7" t="s">
        <v>322</v>
      </c>
    </row>
    <row r="6" customFormat="false" ht="15" hidden="false" customHeight="false" outlineLevel="0" collapsed="false">
      <c r="A6" s="8" t="s">
        <v>270</v>
      </c>
      <c r="B6" s="22" t="n">
        <v>140</v>
      </c>
      <c r="C6" s="22" t="n">
        <v>40</v>
      </c>
      <c r="D6" s="22" t="n">
        <v>16</v>
      </c>
      <c r="E6" s="22" t="n">
        <v>4</v>
      </c>
      <c r="F6" s="23" t="n">
        <f aca="false">SUM(B6:E6)</f>
        <v>200</v>
      </c>
      <c r="G6" s="11" t="n">
        <f aca="false">B6/F6</f>
        <v>0.7</v>
      </c>
    </row>
    <row r="7" customFormat="false" ht="15" hidden="false" customHeight="false" outlineLevel="0" collapsed="false">
      <c r="A7" s="8" t="s">
        <v>323</v>
      </c>
      <c r="B7" s="22" t="n">
        <v>100</v>
      </c>
      <c r="C7" s="22" t="n">
        <v>60</v>
      </c>
      <c r="D7" s="22" t="n">
        <v>25</v>
      </c>
      <c r="E7" s="22" t="n">
        <v>15</v>
      </c>
      <c r="F7" s="23" t="n">
        <f aca="false">SUM(B7:E7)</f>
        <v>200</v>
      </c>
      <c r="G7" s="11" t="n">
        <f aca="false">B7/F7</f>
        <v>0.5</v>
      </c>
    </row>
    <row r="8" customFormat="false" ht="15" hidden="false" customHeight="false" outlineLevel="0" collapsed="false">
      <c r="A8" s="8" t="s">
        <v>324</v>
      </c>
      <c r="B8" s="22" t="n">
        <v>80</v>
      </c>
      <c r="C8" s="22" t="n">
        <v>70</v>
      </c>
      <c r="D8" s="22" t="n">
        <v>30</v>
      </c>
      <c r="E8" s="22" t="n">
        <v>20</v>
      </c>
      <c r="F8" s="23" t="n">
        <f aca="false">SUM(B8:E8)</f>
        <v>200</v>
      </c>
      <c r="G8" s="11" t="n">
        <f aca="false">B8/F8</f>
        <v>0.4</v>
      </c>
    </row>
    <row r="10" customFormat="false" ht="15" hidden="false" customHeight="false" outlineLevel="0" collapsed="false">
      <c r="A10" s="3" t="s">
        <v>325</v>
      </c>
    </row>
    <row r="11" customFormat="false" ht="15" hidden="false" customHeight="false" outlineLevel="0" collapsed="false">
      <c r="A11" s="2" t="s">
        <v>326</v>
      </c>
    </row>
    <row r="12" customFormat="false" ht="30" hidden="false" customHeight="true" outlineLevel="0" collapsed="false">
      <c r="A12" s="7" t="s">
        <v>327</v>
      </c>
      <c r="B12" s="7" t="s">
        <v>328</v>
      </c>
      <c r="C12" s="7" t="s">
        <v>329</v>
      </c>
      <c r="D12" s="7" t="s">
        <v>228</v>
      </c>
      <c r="E12" s="7" t="s">
        <v>330</v>
      </c>
    </row>
    <row r="13" customFormat="false" ht="15" hidden="false" customHeight="false" outlineLevel="0" collapsed="false">
      <c r="A13" s="8" t="s">
        <v>331</v>
      </c>
      <c r="B13" s="8" t="s">
        <v>332</v>
      </c>
      <c r="C13" s="9" t="n">
        <v>140</v>
      </c>
      <c r="D13" s="9" t="n">
        <v>139.628192258315</v>
      </c>
      <c r="E13" s="9" t="n">
        <f aca="false">D13-C13</f>
        <v>-0.371807741684592</v>
      </c>
    </row>
    <row r="14" customFormat="false" ht="15" hidden="false" customHeight="false" outlineLevel="0" collapsed="false">
      <c r="A14" s="8" t="s">
        <v>331</v>
      </c>
      <c r="B14" s="8" t="s">
        <v>333</v>
      </c>
      <c r="C14" s="9" t="n">
        <v>40</v>
      </c>
      <c r="D14" s="9" t="n">
        <v>39.9957826279162</v>
      </c>
      <c r="E14" s="9" t="n">
        <f aca="false">D14-C14</f>
        <v>-0.00421737208378659</v>
      </c>
    </row>
    <row r="15" customFormat="false" ht="15" hidden="false" customHeight="false" outlineLevel="0" collapsed="false">
      <c r="A15" s="8" t="s">
        <v>331</v>
      </c>
      <c r="B15" s="8" t="s">
        <v>334</v>
      </c>
      <c r="C15" s="9" t="n">
        <v>16</v>
      </c>
      <c r="D15" s="9" t="n">
        <v>15.9971455440685</v>
      </c>
      <c r="E15" s="9" t="n">
        <f aca="false">D15-C15</f>
        <v>-0.00285445593148026</v>
      </c>
    </row>
    <row r="16" customFormat="false" ht="15" hidden="false" customHeight="false" outlineLevel="0" collapsed="false">
      <c r="A16" s="8" t="s">
        <v>331</v>
      </c>
      <c r="B16" s="8" t="s">
        <v>335</v>
      </c>
      <c r="C16" s="9" t="n">
        <v>4</v>
      </c>
      <c r="D16" s="9" t="n">
        <v>4</v>
      </c>
      <c r="E16" s="9" t="n">
        <f aca="false">D16-C16</f>
        <v>0</v>
      </c>
    </row>
    <row r="17" customFormat="false" ht="15" hidden="false" customHeight="false" outlineLevel="0" collapsed="false">
      <c r="A17" s="8" t="s">
        <v>331</v>
      </c>
      <c r="B17" s="8" t="s">
        <v>336</v>
      </c>
      <c r="C17" s="9" t="n">
        <v>30</v>
      </c>
      <c r="D17" s="9" t="n">
        <v>29.7193191084103</v>
      </c>
      <c r="E17" s="9" t="n">
        <f aca="false">D17-C17</f>
        <v>-0.280680891589672</v>
      </c>
    </row>
    <row r="18" customFormat="false" ht="15" hidden="false" customHeight="false" outlineLevel="0" collapsed="false">
      <c r="A18" s="8" t="s">
        <v>337</v>
      </c>
      <c r="B18" s="8" t="s">
        <v>332</v>
      </c>
      <c r="C18" s="9" t="n">
        <v>100</v>
      </c>
      <c r="D18" s="9" t="n">
        <v>108.96410322819</v>
      </c>
      <c r="E18" s="20" t="n">
        <f aca="false">D18-C18</f>
        <v>8.9641032281903</v>
      </c>
    </row>
    <row r="19" customFormat="false" ht="15" hidden="false" customHeight="false" outlineLevel="0" collapsed="false">
      <c r="A19" s="8" t="s">
        <v>337</v>
      </c>
      <c r="B19" s="8" t="s">
        <v>333</v>
      </c>
      <c r="C19" s="9" t="n">
        <v>60</v>
      </c>
      <c r="D19" s="9" t="n">
        <v>57.4621568066282</v>
      </c>
      <c r="E19" s="20" t="n">
        <f aca="false">D19-C19</f>
        <v>-2.53784319337179</v>
      </c>
    </row>
    <row r="20" customFormat="false" ht="15" hidden="false" customHeight="false" outlineLevel="0" collapsed="false">
      <c r="A20" s="8" t="s">
        <v>337</v>
      </c>
      <c r="B20" s="8" t="s">
        <v>334</v>
      </c>
      <c r="C20" s="9" t="n">
        <v>25</v>
      </c>
      <c r="D20" s="9" t="n">
        <v>24.3223331417866</v>
      </c>
      <c r="E20" s="20" t="n">
        <f aca="false">D20-C20</f>
        <v>-0.677666858213421</v>
      </c>
    </row>
    <row r="21" customFormat="false" ht="15" hidden="false" customHeight="false" outlineLevel="0" collapsed="false">
      <c r="A21" s="8" t="s">
        <v>337</v>
      </c>
      <c r="B21" s="8" t="s">
        <v>335</v>
      </c>
      <c r="C21" s="9" t="n">
        <v>15</v>
      </c>
      <c r="D21" s="9" t="n">
        <v>11.8791369004228</v>
      </c>
      <c r="E21" s="20" t="n">
        <f aca="false">D21-C21</f>
        <v>-3.1208630995772</v>
      </c>
    </row>
    <row r="22" customFormat="false" ht="15" hidden="false" customHeight="false" outlineLevel="0" collapsed="false">
      <c r="A22" s="8" t="s">
        <v>337</v>
      </c>
      <c r="B22" s="8" t="s">
        <v>336</v>
      </c>
      <c r="C22" s="9" t="n">
        <v>30</v>
      </c>
      <c r="D22" s="9" t="n">
        <v>34.1917916264199</v>
      </c>
      <c r="E22" s="20" t="n">
        <f aca="false">D22-C22</f>
        <v>4.19179162641993</v>
      </c>
    </row>
    <row r="23" customFormat="false" ht="15" hidden="false" customHeight="false" outlineLevel="0" collapsed="false">
      <c r="A23" s="8" t="s">
        <v>338</v>
      </c>
      <c r="B23" s="8" t="s">
        <v>332</v>
      </c>
      <c r="C23" s="9" t="n">
        <v>100</v>
      </c>
      <c r="D23" s="9" t="n">
        <v>99.7344230416539</v>
      </c>
      <c r="E23" s="9" t="n">
        <f aca="false">D23-C23</f>
        <v>-0.265576958346102</v>
      </c>
    </row>
    <row r="24" customFormat="false" ht="15" hidden="false" customHeight="false" outlineLevel="0" collapsed="false">
      <c r="A24" s="8" t="s">
        <v>338</v>
      </c>
      <c r="B24" s="8" t="s">
        <v>333</v>
      </c>
      <c r="C24" s="9" t="n">
        <v>60</v>
      </c>
      <c r="D24" s="9" t="n">
        <v>59.9936739418743</v>
      </c>
      <c r="E24" s="9" t="n">
        <f aca="false">D24-C24</f>
        <v>-0.00632605812567988</v>
      </c>
    </row>
    <row r="25" customFormat="false" ht="15" hidden="false" customHeight="false" outlineLevel="0" collapsed="false">
      <c r="A25" s="8" t="s">
        <v>338</v>
      </c>
      <c r="B25" s="8" t="s">
        <v>334</v>
      </c>
      <c r="C25" s="9" t="n">
        <v>25</v>
      </c>
      <c r="D25" s="9" t="n">
        <v>24.9955399126071</v>
      </c>
      <c r="E25" s="9" t="n">
        <f aca="false">D25-C25</f>
        <v>-0.00446008739293902</v>
      </c>
    </row>
    <row r="26" customFormat="false" ht="15" hidden="false" customHeight="false" outlineLevel="0" collapsed="false">
      <c r="A26" s="8" t="s">
        <v>338</v>
      </c>
      <c r="B26" s="8" t="s">
        <v>335</v>
      </c>
      <c r="C26" s="9" t="n">
        <v>15</v>
      </c>
      <c r="D26" s="9" t="n">
        <v>15</v>
      </c>
      <c r="E26" s="9" t="n">
        <f aca="false">D26-C26</f>
        <v>0</v>
      </c>
    </row>
    <row r="27" customFormat="false" ht="15" hidden="false" customHeight="false" outlineLevel="0" collapsed="false">
      <c r="A27" s="8" t="s">
        <v>338</v>
      </c>
      <c r="B27" s="8" t="s">
        <v>336</v>
      </c>
      <c r="C27" s="9" t="n">
        <v>30</v>
      </c>
      <c r="D27" s="9" t="n">
        <v>29.7964762571835</v>
      </c>
      <c r="E27" s="9" t="n">
        <f aca="false">D27-C27</f>
        <v>-0.20352374281649</v>
      </c>
    </row>
    <row r="28" customFormat="false" ht="15" hidden="false" customHeight="false" outlineLevel="0" collapsed="false">
      <c r="A28" s="8" t="s">
        <v>339</v>
      </c>
      <c r="B28" s="8" t="s">
        <v>332</v>
      </c>
      <c r="C28" s="9" t="n">
        <v>100</v>
      </c>
      <c r="D28" s="9" t="n">
        <v>99.7344230416539</v>
      </c>
      <c r="E28" s="9" t="n">
        <f aca="false">D28-C28</f>
        <v>-0.265576958346102</v>
      </c>
    </row>
    <row r="29" customFormat="false" ht="15" hidden="false" customHeight="false" outlineLevel="0" collapsed="false">
      <c r="A29" s="8" t="s">
        <v>339</v>
      </c>
      <c r="B29" s="8" t="s">
        <v>333</v>
      </c>
      <c r="C29" s="9" t="n">
        <v>60</v>
      </c>
      <c r="D29" s="9" t="n">
        <v>59.9936739418743</v>
      </c>
      <c r="E29" s="9" t="n">
        <f aca="false">D29-C29</f>
        <v>-0.00632605812567988</v>
      </c>
    </row>
    <row r="30" customFormat="false" ht="15" hidden="false" customHeight="false" outlineLevel="0" collapsed="false">
      <c r="A30" s="8" t="s">
        <v>339</v>
      </c>
      <c r="B30" s="8" t="s">
        <v>334</v>
      </c>
      <c r="C30" s="9" t="n">
        <v>25</v>
      </c>
      <c r="D30" s="9" t="n">
        <v>24.9955399126071</v>
      </c>
      <c r="E30" s="9" t="n">
        <f aca="false">D30-C30</f>
        <v>-0.00446008739293902</v>
      </c>
    </row>
    <row r="31" customFormat="false" ht="15" hidden="false" customHeight="false" outlineLevel="0" collapsed="false">
      <c r="A31" s="8" t="s">
        <v>339</v>
      </c>
      <c r="B31" s="8" t="s">
        <v>335</v>
      </c>
      <c r="C31" s="9" t="n">
        <v>15</v>
      </c>
      <c r="D31" s="9" t="n">
        <v>15</v>
      </c>
      <c r="E31" s="9" t="n">
        <f aca="false">D31-C31</f>
        <v>0</v>
      </c>
    </row>
    <row r="32" customFormat="false" ht="15" hidden="false" customHeight="false" outlineLevel="0" collapsed="false">
      <c r="A32" s="8" t="s">
        <v>339</v>
      </c>
      <c r="B32" s="8" t="s">
        <v>336</v>
      </c>
      <c r="C32" s="9" t="n">
        <v>30</v>
      </c>
      <c r="D32" s="9" t="n">
        <v>29.7964762571835</v>
      </c>
      <c r="E32" s="9" t="n">
        <f aca="false">D32-C32</f>
        <v>-0.20352374281649</v>
      </c>
    </row>
    <row r="33" customFormat="false" ht="15" hidden="false" customHeight="false" outlineLevel="0" collapsed="false">
      <c r="A33" s="8" t="s">
        <v>340</v>
      </c>
      <c r="B33" s="8" t="s">
        <v>332</v>
      </c>
      <c r="C33" s="9" t="n">
        <v>80</v>
      </c>
      <c r="D33" s="9" t="n">
        <v>93.6320587131278</v>
      </c>
      <c r="E33" s="20" t="n">
        <f aca="false">D33-C33</f>
        <v>13.6320587131277</v>
      </c>
    </row>
    <row r="34" customFormat="false" ht="15" hidden="false" customHeight="false" outlineLevel="0" collapsed="false">
      <c r="A34" s="8" t="s">
        <v>340</v>
      </c>
      <c r="B34" s="8" t="s">
        <v>333</v>
      </c>
      <c r="C34" s="9" t="n">
        <v>70</v>
      </c>
      <c r="D34" s="9" t="n">
        <v>66.1953438959842</v>
      </c>
      <c r="E34" s="20" t="n">
        <f aca="false">D34-C34</f>
        <v>-3.80465610401581</v>
      </c>
    </row>
    <row r="35" customFormat="false" ht="15" hidden="false" customHeight="false" outlineLevel="0" collapsed="false">
      <c r="A35" s="8" t="s">
        <v>340</v>
      </c>
      <c r="B35" s="8" t="s">
        <v>334</v>
      </c>
      <c r="C35" s="9" t="n">
        <v>30</v>
      </c>
      <c r="D35" s="9" t="n">
        <v>28.9474373627411</v>
      </c>
      <c r="E35" s="20" t="n">
        <f aca="false">D35-C35</f>
        <v>-1.05256263725894</v>
      </c>
    </row>
    <row r="36" customFormat="false" ht="15" hidden="false" customHeight="false" outlineLevel="0" collapsed="false">
      <c r="A36" s="8" t="s">
        <v>340</v>
      </c>
      <c r="B36" s="8" t="s">
        <v>335</v>
      </c>
      <c r="C36" s="9" t="n">
        <v>20</v>
      </c>
      <c r="D36" s="9" t="n">
        <v>15.4605627642514</v>
      </c>
      <c r="E36" s="20" t="n">
        <f aca="false">D36-C36</f>
        <v>-4.53943723574865</v>
      </c>
    </row>
    <row r="37" customFormat="false" ht="15" hidden="false" customHeight="false" outlineLevel="0" collapsed="false">
      <c r="A37" s="8" t="s">
        <v>340</v>
      </c>
      <c r="B37" s="8" t="s">
        <v>336</v>
      </c>
      <c r="C37" s="9" t="n">
        <v>30</v>
      </c>
      <c r="D37" s="9" t="n">
        <v>36.4838625152279</v>
      </c>
      <c r="E37" s="20" t="n">
        <f aca="false">D37-C37</f>
        <v>6.48386251522794</v>
      </c>
    </row>
    <row r="38" customFormat="false" ht="15" hidden="false" customHeight="false" outlineLevel="0" collapsed="false">
      <c r="A38" s="8" t="s">
        <v>341</v>
      </c>
      <c r="B38" s="8" t="s">
        <v>332</v>
      </c>
      <c r="C38" s="9" t="n">
        <v>80</v>
      </c>
      <c r="D38" s="9" t="n">
        <v>79.7875384333231</v>
      </c>
      <c r="E38" s="9" t="n">
        <f aca="false">D38-C38</f>
        <v>-0.212461566676879</v>
      </c>
    </row>
    <row r="39" customFormat="false" ht="15" hidden="false" customHeight="false" outlineLevel="0" collapsed="false">
      <c r="A39" s="8" t="s">
        <v>341</v>
      </c>
      <c r="B39" s="8" t="s">
        <v>333</v>
      </c>
      <c r="C39" s="9" t="n">
        <v>70</v>
      </c>
      <c r="D39" s="9" t="n">
        <v>69.9926195988534</v>
      </c>
      <c r="E39" s="9" t="n">
        <f aca="false">D39-C39</f>
        <v>-0.00738040114663363</v>
      </c>
    </row>
    <row r="40" customFormat="false" ht="15" hidden="false" customHeight="false" outlineLevel="0" collapsed="false">
      <c r="A40" s="8" t="s">
        <v>341</v>
      </c>
      <c r="B40" s="8" t="s">
        <v>334</v>
      </c>
      <c r="C40" s="9" t="n">
        <v>30</v>
      </c>
      <c r="D40" s="9" t="n">
        <v>29.9946478951285</v>
      </c>
      <c r="E40" s="9" t="n">
        <f aca="false">D40-C40</f>
        <v>-0.00535210487151971</v>
      </c>
    </row>
    <row r="41" customFormat="false" ht="15" hidden="false" customHeight="false" outlineLevel="0" collapsed="false">
      <c r="A41" s="8" t="s">
        <v>341</v>
      </c>
      <c r="B41" s="8" t="s">
        <v>335</v>
      </c>
      <c r="C41" s="9" t="n">
        <v>20</v>
      </c>
      <c r="D41" s="9" t="n">
        <v>20</v>
      </c>
      <c r="E41" s="9" t="n">
        <f aca="false">D41-C41</f>
        <v>0</v>
      </c>
    </row>
    <row r="42" customFormat="false" ht="15" hidden="false" customHeight="false" outlineLevel="0" collapsed="false">
      <c r="A42" s="8" t="s">
        <v>341</v>
      </c>
      <c r="B42" s="8" t="s">
        <v>336</v>
      </c>
      <c r="C42" s="9" t="n">
        <v>30</v>
      </c>
      <c r="D42" s="9" t="n">
        <v>29.8349834701718</v>
      </c>
      <c r="E42" s="9" t="n">
        <f aca="false">D42-C42</f>
        <v>-0.165016529828161</v>
      </c>
    </row>
    <row r="43" customFormat="false" ht="15" hidden="false" customHeight="false" outlineLevel="0" collapsed="false">
      <c r="A43" s="8" t="s">
        <v>342</v>
      </c>
      <c r="B43" s="8" t="s">
        <v>332</v>
      </c>
      <c r="C43" s="9" t="n">
        <v>80</v>
      </c>
      <c r="D43" s="9" t="n">
        <v>79.7875384333231</v>
      </c>
      <c r="E43" s="9" t="n">
        <f aca="false">D43-C43</f>
        <v>-0.212461566676879</v>
      </c>
    </row>
    <row r="44" customFormat="false" ht="15" hidden="false" customHeight="false" outlineLevel="0" collapsed="false">
      <c r="A44" s="8" t="s">
        <v>342</v>
      </c>
      <c r="B44" s="8" t="s">
        <v>333</v>
      </c>
      <c r="C44" s="9" t="n">
        <v>70</v>
      </c>
      <c r="D44" s="9" t="n">
        <v>69.9926195988534</v>
      </c>
      <c r="E44" s="9" t="n">
        <f aca="false">D44-C44</f>
        <v>-0.00738040114663363</v>
      </c>
    </row>
    <row r="45" customFormat="false" ht="15" hidden="false" customHeight="false" outlineLevel="0" collapsed="false">
      <c r="A45" s="8" t="s">
        <v>342</v>
      </c>
      <c r="B45" s="8" t="s">
        <v>334</v>
      </c>
      <c r="C45" s="9" t="n">
        <v>30</v>
      </c>
      <c r="D45" s="9" t="n">
        <v>29.9946478951285</v>
      </c>
      <c r="E45" s="9" t="n">
        <f aca="false">D45-C45</f>
        <v>-0.00535210487151971</v>
      </c>
    </row>
    <row r="46" customFormat="false" ht="15" hidden="false" customHeight="false" outlineLevel="0" collapsed="false">
      <c r="A46" s="8" t="s">
        <v>342</v>
      </c>
      <c r="B46" s="8" t="s">
        <v>335</v>
      </c>
      <c r="C46" s="9" t="n">
        <v>20</v>
      </c>
      <c r="D46" s="9" t="n">
        <v>20</v>
      </c>
      <c r="E46" s="9" t="n">
        <f aca="false">D46-C46</f>
        <v>0</v>
      </c>
    </row>
    <row r="47" customFormat="false" ht="15" hidden="false" customHeight="false" outlineLevel="0" collapsed="false">
      <c r="A47" s="8" t="s">
        <v>342</v>
      </c>
      <c r="B47" s="8" t="s">
        <v>336</v>
      </c>
      <c r="C47" s="9" t="n">
        <v>30</v>
      </c>
      <c r="D47" s="9" t="n">
        <v>29.8349834701718</v>
      </c>
      <c r="E47" s="9" t="n">
        <f aca="false">D47-C47</f>
        <v>-0.165016529828161</v>
      </c>
    </row>
    <row r="49" customFormat="false" ht="15" hidden="false" customHeight="false" outlineLevel="0" collapsed="false">
      <c r="A49" s="3" t="s">
        <v>343</v>
      </c>
    </row>
    <row r="50" customFormat="false" ht="15" hidden="false" customHeight="false" outlineLevel="0" collapsed="false">
      <c r="A50" s="2" t="s">
        <v>344</v>
      </c>
    </row>
    <row r="51" customFormat="false" ht="30" hidden="false" customHeight="true" outlineLevel="0" collapsed="false">
      <c r="A51" s="7" t="s">
        <v>345</v>
      </c>
      <c r="B51" s="7" t="s">
        <v>346</v>
      </c>
      <c r="C51" s="7" t="s">
        <v>347</v>
      </c>
      <c r="D51" s="7" t="s">
        <v>348</v>
      </c>
      <c r="E51" s="7" t="s">
        <v>349</v>
      </c>
    </row>
    <row r="52" customFormat="false" ht="30" hidden="false" customHeight="true" outlineLevel="0" collapsed="false">
      <c r="A52" s="5" t="s">
        <v>350</v>
      </c>
      <c r="B52" s="5" t="s">
        <v>351</v>
      </c>
      <c r="C52" s="5" t="s">
        <v>352</v>
      </c>
      <c r="D52" s="5" t="s">
        <v>353</v>
      </c>
      <c r="E52" s="5" t="s">
        <v>354</v>
      </c>
    </row>
    <row r="53" customFormat="false" ht="30" hidden="false" customHeight="true" outlineLevel="0" collapsed="false">
      <c r="A53" s="5" t="s">
        <v>355</v>
      </c>
      <c r="B53" s="24" t="n">
        <v>6.3</v>
      </c>
      <c r="C53" s="24" t="n">
        <v>4.5</v>
      </c>
      <c r="D53" s="24" t="n">
        <v>3.6</v>
      </c>
      <c r="E53" s="5" t="s">
        <v>356</v>
      </c>
    </row>
    <row r="54" customFormat="false" ht="30" hidden="false" customHeight="true" outlineLevel="0" collapsed="false">
      <c r="A54" s="5" t="s">
        <v>357</v>
      </c>
      <c r="B54" s="24" t="n">
        <v>6.3</v>
      </c>
      <c r="C54" s="24" t="n">
        <v>4.5</v>
      </c>
      <c r="D54" s="24" t="n">
        <v>3.6</v>
      </c>
      <c r="E54" s="5" t="s">
        <v>358</v>
      </c>
    </row>
    <row r="55" customFormat="false" ht="30" hidden="false" customHeight="true" outlineLevel="0" collapsed="false">
      <c r="A55" s="5" t="s">
        <v>359</v>
      </c>
      <c r="B55" s="24" t="n">
        <v>0.04</v>
      </c>
      <c r="C55" s="24" t="n">
        <v>0.15</v>
      </c>
      <c r="D55" s="24" t="n">
        <v>0.2</v>
      </c>
      <c r="E55" s="5" t="s">
        <v>360</v>
      </c>
    </row>
    <row r="56" customFormat="false" ht="30" hidden="false" customHeight="true" outlineLevel="0" collapsed="false">
      <c r="A56" s="5" t="s">
        <v>361</v>
      </c>
      <c r="B56" s="24" t="n">
        <v>0.08</v>
      </c>
      <c r="C56" s="5" t="s">
        <v>362</v>
      </c>
      <c r="D56" s="5" t="s">
        <v>363</v>
      </c>
      <c r="E56" s="5" t="s">
        <v>364</v>
      </c>
    </row>
    <row r="57" customFormat="false" ht="30" hidden="false" customHeight="true" outlineLevel="0" collapsed="false">
      <c r="A57" s="5" t="s">
        <v>365</v>
      </c>
      <c r="B57" s="5" t="n">
        <v>24</v>
      </c>
      <c r="C57" s="5" t="n">
        <v>36</v>
      </c>
      <c r="D57" s="5" t="n">
        <v>42</v>
      </c>
      <c r="E57" s="5" t="s">
        <v>366</v>
      </c>
    </row>
    <row r="58" customFormat="false" ht="30" hidden="false" customHeight="true" outlineLevel="0" collapsed="false">
      <c r="A58" s="5" t="s">
        <v>367</v>
      </c>
      <c r="B58" s="5" t="n">
        <v>80</v>
      </c>
      <c r="C58" s="5" t="n">
        <v>120</v>
      </c>
      <c r="D58" s="5" t="n">
        <v>140</v>
      </c>
      <c r="E58" s="5" t="s">
        <v>368</v>
      </c>
    </row>
    <row r="59" customFormat="false" ht="30" hidden="false" customHeight="true" outlineLevel="0" collapsed="false">
      <c r="A59" s="5" t="s">
        <v>369</v>
      </c>
      <c r="B59" s="24" t="n">
        <v>4.8</v>
      </c>
      <c r="C59" s="24" t="n">
        <v>7.5</v>
      </c>
      <c r="D59" s="5" t="n">
        <v>9</v>
      </c>
      <c r="E59" s="5" t="s">
        <v>370</v>
      </c>
    </row>
    <row r="60" customFormat="false" ht="30" hidden="false" customHeight="true" outlineLevel="0" collapsed="false">
      <c r="A60" s="5" t="s">
        <v>371</v>
      </c>
      <c r="B60" s="5" t="n">
        <v>24</v>
      </c>
      <c r="C60" s="24" t="n">
        <v>37.5</v>
      </c>
      <c r="D60" s="5" t="n">
        <v>45</v>
      </c>
      <c r="E60" s="5" t="s">
        <v>372</v>
      </c>
    </row>
    <row r="61" customFormat="false" ht="30" hidden="false" customHeight="true" outlineLevel="0" collapsed="false">
      <c r="A61" s="5" t="s">
        <v>373</v>
      </c>
      <c r="B61" s="5" t="s">
        <v>374</v>
      </c>
      <c r="C61" s="5" t="s">
        <v>375</v>
      </c>
      <c r="D61" s="5" t="s">
        <v>375</v>
      </c>
      <c r="E61" s="5" t="s">
        <v>376</v>
      </c>
    </row>
    <row r="62" customFormat="false" ht="30" hidden="false" customHeight="true" outlineLevel="0" collapsed="false">
      <c r="A62" s="5" t="s">
        <v>377</v>
      </c>
      <c r="B62" s="24" t="n">
        <v>115.45</v>
      </c>
      <c r="C62" s="24" t="n">
        <v>119.625</v>
      </c>
      <c r="D62" s="24" t="n">
        <v>121.6875</v>
      </c>
      <c r="E62" s="5" t="s">
        <v>378</v>
      </c>
    </row>
    <row r="63" customFormat="false" ht="30" hidden="false" customHeight="true" outlineLevel="0" collapsed="false">
      <c r="A63" s="5" t="s">
        <v>379</v>
      </c>
      <c r="B63" s="5" t="s">
        <v>380</v>
      </c>
      <c r="C63" s="5" t="s">
        <v>381</v>
      </c>
      <c r="D63" s="5" t="s">
        <v>382</v>
      </c>
      <c r="E63" s="5" t="s">
        <v>383</v>
      </c>
    </row>
    <row r="64" customFormat="false" ht="15" hidden="false" customHeight="false" outlineLevel="0" collapsed="false">
      <c r="A64" s="17" t="s">
        <v>384</v>
      </c>
    </row>
    <row r="66" customFormat="false" ht="15" hidden="false" customHeight="false" outlineLevel="0" collapsed="false">
      <c r="A66" s="3" t="s">
        <v>385</v>
      </c>
    </row>
    <row r="67" customFormat="false" ht="15" hidden="false" customHeight="false" outlineLevel="0" collapsed="false">
      <c r="A67" s="2" t="s">
        <v>386</v>
      </c>
    </row>
    <row r="68" customFormat="false" ht="30" hidden="false" customHeight="true" outlineLevel="0" collapsed="false">
      <c r="A68" s="21" t="s">
        <v>387</v>
      </c>
      <c r="B68" s="7" t="s">
        <v>346</v>
      </c>
      <c r="C68" s="7" t="s">
        <v>388</v>
      </c>
      <c r="D68" s="7" t="s">
        <v>389</v>
      </c>
      <c r="E68" s="7" t="s">
        <v>390</v>
      </c>
      <c r="F68" s="7" t="s">
        <v>391</v>
      </c>
      <c r="G68" s="7" t="s">
        <v>392</v>
      </c>
      <c r="H68" s="7" t="s">
        <v>393</v>
      </c>
    </row>
    <row r="69" customFormat="false" ht="15" hidden="false" customHeight="false" outlineLevel="0" collapsed="false">
      <c r="A69" s="8" t="s">
        <v>36</v>
      </c>
      <c r="B69" s="10" t="n">
        <v>116.216235692558</v>
      </c>
      <c r="C69" s="10" t="n">
        <v>119.921124505767</v>
      </c>
      <c r="D69" s="10" t="n">
        <v>114.966283611944</v>
      </c>
      <c r="E69" s="10" t="n">
        <v>114.89392446012</v>
      </c>
      <c r="F69" s="10" t="n">
        <v>121.844925384519</v>
      </c>
      <c r="G69" s="10" t="n">
        <v>113.768362088786</v>
      </c>
      <c r="H69" s="10" t="n">
        <v>113.664283672797</v>
      </c>
    </row>
    <row r="70" customFormat="false" ht="15" hidden="false" customHeight="false" outlineLevel="0" collapsed="false">
      <c r="A70" s="8" t="s">
        <v>41</v>
      </c>
      <c r="B70" s="10" t="n">
        <v>81.785812560389</v>
      </c>
      <c r="C70" s="10" t="n">
        <v>97.5762447653839</v>
      </c>
      <c r="D70" s="10" t="n">
        <v>106.154235950886</v>
      </c>
      <c r="E70" s="10" t="n">
        <v>106.154235950886</v>
      </c>
      <c r="F70" s="10" t="n">
        <v>107.439005332839</v>
      </c>
      <c r="G70" s="10" t="n">
        <v>112.999069811933</v>
      </c>
      <c r="H70" s="10" t="n">
        <v>112.572556829509</v>
      </c>
    </row>
    <row r="71" customFormat="false" ht="15" hidden="false" customHeight="false" outlineLevel="0" collapsed="false">
      <c r="A71" s="8" t="s">
        <v>46</v>
      </c>
      <c r="B71" s="10" t="n">
        <v>148.513018511566</v>
      </c>
      <c r="C71" s="10" t="n">
        <v>151.439232266779</v>
      </c>
      <c r="D71" s="10" t="n">
        <v>182.112494537893</v>
      </c>
      <c r="E71" s="10" t="n">
        <v>155.574620917134</v>
      </c>
      <c r="F71" s="10" t="n">
        <v>152.996667506088</v>
      </c>
      <c r="G71" s="10" t="n">
        <v>180.851627570247</v>
      </c>
      <c r="H71" s="10" t="n">
        <v>157.376834641801</v>
      </c>
    </row>
    <row r="72" customFormat="false" ht="15" hidden="false" customHeight="false" outlineLevel="0" collapsed="false">
      <c r="A72" s="8" t="s">
        <v>51</v>
      </c>
      <c r="B72" s="10" t="n">
        <v>143.753308710913</v>
      </c>
      <c r="C72" s="10" t="n">
        <v>147.746772944849</v>
      </c>
      <c r="D72" s="10" t="n">
        <v>180.697970986772</v>
      </c>
      <c r="E72" s="10" t="n">
        <v>149.727720875046</v>
      </c>
      <c r="F72" s="10" t="n">
        <v>149.768166836146</v>
      </c>
      <c r="G72" s="10" t="n">
        <v>179.747523362089</v>
      </c>
      <c r="H72" s="10" t="n">
        <v>151.785179862213</v>
      </c>
    </row>
    <row r="73" customFormat="false" ht="15" hidden="false" customHeight="false" outlineLevel="0" collapsed="false">
      <c r="A73" s="8" t="s">
        <v>55</v>
      </c>
      <c r="B73" s="10" t="n">
        <v>109.882212011446</v>
      </c>
      <c r="C73" s="10" t="n">
        <v>114.418207100948</v>
      </c>
      <c r="D73" s="10" t="n">
        <v>110.216760253143</v>
      </c>
      <c r="E73" s="10" t="n">
        <v>110.216760253143</v>
      </c>
      <c r="F73" s="10" t="n">
        <v>116.741526603476</v>
      </c>
      <c r="G73" s="10" t="n">
        <v>109.843048825911</v>
      </c>
      <c r="H73" s="10" t="n">
        <v>109.843048825911</v>
      </c>
    </row>
    <row r="74" customFormat="false" ht="15" hidden="false" customHeight="false" outlineLevel="0" collapsed="false">
      <c r="A74" s="8" t="s">
        <v>59</v>
      </c>
      <c r="B74" s="10" t="n">
        <v>74.7460254168548</v>
      </c>
      <c r="C74" s="10" t="n">
        <v>95.681751905372</v>
      </c>
      <c r="D74" s="10" t="n">
        <v>95.704806743301</v>
      </c>
      <c r="E74" s="10" t="n">
        <v>95.704806743301</v>
      </c>
      <c r="F74" s="10" t="n">
        <v>108.00696864376</v>
      </c>
      <c r="G74" s="10" t="n">
        <v>111.861787289802</v>
      </c>
      <c r="H74" s="10" t="n">
        <v>111.861787289802</v>
      </c>
    </row>
    <row r="75" customFormat="false" ht="15" hidden="false" customHeight="false" outlineLevel="0" collapsed="false">
      <c r="A75" s="8" t="s">
        <v>63</v>
      </c>
      <c r="B75" s="10" t="n">
        <v>127.259220008078</v>
      </c>
      <c r="C75" s="10" t="n">
        <v>132.797851672325</v>
      </c>
      <c r="D75" s="10" t="n">
        <v>172.449956320574</v>
      </c>
      <c r="E75" s="10" t="n">
        <v>138.3522549662</v>
      </c>
      <c r="F75" s="10" t="n">
        <v>135.408969049669</v>
      </c>
      <c r="G75" s="10" t="n">
        <v>171.314313645543</v>
      </c>
      <c r="H75" s="10" t="n">
        <v>142.007874937539</v>
      </c>
    </row>
    <row r="76" customFormat="false" ht="15" hidden="false" customHeight="false" outlineLevel="0" collapsed="false">
      <c r="A76" s="8" t="s">
        <v>67</v>
      </c>
      <c r="B76" s="10" t="n">
        <v>110.903443154202</v>
      </c>
      <c r="C76" s="10" t="n">
        <v>121.447515229175</v>
      </c>
      <c r="D76" s="10" t="n">
        <v>117.52429943761</v>
      </c>
      <c r="E76" s="10" t="n">
        <v>117.52429943761</v>
      </c>
      <c r="F76" s="10" t="n">
        <v>123.353927348062</v>
      </c>
      <c r="G76" s="10" t="n">
        <v>124.942245322296</v>
      </c>
      <c r="H76" s="10" t="n">
        <v>124.942245322296</v>
      </c>
    </row>
    <row r="77" customFormat="false" ht="15" hidden="false" customHeight="false" outlineLevel="0" collapsed="false">
      <c r="A77" s="8" t="s">
        <v>72</v>
      </c>
      <c r="B77" s="10" t="n">
        <v>102.814591851321</v>
      </c>
      <c r="C77" s="10" t="n">
        <v>109.144445472538</v>
      </c>
      <c r="D77" s="10" t="n">
        <v>126.696404481738</v>
      </c>
      <c r="E77" s="10" t="n">
        <v>109.616102343846</v>
      </c>
      <c r="F77" s="10" t="n">
        <v>112.202724429275</v>
      </c>
      <c r="G77" s="10" t="n">
        <v>136.153273777896</v>
      </c>
      <c r="H77" s="10" t="n">
        <v>112.37699566521</v>
      </c>
    </row>
    <row r="78" customFormat="false" ht="15" hidden="false" customHeight="false" outlineLevel="0" collapsed="false">
      <c r="A78" s="8" t="s">
        <v>77</v>
      </c>
      <c r="B78" s="10" t="n">
        <v>148.821126742347</v>
      </c>
      <c r="C78" s="10" t="n">
        <v>153.018451958186</v>
      </c>
      <c r="D78" s="10" t="n">
        <v>181.771969094773</v>
      </c>
      <c r="E78" s="10" t="n">
        <v>155.126887040751</v>
      </c>
      <c r="F78" s="10" t="n">
        <v>155.109446232879</v>
      </c>
      <c r="G78" s="10" t="n">
        <v>180.424909052617</v>
      </c>
      <c r="H78" s="10" t="n">
        <v>156.714420786378</v>
      </c>
    </row>
    <row r="79" customFormat="false" ht="15" hidden="false" customHeight="false" outlineLevel="0" collapsed="false">
      <c r="A79" s="25" t="s">
        <v>394</v>
      </c>
      <c r="B79" s="13" t="n">
        <f aca="false">RANK(B73,B69:B78)</f>
        <v>7</v>
      </c>
      <c r="C79" s="13" t="n">
        <f aca="false">RANK(C73,C69:C78)</f>
        <v>7</v>
      </c>
      <c r="D79" s="13" t="n">
        <f aca="false">RANK(D73,D69:D78)</f>
        <v>8</v>
      </c>
      <c r="E79" s="13" t="n">
        <f aca="false">RANK(E73,E69:E78)</f>
        <v>7</v>
      </c>
      <c r="F79" s="13" t="n">
        <f aca="false">RANK(F73,F69:F78)</f>
        <v>7</v>
      </c>
      <c r="G79" s="13" t="n">
        <f aca="false">RANK(G73,G69:G78)</f>
        <v>10</v>
      </c>
      <c r="H79" s="13" t="n">
        <f aca="false">RANK(H73,H69:H78)</f>
        <v>10</v>
      </c>
    </row>
    <row r="80" customFormat="false" ht="15" hidden="false" customHeight="false" outlineLevel="0" collapsed="false">
      <c r="A80" s="25" t="s">
        <v>395</v>
      </c>
      <c r="B80" s="13" t="n">
        <f aca="false">RANK(B74,B69:B78)</f>
        <v>10</v>
      </c>
      <c r="C80" s="13" t="n">
        <f aca="false">RANK(C74,C69:C78)</f>
        <v>10</v>
      </c>
      <c r="D80" s="13" t="n">
        <f aca="false">RANK(D74,D69:D78)</f>
        <v>10</v>
      </c>
      <c r="E80" s="13" t="n">
        <f aca="false">RANK(E74,E69:E78)</f>
        <v>10</v>
      </c>
      <c r="F80" s="13" t="n">
        <f aca="false">RANK(F74,F69:F78)</f>
        <v>9</v>
      </c>
      <c r="G80" s="13" t="n">
        <f aca="false">RANK(G74,G69:G78)</f>
        <v>9</v>
      </c>
      <c r="H80" s="13" t="n">
        <f aca="false">RANK(H74,H69:H78)</f>
        <v>9</v>
      </c>
    </row>
    <row r="81" customFormat="false" ht="15" hidden="false" customHeight="false" outlineLevel="0" collapsed="false">
      <c r="A81" s="25" t="s">
        <v>396</v>
      </c>
      <c r="B81" s="10" t="n">
        <f aca="false">MAX(B69:B78)-MIN(B69:B78)</f>
        <v>74.075101325492</v>
      </c>
      <c r="C81" s="10" t="n">
        <f aca="false">MAX(C69:C78)-MIN(C69:C78)</f>
        <v>57.3367000528139</v>
      </c>
      <c r="D81" s="10" t="n">
        <f aca="false">MAX(D69:D78)-MIN(D69:D78)</f>
        <v>86.407687794592</v>
      </c>
      <c r="E81" s="10" t="n">
        <f aca="false">MAX(E69:E78)-MIN(E69:E78)</f>
        <v>59.8698141738328</v>
      </c>
      <c r="F81" s="10" t="n">
        <f aca="false">MAX(F69:F78)-MIN(F69:F78)</f>
        <v>47.6704409000402</v>
      </c>
      <c r="G81" s="10" t="n">
        <f aca="false">MAX(G69:G78)-MIN(G69:G78)</f>
        <v>71.0085787443358</v>
      </c>
      <c r="H81" s="10" t="n">
        <f aca="false">MAX(H69:H78)-MIN(H69:H78)</f>
        <v>47.5337858158906</v>
      </c>
    </row>
    <row r="83" customFormat="false" ht="30" hidden="false" customHeight="true" outlineLevel="0" collapsed="false">
      <c r="A83" s="21" t="s">
        <v>9</v>
      </c>
      <c r="B83" s="7" t="s">
        <v>346</v>
      </c>
      <c r="C83" s="7" t="s">
        <v>388</v>
      </c>
      <c r="D83" s="7" t="s">
        <v>389</v>
      </c>
      <c r="E83" s="7" t="s">
        <v>390</v>
      </c>
      <c r="F83" s="7" t="s">
        <v>391</v>
      </c>
      <c r="G83" s="7" t="s">
        <v>392</v>
      </c>
      <c r="H83" s="7" t="s">
        <v>393</v>
      </c>
    </row>
    <row r="84" customFormat="false" ht="15" hidden="false" customHeight="false" outlineLevel="0" collapsed="false">
      <c r="A84" s="8" t="s">
        <v>36</v>
      </c>
      <c r="B84" s="12" t="n">
        <v>68.0630162501727</v>
      </c>
      <c r="C84" s="12" t="n">
        <v>71.7930862243276</v>
      </c>
      <c r="D84" s="12" t="n">
        <v>70.3962067118762</v>
      </c>
      <c r="E84" s="12" t="n">
        <v>70.3833480183701</v>
      </c>
      <c r="F84" s="12" t="n">
        <v>73.1431813805906</v>
      </c>
      <c r="G84" s="12" t="n">
        <v>70.528041411462</v>
      </c>
      <c r="H84" s="12" t="n">
        <v>70.5078584623541</v>
      </c>
    </row>
    <row r="85" customFormat="false" ht="15" hidden="false" customHeight="false" outlineLevel="0" collapsed="false">
      <c r="A85" s="8" t="s">
        <v>41</v>
      </c>
      <c r="B85" s="12" t="n">
        <v>58.631731521967</v>
      </c>
      <c r="C85" s="12" t="n">
        <v>66.0552566858931</v>
      </c>
      <c r="D85" s="12" t="n">
        <v>66.0942289953947</v>
      </c>
      <c r="E85" s="12" t="n">
        <v>66.0942289953947</v>
      </c>
      <c r="F85" s="12" t="n">
        <v>70.1387480207669</v>
      </c>
      <c r="G85" s="12" t="n">
        <v>72.25006959103</v>
      </c>
      <c r="H85" s="12" t="n">
        <v>72.1642224306686</v>
      </c>
    </row>
    <row r="86" customFormat="false" ht="15" hidden="false" customHeight="false" outlineLevel="0" collapsed="false">
      <c r="A86" s="8" t="s">
        <v>46</v>
      </c>
      <c r="B86" s="12" t="n">
        <v>80.4911097263577</v>
      </c>
      <c r="C86" s="12" t="n">
        <v>83.1155657286329</v>
      </c>
      <c r="D86" s="12" t="n">
        <v>87.9929615840222</v>
      </c>
      <c r="E86" s="12" t="n">
        <v>84.9310888397531</v>
      </c>
      <c r="F86" s="12" t="n">
        <v>84.4741540681975</v>
      </c>
      <c r="G86" s="12" t="n">
        <v>88.3243989383835</v>
      </c>
      <c r="H86" s="12" t="n">
        <v>86.4643690259403</v>
      </c>
    </row>
    <row r="87" customFormat="false" ht="15" hidden="false" customHeight="false" outlineLevel="0" collapsed="false">
      <c r="A87" s="8" t="s">
        <v>51</v>
      </c>
      <c r="B87" s="12" t="n">
        <v>76.7158581337386</v>
      </c>
      <c r="C87" s="12" t="n">
        <v>79.8787951686295</v>
      </c>
      <c r="D87" s="12" t="n">
        <v>85.2568904162784</v>
      </c>
      <c r="E87" s="12" t="n">
        <v>80.7230404514233</v>
      </c>
      <c r="F87" s="12" t="n">
        <v>81.3190107301675</v>
      </c>
      <c r="G87" s="12" t="n">
        <v>85.4320033577962</v>
      </c>
      <c r="H87" s="12" t="n">
        <v>82.3621667717932</v>
      </c>
    </row>
    <row r="88" customFormat="false" ht="15" hidden="false" customHeight="false" outlineLevel="0" collapsed="false">
      <c r="A88" s="8" t="s">
        <v>55</v>
      </c>
      <c r="B88" s="12" t="n">
        <v>61.8035853090846</v>
      </c>
      <c r="C88" s="12" t="n">
        <v>65.7836563847625</v>
      </c>
      <c r="D88" s="12" t="n">
        <v>64.4962926363835</v>
      </c>
      <c r="E88" s="12" t="n">
        <v>64.4962926363835</v>
      </c>
      <c r="F88" s="12" t="n">
        <v>67.193784254068</v>
      </c>
      <c r="G88" s="12" t="n">
        <v>64.7350677441758</v>
      </c>
      <c r="H88" s="12" t="n">
        <v>64.7350677441758</v>
      </c>
    </row>
    <row r="89" customFormat="false" ht="15" hidden="false" customHeight="false" outlineLevel="0" collapsed="false">
      <c r="A89" s="8" t="s">
        <v>59</v>
      </c>
      <c r="B89" s="12" t="n">
        <v>51.7174939108118</v>
      </c>
      <c r="C89" s="12" t="n">
        <v>61.3052349624719</v>
      </c>
      <c r="D89" s="12" t="n">
        <v>57.4975841604321</v>
      </c>
      <c r="E89" s="12" t="n">
        <v>57.4975841604321</v>
      </c>
      <c r="F89" s="12" t="n">
        <v>65.5520373056456</v>
      </c>
      <c r="G89" s="12" t="n">
        <v>68.001095451593</v>
      </c>
      <c r="H89" s="12" t="n">
        <v>68.001095451593</v>
      </c>
    </row>
    <row r="90" customFormat="false" ht="15" hidden="false" customHeight="false" outlineLevel="0" collapsed="false">
      <c r="A90" s="8" t="s">
        <v>63</v>
      </c>
      <c r="B90" s="12" t="n">
        <v>69.2609583126287</v>
      </c>
      <c r="C90" s="12" t="n">
        <v>72.7893307272217</v>
      </c>
      <c r="D90" s="12" t="n">
        <v>80.6251405149191</v>
      </c>
      <c r="E90" s="12" t="n">
        <v>75.0902488068261</v>
      </c>
      <c r="F90" s="12" t="n">
        <v>74.5088154698355</v>
      </c>
      <c r="G90" s="12" t="n">
        <v>80.9144286407907</v>
      </c>
      <c r="H90" s="12" t="n">
        <v>77.4818161298961</v>
      </c>
    </row>
    <row r="91" customFormat="false" ht="15" hidden="false" customHeight="false" outlineLevel="0" collapsed="false">
      <c r="A91" s="8" t="s">
        <v>67</v>
      </c>
      <c r="B91" s="12" t="n">
        <v>63.6532932047838</v>
      </c>
      <c r="C91" s="12" t="n">
        <v>70.1677382785589</v>
      </c>
      <c r="D91" s="12" t="n">
        <v>69.8398120460611</v>
      </c>
      <c r="E91" s="12" t="n">
        <v>69.8398120460611</v>
      </c>
      <c r="F91" s="12" t="n">
        <v>71.6584210650619</v>
      </c>
      <c r="G91" s="12" t="n">
        <v>71.8649542759447</v>
      </c>
      <c r="H91" s="12" t="n">
        <v>71.8649542759447</v>
      </c>
    </row>
    <row r="92" customFormat="false" ht="15" hidden="false" customHeight="false" outlineLevel="0" collapsed="false">
      <c r="A92" s="8" t="s">
        <v>72</v>
      </c>
      <c r="B92" s="12" t="n">
        <v>64.4334498341436</v>
      </c>
      <c r="C92" s="12" t="n">
        <v>67.4269318211495</v>
      </c>
      <c r="D92" s="12" t="n">
        <v>72.9727816037225</v>
      </c>
      <c r="E92" s="12" t="n">
        <v>67.9618829632405</v>
      </c>
      <c r="F92" s="12" t="n">
        <v>68.5819784650228</v>
      </c>
      <c r="G92" s="12" t="n">
        <v>75.9315698307297</v>
      </c>
      <c r="H92" s="12" t="n">
        <v>68.8419415946731</v>
      </c>
    </row>
    <row r="93" customFormat="false" ht="15" hidden="false" customHeight="false" outlineLevel="0" collapsed="false">
      <c r="A93" s="8" t="s">
        <v>77</v>
      </c>
      <c r="B93" s="12" t="n">
        <v>80.3311388707526</v>
      </c>
      <c r="C93" s="12" t="n">
        <v>83.8583369327974</v>
      </c>
      <c r="D93" s="12" t="n">
        <v>87.9386286868263</v>
      </c>
      <c r="E93" s="12" t="n">
        <v>84.5873886318534</v>
      </c>
      <c r="F93" s="12" t="n">
        <v>85.3955299969736</v>
      </c>
      <c r="G93" s="12" t="n">
        <v>88.3808910270066</v>
      </c>
      <c r="H93" s="12" t="n">
        <v>85.9866730170771</v>
      </c>
    </row>
    <row r="94" customFormat="false" ht="15" hidden="false" customHeight="false" outlineLevel="0" collapsed="false">
      <c r="A94" s="25" t="s">
        <v>394</v>
      </c>
      <c r="B94" s="13" t="n">
        <f aca="false">RANK(B88,B84:B93)</f>
        <v>8</v>
      </c>
      <c r="C94" s="13" t="n">
        <f aca="false">RANK(C88,C84:C93)</f>
        <v>9</v>
      </c>
      <c r="D94" s="13" t="n">
        <f aca="false">RANK(D88,D84:D93)</f>
        <v>9</v>
      </c>
      <c r="E94" s="13" t="n">
        <f aca="false">RANK(E88,E84:E93)</f>
        <v>9</v>
      </c>
      <c r="F94" s="13" t="n">
        <f aca="false">RANK(F88,F84:F93)</f>
        <v>9</v>
      </c>
      <c r="G94" s="13" t="n">
        <f aca="false">RANK(G88,G84:G93)</f>
        <v>10</v>
      </c>
      <c r="H94" s="13" t="n">
        <f aca="false">RANK(H88,H84:H93)</f>
        <v>10</v>
      </c>
    </row>
    <row r="95" customFormat="false" ht="15" hidden="false" customHeight="false" outlineLevel="0" collapsed="false">
      <c r="A95" s="25" t="s">
        <v>395</v>
      </c>
      <c r="B95" s="13" t="n">
        <f aca="false">RANK(B89,B84:B93)</f>
        <v>10</v>
      </c>
      <c r="C95" s="13" t="n">
        <f aca="false">RANK(C89,C84:C93)</f>
        <v>10</v>
      </c>
      <c r="D95" s="13" t="n">
        <f aca="false">RANK(D89,D84:D93)</f>
        <v>10</v>
      </c>
      <c r="E95" s="13" t="n">
        <f aca="false">RANK(E89,E84:E93)</f>
        <v>10</v>
      </c>
      <c r="F95" s="13" t="n">
        <f aca="false">RANK(F89,F84:F93)</f>
        <v>10</v>
      </c>
      <c r="G95" s="13" t="n">
        <f aca="false">RANK(G89,G84:G93)</f>
        <v>9</v>
      </c>
      <c r="H95" s="13" t="n">
        <f aca="false">RANK(H89,H84:H93)</f>
        <v>9</v>
      </c>
    </row>
    <row r="96" customFormat="false" ht="15" hidden="false" customHeight="false" outlineLevel="0" collapsed="false">
      <c r="A96" s="25" t="s">
        <v>396</v>
      </c>
      <c r="B96" s="12" t="n">
        <f aca="false">MAX(B84:B93)-MIN(B84:B93)</f>
        <v>28.7736158155459</v>
      </c>
      <c r="C96" s="12" t="n">
        <f aca="false">MAX(C84:C93)-MIN(C84:C93)</f>
        <v>22.5531019703255</v>
      </c>
      <c r="D96" s="12" t="n">
        <f aca="false">MAX(D84:D93)-MIN(D84:D93)</f>
        <v>30.4953774235901</v>
      </c>
      <c r="E96" s="12" t="n">
        <f aca="false">MAX(E84:E93)-MIN(E84:E93)</f>
        <v>27.433504679321</v>
      </c>
      <c r="F96" s="12" t="n">
        <f aca="false">MAX(F84:F93)-MIN(F84:F93)</f>
        <v>19.8434926913281</v>
      </c>
      <c r="G96" s="12" t="n">
        <f aca="false">MAX(G84:G93)-MIN(G84:G93)</f>
        <v>23.6458232828308</v>
      </c>
      <c r="H96" s="12" t="n">
        <f aca="false">MAX(H84:H93)-MIN(H84:H93)</f>
        <v>21.7293012817645</v>
      </c>
    </row>
    <row r="98" customFormat="false" ht="30" hidden="false" customHeight="true" outlineLevel="0" collapsed="false">
      <c r="A98" s="21" t="s">
        <v>160</v>
      </c>
      <c r="B98" s="7" t="s">
        <v>346</v>
      </c>
      <c r="C98" s="7" t="s">
        <v>388</v>
      </c>
      <c r="D98" s="7" t="s">
        <v>389</v>
      </c>
      <c r="E98" s="7" t="s">
        <v>390</v>
      </c>
      <c r="F98" s="7" t="s">
        <v>391</v>
      </c>
      <c r="G98" s="7" t="s">
        <v>392</v>
      </c>
      <c r="H98" s="7" t="s">
        <v>393</v>
      </c>
    </row>
    <row r="99" customFormat="false" ht="15" hidden="false" customHeight="false" outlineLevel="0" collapsed="false">
      <c r="A99" s="8" t="s">
        <v>36</v>
      </c>
      <c r="B99" s="9" t="n">
        <v>212.370707115408</v>
      </c>
      <c r="C99" s="9" t="n">
        <v>215.118354301193</v>
      </c>
      <c r="D99" s="9" t="n">
        <v>212.000839471698</v>
      </c>
      <c r="E99" s="9" t="n">
        <v>211.954664736432</v>
      </c>
      <c r="F99" s="9" t="n">
        <v>216.625370080813</v>
      </c>
      <c r="G99" s="9" t="n">
        <v>211.381151567239</v>
      </c>
      <c r="H99" s="9" t="n">
        <v>211.313988315943</v>
      </c>
    </row>
    <row r="100" customFormat="false" ht="15" hidden="false" customHeight="false" outlineLevel="0" collapsed="false">
      <c r="A100" s="8" t="s">
        <v>41</v>
      </c>
      <c r="B100" s="9" t="n">
        <v>197.524078527406</v>
      </c>
      <c r="C100" s="9" t="n">
        <v>209.981653447217</v>
      </c>
      <c r="D100" s="9" t="n">
        <v>212.301560260798</v>
      </c>
      <c r="E100" s="9" t="n">
        <v>212.301560260798</v>
      </c>
      <c r="F100" s="9" t="n">
        <v>212.782356188883</v>
      </c>
      <c r="G100" s="9" t="n">
        <v>219.97403864804</v>
      </c>
      <c r="H100" s="9" t="n">
        <v>219.688914410934</v>
      </c>
    </row>
    <row r="101" customFormat="false" ht="15" hidden="false" customHeight="false" outlineLevel="0" collapsed="false">
      <c r="A101" s="8" t="s">
        <v>46</v>
      </c>
      <c r="B101" s="9" t="n">
        <v>234.700094015825</v>
      </c>
      <c r="C101" s="9" t="n">
        <v>237.341754551606</v>
      </c>
      <c r="D101" s="9" t="n">
        <v>331.246165709709</v>
      </c>
      <c r="E101" s="9" t="n">
        <v>244.345956941506</v>
      </c>
      <c r="F101" s="9" t="n">
        <v>238.810067673828</v>
      </c>
      <c r="G101" s="9" t="n">
        <v>375.11003726039</v>
      </c>
      <c r="H101" s="9" t="n">
        <v>247.718767104124</v>
      </c>
    </row>
    <row r="102" customFormat="false" ht="15" hidden="false" customHeight="false" outlineLevel="0" collapsed="false">
      <c r="A102" s="8" t="s">
        <v>51</v>
      </c>
      <c r="B102" s="9" t="n">
        <v>226.219991539104</v>
      </c>
      <c r="C102" s="9" t="n">
        <v>229.898902122636</v>
      </c>
      <c r="D102" s="9" t="n">
        <v>284.251639802288</v>
      </c>
      <c r="E102" s="9" t="n">
        <v>233.698700436628</v>
      </c>
      <c r="F102" s="9" t="n">
        <v>231.832900851197</v>
      </c>
      <c r="G102" s="9" t="n">
        <v>310.68715893643</v>
      </c>
      <c r="H102" s="9" t="n">
        <v>236.85965247334</v>
      </c>
    </row>
    <row r="103" customFormat="false" ht="15" hidden="false" customHeight="false" outlineLevel="0" collapsed="false">
      <c r="A103" s="8" t="s">
        <v>55</v>
      </c>
      <c r="B103" s="9" t="n">
        <v>203.893159816572</v>
      </c>
      <c r="C103" s="9" t="n">
        <v>207.402458773615</v>
      </c>
      <c r="D103" s="9" t="n">
        <v>204.904485063286</v>
      </c>
      <c r="E103" s="9" t="n">
        <v>204.904485063286</v>
      </c>
      <c r="F103" s="9" t="n">
        <v>209.291087821544</v>
      </c>
      <c r="G103" s="9" t="n">
        <v>205.036070847469</v>
      </c>
      <c r="H103" s="9" t="n">
        <v>205.036070847469</v>
      </c>
    </row>
    <row r="104" customFormat="false" ht="15" hidden="false" customHeight="false" outlineLevel="0" collapsed="false">
      <c r="A104" s="8" t="s">
        <v>59</v>
      </c>
      <c r="B104" s="9" t="n">
        <v>193.278429750093</v>
      </c>
      <c r="C104" s="9" t="n">
        <v>206.116609971821</v>
      </c>
      <c r="D104" s="9" t="n">
        <v>204.975759374992</v>
      </c>
      <c r="E104" s="9" t="n">
        <v>204.975759374992</v>
      </c>
      <c r="F104" s="9" t="n">
        <v>209.440259713287</v>
      </c>
      <c r="G104" s="9" t="n">
        <v>217.980560315502</v>
      </c>
      <c r="H104" s="9" t="n">
        <v>217.980560315502</v>
      </c>
    </row>
    <row r="105" customFormat="false" ht="15" hidden="false" customHeight="false" outlineLevel="0" collapsed="false">
      <c r="A105" s="8" t="s">
        <v>63</v>
      </c>
      <c r="B105" s="9" t="n">
        <v>220.943888387599</v>
      </c>
      <c r="C105" s="9" t="n">
        <v>226.018768901548</v>
      </c>
      <c r="D105" s="9" t="n">
        <v>320.346077950301</v>
      </c>
      <c r="E105" s="9" t="n">
        <v>233.874934281292</v>
      </c>
      <c r="F105" s="9" t="n">
        <v>228.555714662561</v>
      </c>
      <c r="G105" s="9" t="n">
        <v>365.566919298715</v>
      </c>
      <c r="H105" s="9" t="n">
        <v>238.999569967474</v>
      </c>
    </row>
    <row r="106" customFormat="false" ht="15" hidden="false" customHeight="false" outlineLevel="0" collapsed="false">
      <c r="A106" s="8" t="s">
        <v>67</v>
      </c>
      <c r="B106" s="9" t="n">
        <v>198.164187821147</v>
      </c>
      <c r="C106" s="9" t="n">
        <v>201.285534162586</v>
      </c>
      <c r="D106" s="9" t="n">
        <v>201.220995772071</v>
      </c>
      <c r="E106" s="9" t="n">
        <v>201.220995772071</v>
      </c>
      <c r="F106" s="9" t="n">
        <v>202.946948652983</v>
      </c>
      <c r="G106" s="9" t="n">
        <v>204.905610158805</v>
      </c>
      <c r="H106" s="9" t="n">
        <v>204.905610158805</v>
      </c>
    </row>
    <row r="107" customFormat="false" ht="15" hidden="false" customHeight="false" outlineLevel="0" collapsed="false">
      <c r="A107" s="8" t="s">
        <v>72</v>
      </c>
      <c r="B107" s="9" t="n">
        <v>196.351794110749</v>
      </c>
      <c r="C107" s="9" t="n">
        <v>201.328559094641</v>
      </c>
      <c r="D107" s="9" t="n">
        <v>218.112195557663</v>
      </c>
      <c r="E107" s="9" t="n">
        <v>203.003116817867</v>
      </c>
      <c r="F107" s="9" t="n">
        <v>203.957782296304</v>
      </c>
      <c r="G107" s="9" t="n">
        <v>228.159244550284</v>
      </c>
      <c r="H107" s="9" t="n">
        <v>206.159006744419</v>
      </c>
    </row>
    <row r="108" customFormat="false" ht="15" hidden="false" customHeight="false" outlineLevel="0" collapsed="false">
      <c r="A108" s="8" t="s">
        <v>77</v>
      </c>
      <c r="B108" s="9" t="n">
        <v>233.349231609353</v>
      </c>
      <c r="C108" s="9" t="n">
        <v>237.266892445685</v>
      </c>
      <c r="D108" s="9" t="n">
        <v>288.808466168706</v>
      </c>
      <c r="E108" s="9" t="n">
        <v>240.95033179525</v>
      </c>
      <c r="F108" s="9" t="n">
        <v>239.314285562423</v>
      </c>
      <c r="G108" s="9" t="n">
        <v>314.059794540434</v>
      </c>
      <c r="H108" s="9" t="n">
        <v>244.218670184982</v>
      </c>
    </row>
    <row r="109" customFormat="false" ht="15" hidden="false" customHeight="false" outlineLevel="0" collapsed="false">
      <c r="A109" s="25" t="s">
        <v>394</v>
      </c>
      <c r="B109" s="13" t="n">
        <f aca="false">RANK(B103,B99:B108)</f>
        <v>6</v>
      </c>
      <c r="C109" s="13" t="n">
        <f aca="false">RANK(C103,C99:C108)</f>
        <v>7</v>
      </c>
      <c r="D109" s="13" t="n">
        <f aca="false">RANK(D103,D99:D108)</f>
        <v>9</v>
      </c>
      <c r="E109" s="13" t="n">
        <f aca="false">RANK(E103,E99:E108)</f>
        <v>8</v>
      </c>
      <c r="F109" s="13" t="n">
        <f aca="false">RANK(F103,F99:F108)</f>
        <v>8</v>
      </c>
      <c r="G109" s="13" t="n">
        <f aca="false">RANK(G103,G99:G108)</f>
        <v>9</v>
      </c>
      <c r="H109" s="13" t="n">
        <f aca="false">RANK(H103,H99:H108)</f>
        <v>9</v>
      </c>
    </row>
    <row r="110" customFormat="false" ht="15" hidden="false" customHeight="false" outlineLevel="0" collapsed="false">
      <c r="A110" s="25" t="s">
        <v>395</v>
      </c>
      <c r="B110" s="13" t="n">
        <f aca="false">RANK(B104,B99:B108)</f>
        <v>10</v>
      </c>
      <c r="C110" s="13" t="n">
        <f aca="false">RANK(C104,C99:C108)</f>
        <v>8</v>
      </c>
      <c r="D110" s="13" t="n">
        <f aca="false">RANK(D104,D99:D108)</f>
        <v>8</v>
      </c>
      <c r="E110" s="13" t="n">
        <f aca="false">RANK(E104,E99:E108)</f>
        <v>7</v>
      </c>
      <c r="F110" s="13" t="n">
        <f aca="false">RANK(F104,F99:F108)</f>
        <v>7</v>
      </c>
      <c r="G110" s="13" t="n">
        <f aca="false">RANK(G104,G99:G108)</f>
        <v>7</v>
      </c>
      <c r="H110" s="13" t="n">
        <f aca="false">RANK(H104,H99:H108)</f>
        <v>6</v>
      </c>
    </row>
    <row r="111" customFormat="false" ht="15" hidden="false" customHeight="false" outlineLevel="0" collapsed="false">
      <c r="A111" s="25" t="s">
        <v>396</v>
      </c>
      <c r="B111" s="9" t="n">
        <f aca="false">MAX(B99:B108)-MIN(B99:B108)</f>
        <v>41.4216642657323</v>
      </c>
      <c r="C111" s="9" t="n">
        <f aca="false">MAX(C99:C108)-MIN(C99:C108)</f>
        <v>36.0562203890201</v>
      </c>
      <c r="D111" s="9" t="n">
        <f aca="false">MAX(D99:D108)-MIN(D99:D108)</f>
        <v>130.025169937637</v>
      </c>
      <c r="E111" s="9" t="n">
        <f aca="false">MAX(E99:E108)-MIN(E99:E108)</f>
        <v>43.1249611694343</v>
      </c>
      <c r="F111" s="9" t="n">
        <f aca="false">MAX(F99:F108)-MIN(F99:F108)</f>
        <v>36.3673369094401</v>
      </c>
      <c r="G111" s="9" t="n">
        <f aca="false">MAX(G99:G108)-MIN(G99:G108)</f>
        <v>170.204427101585</v>
      </c>
      <c r="H111" s="9" t="n">
        <f aca="false">MAX(H99:H108)-MIN(H99:H108)</f>
        <v>42.8131569453188</v>
      </c>
    </row>
    <row r="113" customFormat="false" ht="30" hidden="false" customHeight="true" outlineLevel="0" collapsed="false">
      <c r="A113" s="21" t="s">
        <v>397</v>
      </c>
      <c r="B113" s="7" t="s">
        <v>346</v>
      </c>
      <c r="C113" s="7" t="s">
        <v>388</v>
      </c>
      <c r="D113" s="7" t="s">
        <v>389</v>
      </c>
      <c r="E113" s="7" t="s">
        <v>390</v>
      </c>
      <c r="F113" s="7" t="s">
        <v>391</v>
      </c>
      <c r="G113" s="7" t="s">
        <v>392</v>
      </c>
      <c r="H113" s="7" t="s">
        <v>393</v>
      </c>
    </row>
    <row r="114" customFormat="false" ht="15" hidden="false" customHeight="false" outlineLevel="0" collapsed="false">
      <c r="A114" s="8" t="s">
        <v>36</v>
      </c>
      <c r="B114" s="9" t="n">
        <v>249.952847937679</v>
      </c>
      <c r="C114" s="9" t="n">
        <v>279.25515401074</v>
      </c>
      <c r="D114" s="9" t="n">
        <v>253.548643949735</v>
      </c>
      <c r="E114" s="9" t="n">
        <v>253.509395424759</v>
      </c>
      <c r="F114" s="9" t="n">
        <v>294.35453960919</v>
      </c>
      <c r="G114" s="9" t="n">
        <v>254.441069951404</v>
      </c>
      <c r="H114" s="9" t="n">
        <v>254.383981187802</v>
      </c>
    </row>
    <row r="115" customFormat="false" ht="15" hidden="false" customHeight="false" outlineLevel="0" collapsed="false">
      <c r="A115" s="8" t="s">
        <v>41</v>
      </c>
      <c r="B115" s="9" t="n">
        <v>199.832100696294</v>
      </c>
      <c r="C115" s="9" t="n">
        <v>229.791750457324</v>
      </c>
      <c r="D115" s="9" t="n">
        <v>231.670943992138</v>
      </c>
      <c r="E115" s="9" t="n">
        <v>231.670943992138</v>
      </c>
      <c r="F115" s="9" t="n">
        <v>248.404706732883</v>
      </c>
      <c r="G115" s="9" t="n">
        <v>229.50329323397</v>
      </c>
      <c r="H115" s="9" t="n">
        <v>229.26093763243</v>
      </c>
    </row>
    <row r="116" customFormat="false" ht="15" hidden="false" customHeight="false" outlineLevel="0" collapsed="false">
      <c r="A116" s="8" t="s">
        <v>46</v>
      </c>
      <c r="B116" s="9" t="n">
        <v>277.757568723759</v>
      </c>
      <c r="C116" s="9" t="n">
        <v>308.975603927731</v>
      </c>
      <c r="D116" s="9" t="n">
        <v>524.348695673607</v>
      </c>
      <c r="E116" s="9" t="n">
        <v>304.790191868771</v>
      </c>
      <c r="F116" s="9" t="n">
        <v>325.016331166502</v>
      </c>
      <c r="G116" s="9" t="n">
        <v>636.394408089191</v>
      </c>
      <c r="H116" s="9" t="n">
        <v>315.407052907659</v>
      </c>
    </row>
    <row r="117" customFormat="false" ht="15" hidden="false" customHeight="false" outlineLevel="0" collapsed="false">
      <c r="A117" s="8" t="s">
        <v>51</v>
      </c>
      <c r="B117" s="9" t="n">
        <v>273.093995484319</v>
      </c>
      <c r="C117" s="9" t="n">
        <v>307.118062056416</v>
      </c>
      <c r="D117" s="9" t="n">
        <v>411.148868829736</v>
      </c>
      <c r="E117" s="9" t="n">
        <v>294.390346827242</v>
      </c>
      <c r="F117" s="9" t="n">
        <v>324.389165974598</v>
      </c>
      <c r="G117" s="9" t="n">
        <v>473.946634141304</v>
      </c>
      <c r="H117" s="9" t="n">
        <v>303.668074249611</v>
      </c>
    </row>
    <row r="118" customFormat="false" ht="15" hidden="false" customHeight="false" outlineLevel="0" collapsed="false">
      <c r="A118" s="8" t="s">
        <v>55</v>
      </c>
      <c r="B118" s="9" t="n">
        <v>257.077331171122</v>
      </c>
      <c r="C118" s="9" t="n">
        <v>288.373646927222</v>
      </c>
      <c r="D118" s="9" t="n">
        <v>263.089866404525</v>
      </c>
      <c r="E118" s="9" t="n">
        <v>263.089866404525</v>
      </c>
      <c r="F118" s="9" t="n">
        <v>304.413799047082</v>
      </c>
      <c r="G118" s="9" t="n">
        <v>265.226768255416</v>
      </c>
      <c r="H118" s="9" t="n">
        <v>265.226768255416</v>
      </c>
    </row>
    <row r="119" customFormat="false" ht="15" hidden="false" customHeight="false" outlineLevel="0" collapsed="false">
      <c r="A119" s="8" t="s">
        <v>59</v>
      </c>
      <c r="B119" s="9" t="n">
        <v>196.935099803728</v>
      </c>
      <c r="C119" s="9" t="n">
        <v>231.982114287199</v>
      </c>
      <c r="D119" s="9" t="n">
        <v>228.704673240884</v>
      </c>
      <c r="E119" s="9" t="n">
        <v>228.704673240884</v>
      </c>
      <c r="F119" s="9" t="n">
        <v>252.277064040879</v>
      </c>
      <c r="G119" s="9" t="n">
        <v>236.021872464304</v>
      </c>
      <c r="H119" s="9" t="n">
        <v>236.021872464304</v>
      </c>
    </row>
    <row r="120" customFormat="false" ht="15" hidden="false" customHeight="false" outlineLevel="0" collapsed="false">
      <c r="A120" s="8" t="s">
        <v>63</v>
      </c>
      <c r="B120" s="9" t="n">
        <v>258.249273648956</v>
      </c>
      <c r="C120" s="9" t="n">
        <v>294.66812323683</v>
      </c>
      <c r="D120" s="9" t="n">
        <v>515.353128421733</v>
      </c>
      <c r="E120" s="9" t="n">
        <v>292.251215869688</v>
      </c>
      <c r="F120" s="9" t="n">
        <v>313.101139243187</v>
      </c>
      <c r="G120" s="9" t="n">
        <v>632.382496602396</v>
      </c>
      <c r="H120" s="9" t="n">
        <v>306.529316623869</v>
      </c>
    </row>
    <row r="121" customFormat="false" ht="15" hidden="false" customHeight="false" outlineLevel="0" collapsed="false">
      <c r="A121" s="8" t="s">
        <v>67</v>
      </c>
      <c r="B121" s="9" t="n">
        <v>214.012726287484</v>
      </c>
      <c r="C121" s="9" t="n">
        <v>247.686918634964</v>
      </c>
      <c r="D121" s="9" t="n">
        <v>228.674122054437</v>
      </c>
      <c r="E121" s="9" t="n">
        <v>228.674122054437</v>
      </c>
      <c r="F121" s="9" t="n">
        <v>264.248100204429</v>
      </c>
      <c r="G121" s="9" t="n">
        <v>238.040158077421</v>
      </c>
      <c r="H121" s="9" t="n">
        <v>238.040158077421</v>
      </c>
    </row>
    <row r="122" customFormat="false" ht="15" hidden="false" customHeight="false" outlineLevel="0" collapsed="false">
      <c r="A122" s="8" t="s">
        <v>72</v>
      </c>
      <c r="B122" s="9" t="n">
        <v>223.165781054338</v>
      </c>
      <c r="C122" s="9" t="n">
        <v>260.933672039069</v>
      </c>
      <c r="D122" s="9" t="n">
        <v>274.275292620253</v>
      </c>
      <c r="E122" s="9" t="n">
        <v>244.627514323386</v>
      </c>
      <c r="F122" s="9" t="n">
        <v>279.575554421287</v>
      </c>
      <c r="G122" s="9" t="n">
        <v>297.045691056232</v>
      </c>
      <c r="H122" s="9" t="n">
        <v>254.06861870063</v>
      </c>
    </row>
    <row r="123" customFormat="false" ht="15" hidden="false" customHeight="false" outlineLevel="0" collapsed="false">
      <c r="A123" s="8" t="s">
        <v>77</v>
      </c>
      <c r="B123" s="9" t="n">
        <v>262.124995596988</v>
      </c>
      <c r="C123" s="9" t="n">
        <v>296.322817481958</v>
      </c>
      <c r="D123" s="9" t="n">
        <v>384.100086768426</v>
      </c>
      <c r="E123" s="9" t="n">
        <v>283.259589189927</v>
      </c>
      <c r="F123" s="9" t="n">
        <v>313.635118273321</v>
      </c>
      <c r="G123" s="9" t="n">
        <v>439.533610327326</v>
      </c>
      <c r="H123" s="9" t="n">
        <v>292.533820977852</v>
      </c>
    </row>
    <row r="124" customFormat="false" ht="15" hidden="false" customHeight="false" outlineLevel="0" collapsed="false">
      <c r="A124" s="25" t="s">
        <v>394</v>
      </c>
      <c r="B124" s="13" t="n">
        <f aca="false">RANK(B118,B114:B123)</f>
        <v>5</v>
      </c>
      <c r="C124" s="13" t="n">
        <f aca="false">RANK(C118,C114:C123)</f>
        <v>5</v>
      </c>
      <c r="D124" s="13" t="n">
        <f aca="false">RANK(D118,D114:D123)</f>
        <v>6</v>
      </c>
      <c r="E124" s="13" t="n">
        <f aca="false">RANK(E118,E114:E123)</f>
        <v>5</v>
      </c>
      <c r="F124" s="13" t="n">
        <f aca="false">RANK(F118,F114:F123)</f>
        <v>5</v>
      </c>
      <c r="G124" s="13" t="n">
        <f aca="false">RANK(G118,G114:G123)</f>
        <v>6</v>
      </c>
      <c r="H124" s="13" t="n">
        <f aca="false">RANK(H118,H114:H123)</f>
        <v>5</v>
      </c>
    </row>
    <row r="125" customFormat="false" ht="15" hidden="false" customHeight="false" outlineLevel="0" collapsed="false">
      <c r="A125" s="25" t="s">
        <v>395</v>
      </c>
      <c r="B125" s="13" t="n">
        <f aca="false">RANK(B119,B114:B123)</f>
        <v>10</v>
      </c>
      <c r="C125" s="13" t="n">
        <f aca="false">RANK(C119,C114:C123)</f>
        <v>9</v>
      </c>
      <c r="D125" s="13" t="n">
        <f aca="false">RANK(D119,D114:D123)</f>
        <v>9</v>
      </c>
      <c r="E125" s="13" t="n">
        <f aca="false">RANK(E119,E114:E123)</f>
        <v>9</v>
      </c>
      <c r="F125" s="13" t="n">
        <f aca="false">RANK(F119,F114:F123)</f>
        <v>9</v>
      </c>
      <c r="G125" s="13" t="n">
        <f aca="false">RANK(G119,G114:G123)</f>
        <v>9</v>
      </c>
      <c r="H125" s="13" t="n">
        <f aca="false">RANK(H119,H114:H123)</f>
        <v>9</v>
      </c>
    </row>
    <row r="126" customFormat="false" ht="15" hidden="false" customHeight="false" outlineLevel="0" collapsed="false">
      <c r="A126" s="25" t="s">
        <v>396</v>
      </c>
      <c r="B126" s="9" t="n">
        <f aca="false">MAX(B114:B123)-MIN(B114:B123)</f>
        <v>80.822468920031</v>
      </c>
      <c r="C126" s="9" t="n">
        <f aca="false">MAX(C114:C123)-MIN(C114:C123)</f>
        <v>79.1838534704076</v>
      </c>
      <c r="D126" s="9" t="n">
        <f aca="false">MAX(D114:D123)-MIN(D114:D123)</f>
        <v>295.67457361917</v>
      </c>
      <c r="E126" s="9" t="n">
        <f aca="false">MAX(E114:E123)-MIN(E114:E123)</f>
        <v>76.1160698143337</v>
      </c>
      <c r="F126" s="9" t="n">
        <f aca="false">MAX(F114:F123)-MIN(F114:F123)</f>
        <v>76.611624433619</v>
      </c>
      <c r="G126" s="9" t="n">
        <f aca="false">MAX(G114:G123)-MIN(G114:G123)</f>
        <v>406.891114855222</v>
      </c>
      <c r="H126" s="9" t="n">
        <f aca="false">MAX(H114:H123)-MIN(H114:H123)</f>
        <v>86.1461152752286</v>
      </c>
    </row>
    <row r="128" customFormat="false" ht="15" hidden="false" customHeight="false" outlineLevel="0" collapsed="false">
      <c r="A128" s="3" t="s">
        <v>398</v>
      </c>
    </row>
    <row r="129" customFormat="false" ht="42" hidden="false" customHeight="true" outlineLevel="0" collapsed="false">
      <c r="A129" s="6" t="s">
        <v>399</v>
      </c>
      <c r="B129" s="6"/>
      <c r="C129" s="6"/>
      <c r="D129" s="6"/>
      <c r="E129" s="6"/>
      <c r="F129" s="6"/>
      <c r="G129" s="6"/>
      <c r="H129" s="6"/>
      <c r="I129" s="6"/>
    </row>
    <row r="130" customFormat="false" ht="42" hidden="false" customHeight="true" outlineLevel="0" collapsed="false">
      <c r="A130" s="6" t="s">
        <v>400</v>
      </c>
      <c r="B130" s="6"/>
      <c r="C130" s="6"/>
      <c r="D130" s="6"/>
      <c r="E130" s="6"/>
      <c r="F130" s="6"/>
      <c r="G130" s="6"/>
      <c r="H130" s="6"/>
      <c r="I130" s="6"/>
    </row>
    <row r="131" customFormat="false" ht="42" hidden="false" customHeight="true" outlineLevel="0" collapsed="false">
      <c r="A131" s="6" t="s">
        <v>401</v>
      </c>
      <c r="B131" s="6"/>
      <c r="C131" s="6"/>
      <c r="D131" s="6"/>
      <c r="E131" s="6"/>
      <c r="F131" s="6"/>
      <c r="G131" s="6"/>
      <c r="H131" s="6"/>
      <c r="I131" s="6"/>
    </row>
    <row r="132" customFormat="false" ht="42" hidden="false" customHeight="true" outlineLevel="0" collapsed="false">
      <c r="A132" s="6" t="s">
        <v>402</v>
      </c>
      <c r="B132" s="6"/>
      <c r="C132" s="6"/>
      <c r="D132" s="6"/>
      <c r="E132" s="6"/>
      <c r="F132" s="6"/>
      <c r="G132" s="6"/>
      <c r="H132" s="6"/>
      <c r="I132" s="6"/>
    </row>
  </sheetData>
  <mergeCells count="4">
    <mergeCell ref="A129:I129"/>
    <mergeCell ref="A130:I130"/>
    <mergeCell ref="A131:I131"/>
    <mergeCell ref="A132:I13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93F3B"/>
    <pageSetUpPr fitToPage="true"/>
  </sheetPr>
  <dimension ref="A1:N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13" min="2" style="0" width="12"/>
  </cols>
  <sheetData>
    <row r="1" customFormat="false" ht="17.35" hidden="false" customHeight="false" outlineLevel="0" collapsed="false">
      <c r="A1" s="1" t="s">
        <v>403</v>
      </c>
    </row>
    <row r="2" customFormat="false" ht="15" hidden="false" customHeight="false" outlineLevel="0" collapsed="false">
      <c r="A2" s="2" t="s">
        <v>404</v>
      </c>
    </row>
    <row r="4" customFormat="false" ht="30" hidden="false" customHeight="true" outlineLevel="0" collapsed="false">
      <c r="A4" s="7" t="s">
        <v>157</v>
      </c>
      <c r="B4" s="7" t="s">
        <v>98</v>
      </c>
      <c r="C4" s="7" t="s">
        <v>101</v>
      </c>
      <c r="D4" s="7" t="s">
        <v>104</v>
      </c>
      <c r="E4" s="7" t="s">
        <v>107</v>
      </c>
      <c r="F4" s="7" t="s">
        <v>110</v>
      </c>
      <c r="G4" s="7" t="s">
        <v>113</v>
      </c>
      <c r="H4" s="7" t="s">
        <v>116</v>
      </c>
      <c r="I4" s="7" t="s">
        <v>119</v>
      </c>
      <c r="J4" s="7" t="s">
        <v>122</v>
      </c>
      <c r="K4" s="7" t="s">
        <v>125</v>
      </c>
      <c r="L4" s="7" t="s">
        <v>405</v>
      </c>
      <c r="M4" s="7" t="s">
        <v>406</v>
      </c>
      <c r="N4" s="7" t="s">
        <v>407</v>
      </c>
    </row>
    <row r="5" customFormat="false" ht="15" hidden="false" customHeight="false" outlineLevel="0" collapsed="false">
      <c r="A5" s="8" t="s">
        <v>36</v>
      </c>
      <c r="B5" s="10" t="n">
        <v>116.216235692558</v>
      </c>
      <c r="C5" s="10" t="n">
        <v>103.928290903108</v>
      </c>
      <c r="D5" s="10" t="n">
        <v>131.280353330061</v>
      </c>
      <c r="E5" s="10" t="n">
        <v>117.736772456626</v>
      </c>
      <c r="F5" s="10" t="n">
        <v>115.113221741781</v>
      </c>
      <c r="G5" s="10" t="n">
        <v>117.145318810739</v>
      </c>
      <c r="H5" s="10" t="n">
        <v>117.828223505516</v>
      </c>
      <c r="I5" s="10" t="n">
        <v>132.3135348537</v>
      </c>
      <c r="J5" s="10" t="n">
        <v>110.361247881081</v>
      </c>
      <c r="K5" s="10" t="n">
        <v>124.498462259396</v>
      </c>
      <c r="L5" s="16" t="n">
        <f aca="false">AVERAGE(B5:K5)</f>
        <v>118.642166143457</v>
      </c>
      <c r="M5" s="10" t="n">
        <f aca="false">MIN(B5:K5)</f>
        <v>103.928290903108</v>
      </c>
      <c r="N5" s="10" t="n">
        <f aca="false">MAX(B5:K5)</f>
        <v>132.3135348537</v>
      </c>
    </row>
    <row r="6" customFormat="false" ht="15" hidden="false" customHeight="false" outlineLevel="0" collapsed="false">
      <c r="A6" s="8" t="s">
        <v>41</v>
      </c>
      <c r="B6" s="10" t="n">
        <v>81.785812560389</v>
      </c>
      <c r="C6" s="10" t="n">
        <v>71.5753020320829</v>
      </c>
      <c r="D6" s="10" t="n">
        <v>110.921035452087</v>
      </c>
      <c r="E6" s="10" t="n">
        <v>84.9326139905197</v>
      </c>
      <c r="F6" s="10" t="n">
        <v>79.4958588170714</v>
      </c>
      <c r="G6" s="10" t="n">
        <v>82.7969712973782</v>
      </c>
      <c r="H6" s="10" t="n">
        <v>83.4199717413264</v>
      </c>
      <c r="I6" s="10" t="n">
        <v>111.092055491729</v>
      </c>
      <c r="J6" s="10" t="n">
        <v>75.8499839497872</v>
      </c>
      <c r="K6" s="10" t="n">
        <v>90.4065383030079</v>
      </c>
      <c r="L6" s="16" t="n">
        <f aca="false">AVERAGE(B6:K6)</f>
        <v>87.2276143635378</v>
      </c>
      <c r="M6" s="10" t="n">
        <f aca="false">MIN(B6:K6)</f>
        <v>71.5753020320829</v>
      </c>
      <c r="N6" s="10" t="n">
        <f aca="false">MAX(B6:K6)</f>
        <v>111.092055491729</v>
      </c>
    </row>
    <row r="7" customFormat="false" ht="15" hidden="false" customHeight="false" outlineLevel="0" collapsed="false">
      <c r="A7" s="8" t="s">
        <v>46</v>
      </c>
      <c r="B7" s="10" t="n">
        <v>148.513018511566</v>
      </c>
      <c r="C7" s="10" t="n">
        <v>142.522391223537</v>
      </c>
      <c r="D7" s="10" t="n">
        <v>157.524160847674</v>
      </c>
      <c r="E7" s="10" t="n">
        <v>150.248520200989</v>
      </c>
      <c r="F7" s="10" t="n">
        <v>147.278769499029</v>
      </c>
      <c r="G7" s="10" t="n">
        <v>164.088487624852</v>
      </c>
      <c r="H7" s="10" t="n">
        <v>150.062230836596</v>
      </c>
      <c r="I7" s="10" t="n">
        <v>142.054117296697</v>
      </c>
      <c r="J7" s="10" t="n">
        <v>140.910608135946</v>
      </c>
      <c r="K7" s="10" t="n">
        <v>157.573255724779</v>
      </c>
      <c r="L7" s="16" t="n">
        <f aca="false">AVERAGE(B7:K7)</f>
        <v>150.077555990166</v>
      </c>
      <c r="M7" s="10" t="n">
        <f aca="false">MIN(B7:K7)</f>
        <v>140.910608135946</v>
      </c>
      <c r="N7" s="10" t="n">
        <f aca="false">MAX(B7:K7)</f>
        <v>164.088487624852</v>
      </c>
    </row>
    <row r="8" customFormat="false" ht="15" hidden="false" customHeight="false" outlineLevel="0" collapsed="false">
      <c r="A8" s="8" t="s">
        <v>51</v>
      </c>
      <c r="B8" s="10" t="n">
        <v>143.753308710913</v>
      </c>
      <c r="C8" s="10" t="n">
        <v>136.530234188364</v>
      </c>
      <c r="D8" s="10" t="n">
        <v>154.364062797133</v>
      </c>
      <c r="E8" s="10" t="n">
        <v>146.226156105372</v>
      </c>
      <c r="F8" s="10" t="n">
        <v>141.977300593572</v>
      </c>
      <c r="G8" s="10" t="n">
        <v>156.046064781828</v>
      </c>
      <c r="H8" s="10" t="n">
        <v>145.323511763836</v>
      </c>
      <c r="I8" s="10" t="n">
        <v>144.907906814497</v>
      </c>
      <c r="J8" s="10" t="n">
        <v>136.605246050397</v>
      </c>
      <c r="K8" s="10" t="n">
        <v>152.869075835039</v>
      </c>
      <c r="L8" s="16" t="n">
        <f aca="false">AVERAGE(B8:K8)</f>
        <v>145.860286764095</v>
      </c>
      <c r="M8" s="10" t="n">
        <f aca="false">MIN(B8:K8)</f>
        <v>136.530234188364</v>
      </c>
      <c r="N8" s="10" t="n">
        <f aca="false">MAX(B8:K8)</f>
        <v>156.046064781828</v>
      </c>
    </row>
    <row r="9" customFormat="false" ht="15" hidden="false" customHeight="false" outlineLevel="0" collapsed="false">
      <c r="A9" s="8" t="s">
        <v>55</v>
      </c>
      <c r="B9" s="10" t="n">
        <v>109.882212011446</v>
      </c>
      <c r="C9" s="10" t="n">
        <v>95.5586654226419</v>
      </c>
      <c r="D9" s="10" t="n">
        <v>124.319829811738</v>
      </c>
      <c r="E9" s="10" t="n">
        <v>111.385717544233</v>
      </c>
      <c r="F9" s="10" t="n">
        <v>108.792394639265</v>
      </c>
      <c r="G9" s="10" t="n">
        <v>110.746166773557</v>
      </c>
      <c r="H9" s="10" t="n">
        <v>111.488951631424</v>
      </c>
      <c r="I9" s="10" t="n">
        <v>125.957022753601</v>
      </c>
      <c r="J9" s="10" t="n">
        <v>104.126481893975</v>
      </c>
      <c r="K9" s="10" t="n">
        <v>118.104391397135</v>
      </c>
      <c r="L9" s="16" t="n">
        <f aca="false">AVERAGE(B9:K9)</f>
        <v>112.036183387902</v>
      </c>
      <c r="M9" s="10" t="n">
        <f aca="false">MIN(B9:K9)</f>
        <v>95.5586654226419</v>
      </c>
      <c r="N9" s="10" t="n">
        <f aca="false">MAX(B9:K9)</f>
        <v>125.957022753601</v>
      </c>
    </row>
    <row r="10" customFormat="false" ht="15" hidden="false" customHeight="false" outlineLevel="0" collapsed="false">
      <c r="A10" s="8" t="s">
        <v>59</v>
      </c>
      <c r="B10" s="10" t="n">
        <v>74.7460254168548</v>
      </c>
      <c r="C10" s="10" t="n">
        <v>63.7172046991819</v>
      </c>
      <c r="D10" s="10" t="n">
        <v>90.6745485701299</v>
      </c>
      <c r="E10" s="10" t="n">
        <v>78.4230170542657</v>
      </c>
      <c r="F10" s="10" t="n">
        <v>72.0746832335925</v>
      </c>
      <c r="G10" s="10" t="n">
        <v>76.1656605581922</v>
      </c>
      <c r="H10" s="10" t="n">
        <v>76.4740289730274</v>
      </c>
      <c r="I10" s="10" t="n">
        <v>96.1436500685595</v>
      </c>
      <c r="J10" s="10" t="n">
        <v>68.4743516170038</v>
      </c>
      <c r="K10" s="10" t="n">
        <v>84.1771109872804</v>
      </c>
      <c r="L10" s="16" t="n">
        <f aca="false">AVERAGE(B10:K10)</f>
        <v>78.1070281178088</v>
      </c>
      <c r="M10" s="10" t="n">
        <f aca="false">MIN(B10:K10)</f>
        <v>63.7172046991819</v>
      </c>
      <c r="N10" s="10" t="n">
        <f aca="false">MAX(B10:K10)</f>
        <v>96.1436500685595</v>
      </c>
    </row>
    <row r="11" customFormat="false" ht="15" hidden="false" customHeight="false" outlineLevel="0" collapsed="false">
      <c r="A11" s="8" t="s">
        <v>63</v>
      </c>
      <c r="B11" s="10" t="n">
        <v>127.259220008078</v>
      </c>
      <c r="C11" s="10" t="n">
        <v>120.91943393123</v>
      </c>
      <c r="D11" s="10" t="n">
        <v>136.339912556049</v>
      </c>
      <c r="E11" s="10" t="n">
        <v>129.005723571735</v>
      </c>
      <c r="F11" s="10" t="n">
        <v>126.019234191687</v>
      </c>
      <c r="G11" s="10" t="n">
        <v>144.501626669295</v>
      </c>
      <c r="H11" s="10" t="n">
        <v>128.815469253121</v>
      </c>
      <c r="I11" s="10" t="n">
        <v>120.478047631515</v>
      </c>
      <c r="J11" s="10" t="n">
        <v>119.53931414637</v>
      </c>
      <c r="K11" s="10" t="n">
        <v>136.466172849666</v>
      </c>
      <c r="L11" s="16" t="n">
        <f aca="false">AVERAGE(B11:K11)</f>
        <v>128.934415480875</v>
      </c>
      <c r="M11" s="10" t="n">
        <f aca="false">MIN(B11:K11)</f>
        <v>119.53931414637</v>
      </c>
      <c r="N11" s="10" t="n">
        <f aca="false">MAX(B11:K11)</f>
        <v>144.501626669295</v>
      </c>
    </row>
    <row r="12" customFormat="false" ht="15" hidden="false" customHeight="false" outlineLevel="0" collapsed="false">
      <c r="A12" s="8" t="s">
        <v>67</v>
      </c>
      <c r="B12" s="10" t="n">
        <v>110.903443154202</v>
      </c>
      <c r="C12" s="10" t="n">
        <v>94.9707821822824</v>
      </c>
      <c r="D12" s="10" t="n">
        <v>130.176369736464</v>
      </c>
      <c r="E12" s="10" t="n">
        <v>113.982206931249</v>
      </c>
      <c r="F12" s="10" t="n">
        <v>108.684061910421</v>
      </c>
      <c r="G12" s="10" t="n">
        <v>106.408923008225</v>
      </c>
      <c r="H12" s="10" t="n">
        <v>114.984787744721</v>
      </c>
      <c r="I12" s="10" t="n">
        <v>131.203829261028</v>
      </c>
      <c r="J12" s="10" t="n">
        <v>101.213174818428</v>
      </c>
      <c r="K12" s="10" t="n">
        <v>117.663791185369</v>
      </c>
      <c r="L12" s="16" t="n">
        <f aca="false">AVERAGE(B12:K12)</f>
        <v>113.019136993239</v>
      </c>
      <c r="M12" s="10" t="n">
        <f aca="false">MIN(B12:K12)</f>
        <v>94.9707821822824</v>
      </c>
      <c r="N12" s="10" t="n">
        <f aca="false">MAX(B12:K12)</f>
        <v>131.203829261028</v>
      </c>
    </row>
    <row r="13" customFormat="false" ht="15" hidden="false" customHeight="false" outlineLevel="0" collapsed="false">
      <c r="A13" s="8" t="s">
        <v>72</v>
      </c>
      <c r="B13" s="10" t="n">
        <v>102.814591851321</v>
      </c>
      <c r="C13" s="10" t="n">
        <v>94.1061878235855</v>
      </c>
      <c r="D13" s="10" t="n">
        <v>114.863115885459</v>
      </c>
      <c r="E13" s="10" t="n">
        <v>104.830721098633</v>
      </c>
      <c r="F13" s="10" t="n">
        <v>101.356838828953</v>
      </c>
      <c r="G13" s="10" t="n">
        <v>109.133462524307</v>
      </c>
      <c r="H13" s="10" t="n">
        <v>104.435164997879</v>
      </c>
      <c r="I13" s="10" t="n">
        <v>112.385606877229</v>
      </c>
      <c r="J13" s="10" t="n">
        <v>96.3733356679863</v>
      </c>
      <c r="K13" s="10" t="n">
        <v>111.438520497809</v>
      </c>
      <c r="L13" s="16" t="n">
        <f aca="false">AVERAGE(B13:K13)</f>
        <v>105.173754605316</v>
      </c>
      <c r="M13" s="10" t="n">
        <f aca="false">MIN(B13:K13)</f>
        <v>94.1061878235855</v>
      </c>
      <c r="N13" s="10" t="n">
        <f aca="false">MAX(B13:K13)</f>
        <v>114.863115885459</v>
      </c>
    </row>
    <row r="14" customFormat="false" ht="15" hidden="false" customHeight="false" outlineLevel="0" collapsed="false">
      <c r="A14" s="8" t="s">
        <v>77</v>
      </c>
      <c r="B14" s="10" t="n">
        <v>148.821126742347</v>
      </c>
      <c r="C14" s="10" t="n">
        <v>141.941461490593</v>
      </c>
      <c r="D14" s="10" t="n">
        <v>158.914607630205</v>
      </c>
      <c r="E14" s="10" t="n">
        <v>151.319988340492</v>
      </c>
      <c r="F14" s="10" t="n">
        <v>148.219211174531</v>
      </c>
      <c r="G14" s="10" t="n">
        <v>159.896766288236</v>
      </c>
      <c r="H14" s="10" t="n">
        <v>150.592909706034</v>
      </c>
      <c r="I14" s="10" t="n">
        <v>149.556906190789</v>
      </c>
      <c r="J14" s="10" t="n">
        <v>141.569561026419</v>
      </c>
      <c r="K14" s="10" t="n">
        <v>157.977298912157</v>
      </c>
      <c r="L14" s="16" t="n">
        <f aca="false">AVERAGE(B14:K14)</f>
        <v>150.88098375018</v>
      </c>
      <c r="M14" s="10" t="n">
        <f aca="false">MIN(B14:K14)</f>
        <v>141.569561026419</v>
      </c>
      <c r="N14" s="10" t="n">
        <f aca="false">MAX(B14:K14)</f>
        <v>159.896766288236</v>
      </c>
    </row>
    <row r="15" customFormat="false" ht="27.75" hidden="false" customHeight="true" outlineLevel="0" collapsed="false">
      <c r="A15" s="4" t="s">
        <v>408</v>
      </c>
      <c r="B15" s="5" t="str">
        <f aca="false">INDEX($A$5:$A$14,MATCH(MAX(B5:B14),B5:B14,0))</f>
        <v>Adaptive (evidence-responsive)</v>
      </c>
      <c r="C15" s="5" t="str">
        <f aca="false">INDEX($A$5:$A$14,MATCH(MAX(C5:C14),C5:C14,0))</f>
        <v>AI-led</v>
      </c>
      <c r="D15" s="5" t="str">
        <f aca="false">INDEX($A$5:$A$14,MATCH(MAX(D5:D14),D5:D14,0))</f>
        <v>Adaptive (evidence-responsive)</v>
      </c>
      <c r="E15" s="5" t="str">
        <f aca="false">INDEX($A$5:$A$14,MATCH(MAX(E5:E14),E5:E14,0))</f>
        <v>Adaptive (evidence-responsive)</v>
      </c>
      <c r="F15" s="5" t="str">
        <f aca="false">INDEX($A$5:$A$14,MATCH(MAX(F5:F14),F5:F14,0))</f>
        <v>Adaptive (evidence-responsive)</v>
      </c>
      <c r="G15" s="5" t="str">
        <f aca="false">INDEX($A$5:$A$14,MATCH(MAX(G5:G14),G5:G14,0))</f>
        <v>AI-led</v>
      </c>
      <c r="H15" s="5" t="str">
        <f aca="false">INDEX($A$5:$A$14,MATCH(MAX(H5:H14),H5:H14,0))</f>
        <v>Adaptive (evidence-responsive)</v>
      </c>
      <c r="I15" s="5" t="str">
        <f aca="false">INDEX($A$5:$A$14,MATCH(MAX(I5:I14),I5:I14,0))</f>
        <v>Adaptive (evidence-responsive)</v>
      </c>
      <c r="J15" s="5" t="str">
        <f aca="false">INDEX($A$5:$A$14,MATCH(MAX(J5:J14),J5:J14,0))</f>
        <v>Adaptive (evidence-responsive)</v>
      </c>
      <c r="K15" s="5" t="str">
        <f aca="false">INDEX($A$5:$A$14,MATCH(MAX(K5:K14),K5:K14,0))</f>
        <v>Adaptive (evidence-responsive)</v>
      </c>
    </row>
    <row r="17" customFormat="false" ht="30" hidden="false" customHeight="true" outlineLevel="0" collapsed="false">
      <c r="A17" s="7" t="s">
        <v>157</v>
      </c>
      <c r="B17" s="7" t="s">
        <v>98</v>
      </c>
      <c r="C17" s="7" t="s">
        <v>101</v>
      </c>
      <c r="D17" s="7" t="s">
        <v>104</v>
      </c>
      <c r="E17" s="7" t="s">
        <v>107</v>
      </c>
      <c r="F17" s="7" t="s">
        <v>110</v>
      </c>
      <c r="G17" s="7" t="s">
        <v>113</v>
      </c>
      <c r="H17" s="7" t="s">
        <v>116</v>
      </c>
      <c r="I17" s="7" t="s">
        <v>119</v>
      </c>
      <c r="J17" s="7" t="s">
        <v>122</v>
      </c>
      <c r="K17" s="7" t="s">
        <v>125</v>
      </c>
      <c r="L17" s="7" t="s">
        <v>405</v>
      </c>
      <c r="M17" s="7" t="s">
        <v>406</v>
      </c>
      <c r="N17" s="7" t="s">
        <v>407</v>
      </c>
    </row>
    <row r="18" customFormat="false" ht="15" hidden="false" customHeight="false" outlineLevel="0" collapsed="false">
      <c r="A18" s="8" t="s">
        <v>36</v>
      </c>
      <c r="B18" s="12" t="n">
        <v>68.0630162501727</v>
      </c>
      <c r="C18" s="12" t="n">
        <v>63.0982195793117</v>
      </c>
      <c r="D18" s="12" t="n">
        <v>73.6066951516586</v>
      </c>
      <c r="E18" s="12" t="n">
        <v>69.726003373693</v>
      </c>
      <c r="F18" s="12" t="n">
        <v>67.814179751328</v>
      </c>
      <c r="G18" s="12" t="n">
        <v>69.7165482303915</v>
      </c>
      <c r="H18" s="12" t="n">
        <v>69.513018667561</v>
      </c>
      <c r="I18" s="12" t="n">
        <v>73.8968828815811</v>
      </c>
      <c r="J18" s="12" t="n">
        <v>66.942553484174</v>
      </c>
      <c r="K18" s="12" t="n">
        <v>71.1915471459806</v>
      </c>
      <c r="L18" s="26" t="n">
        <f aca="false">AVERAGE(B18:K18)</f>
        <v>69.3568664515852</v>
      </c>
      <c r="M18" s="12" t="n">
        <f aca="false">MIN(B18:K18)</f>
        <v>63.0982195793117</v>
      </c>
      <c r="N18" s="12" t="n">
        <f aca="false">MAX(B18:K18)</f>
        <v>73.8968828815811</v>
      </c>
    </row>
    <row r="19" customFormat="false" ht="15" hidden="false" customHeight="false" outlineLevel="0" collapsed="false">
      <c r="A19" s="8" t="s">
        <v>41</v>
      </c>
      <c r="B19" s="12" t="n">
        <v>58.631731521967</v>
      </c>
      <c r="C19" s="12" t="n">
        <v>56.3728872821593</v>
      </c>
      <c r="D19" s="12" t="n">
        <v>67.2266086751552</v>
      </c>
      <c r="E19" s="12" t="n">
        <v>59.4008433085104</v>
      </c>
      <c r="F19" s="12" t="n">
        <v>58.0821755046173</v>
      </c>
      <c r="G19" s="12" t="n">
        <v>59.0925354525913</v>
      </c>
      <c r="H19" s="12" t="n">
        <v>58.7889121660435</v>
      </c>
      <c r="I19" s="12" t="n">
        <v>68.6940006987701</v>
      </c>
      <c r="J19" s="12" t="n">
        <v>57.6221982158887</v>
      </c>
      <c r="K19" s="12" t="n">
        <v>60.3236698080846</v>
      </c>
      <c r="L19" s="26" t="n">
        <f aca="false">AVERAGE(B19:K19)</f>
        <v>60.4235562633788</v>
      </c>
      <c r="M19" s="12" t="n">
        <f aca="false">MIN(B19:K19)</f>
        <v>56.3728872821593</v>
      </c>
      <c r="N19" s="12" t="n">
        <f aca="false">MAX(B19:K19)</f>
        <v>68.6940006987701</v>
      </c>
    </row>
    <row r="20" customFormat="false" ht="15" hidden="false" customHeight="false" outlineLevel="0" collapsed="false">
      <c r="A20" s="8" t="s">
        <v>46</v>
      </c>
      <c r="B20" s="12" t="n">
        <v>80.4911097263577</v>
      </c>
      <c r="C20" s="12" t="n">
        <v>78.5344611179534</v>
      </c>
      <c r="D20" s="12" t="n">
        <v>83.157004039119</v>
      </c>
      <c r="E20" s="12" t="n">
        <v>80.875316749652</v>
      </c>
      <c r="F20" s="12" t="n">
        <v>80.224361306226</v>
      </c>
      <c r="G20" s="12" t="n">
        <v>85.4303808895075</v>
      </c>
      <c r="H20" s="12" t="n">
        <v>80.6211573631139</v>
      </c>
      <c r="I20" s="12" t="n">
        <v>77.6657971596112</v>
      </c>
      <c r="J20" s="12" t="n">
        <v>78.549895278433</v>
      </c>
      <c r="K20" s="12" t="n">
        <v>82.7281095259391</v>
      </c>
      <c r="L20" s="26" t="n">
        <f aca="false">AVERAGE(B20:K20)</f>
        <v>80.8277593155913</v>
      </c>
      <c r="M20" s="12" t="n">
        <f aca="false">MIN(B20:K20)</f>
        <v>77.6657971596112</v>
      </c>
      <c r="N20" s="12" t="n">
        <f aca="false">MAX(B20:K20)</f>
        <v>85.4303808895075</v>
      </c>
    </row>
    <row r="21" customFormat="false" ht="15" hidden="false" customHeight="false" outlineLevel="0" collapsed="false">
      <c r="A21" s="8" t="s">
        <v>51</v>
      </c>
      <c r="B21" s="12" t="n">
        <v>76.7158581337386</v>
      </c>
      <c r="C21" s="12" t="n">
        <v>74.6450416365023</v>
      </c>
      <c r="D21" s="12" t="n">
        <v>79.9755326198638</v>
      </c>
      <c r="E21" s="12" t="n">
        <v>77.2939840915416</v>
      </c>
      <c r="F21" s="12" t="n">
        <v>76.3106759265295</v>
      </c>
      <c r="G21" s="12" t="n">
        <v>80.9205604049363</v>
      </c>
      <c r="H21" s="12" t="n">
        <v>76.8441324916298</v>
      </c>
      <c r="I21" s="12" t="n">
        <v>76.9207481724333</v>
      </c>
      <c r="J21" s="12" t="n">
        <v>75.0977676322454</v>
      </c>
      <c r="K21" s="12" t="n">
        <v>78.9211185490043</v>
      </c>
      <c r="L21" s="26" t="n">
        <f aca="false">AVERAGE(B21:K21)</f>
        <v>77.3645419658425</v>
      </c>
      <c r="M21" s="12" t="n">
        <f aca="false">MIN(B21:K21)</f>
        <v>74.6450416365023</v>
      </c>
      <c r="N21" s="12" t="n">
        <f aca="false">MAX(B21:K21)</f>
        <v>80.9205604049363</v>
      </c>
    </row>
    <row r="22" customFormat="false" ht="15" hidden="false" customHeight="false" outlineLevel="0" collapsed="false">
      <c r="A22" s="8" t="s">
        <v>55</v>
      </c>
      <c r="B22" s="12" t="n">
        <v>61.8035853090846</v>
      </c>
      <c r="C22" s="12" t="n">
        <v>59.2678402670938</v>
      </c>
      <c r="D22" s="12" t="n">
        <v>67.080712984039</v>
      </c>
      <c r="E22" s="12" t="n">
        <v>62.1419291015761</v>
      </c>
      <c r="F22" s="12" t="n">
        <v>61.5636981903072</v>
      </c>
      <c r="G22" s="12" t="n">
        <v>62.1210375707442</v>
      </c>
      <c r="H22" s="12" t="n">
        <v>61.9379215525342</v>
      </c>
      <c r="I22" s="12" t="n">
        <v>67.5013011755843</v>
      </c>
      <c r="J22" s="12" t="n">
        <v>60.7480773007259</v>
      </c>
      <c r="K22" s="12" t="n">
        <v>63.5539291448837</v>
      </c>
      <c r="L22" s="26" t="n">
        <f aca="false">AVERAGE(B22:K22)</f>
        <v>62.7720032596573</v>
      </c>
      <c r="M22" s="12" t="n">
        <f aca="false">MIN(B22:K22)</f>
        <v>59.2678402670938</v>
      </c>
      <c r="N22" s="12" t="n">
        <f aca="false">MAX(B22:K22)</f>
        <v>67.5013011755843</v>
      </c>
    </row>
    <row r="23" customFormat="false" ht="15" hidden="false" customHeight="false" outlineLevel="0" collapsed="false">
      <c r="A23" s="8" t="s">
        <v>59</v>
      </c>
      <c r="B23" s="12" t="n">
        <v>51.7174939108118</v>
      </c>
      <c r="C23" s="12" t="n">
        <v>49.7278760676774</v>
      </c>
      <c r="D23" s="12" t="n">
        <v>54.6539938436143</v>
      </c>
      <c r="E23" s="12" t="n">
        <v>52.4713798292206</v>
      </c>
      <c r="F23" s="12" t="n">
        <v>51.1795889161938</v>
      </c>
      <c r="G23" s="12" t="n">
        <v>52.0594765101634</v>
      </c>
      <c r="H23" s="12" t="n">
        <v>51.851050879593</v>
      </c>
      <c r="I23" s="12" t="n">
        <v>54.9915071579762</v>
      </c>
      <c r="J23" s="12" t="n">
        <v>50.854840929762</v>
      </c>
      <c r="K23" s="12" t="n">
        <v>53.1861195856079</v>
      </c>
      <c r="L23" s="26" t="n">
        <f aca="false">AVERAGE(B23:K23)</f>
        <v>52.269332763062</v>
      </c>
      <c r="M23" s="12" t="n">
        <f aca="false">MIN(B23:K23)</f>
        <v>49.7278760676774</v>
      </c>
      <c r="N23" s="12" t="n">
        <f aca="false">MAX(B23:K23)</f>
        <v>54.9915071579762</v>
      </c>
    </row>
    <row r="24" customFormat="false" ht="15" hidden="false" customHeight="false" outlineLevel="0" collapsed="false">
      <c r="A24" s="8" t="s">
        <v>63</v>
      </c>
      <c r="B24" s="12" t="n">
        <v>69.2609583126287</v>
      </c>
      <c r="C24" s="12" t="n">
        <v>67.3986946198383</v>
      </c>
      <c r="D24" s="12" t="n">
        <v>72.1043892251525</v>
      </c>
      <c r="E24" s="12" t="n">
        <v>69.6331455178802</v>
      </c>
      <c r="F24" s="12" t="n">
        <v>69.0031511706257</v>
      </c>
      <c r="G24" s="12" t="n">
        <v>75.6411702019165</v>
      </c>
      <c r="H24" s="12" t="n">
        <v>69.383401067049</v>
      </c>
      <c r="I24" s="12" t="n">
        <v>66.4019389324871</v>
      </c>
      <c r="J24" s="12" t="n">
        <v>67.4183067995029</v>
      </c>
      <c r="K24" s="12" t="n">
        <v>71.6495324303186</v>
      </c>
      <c r="L24" s="26" t="n">
        <f aca="false">AVERAGE(B24:K24)</f>
        <v>69.7894688277399</v>
      </c>
      <c r="M24" s="12" t="n">
        <f aca="false">MIN(B24:K24)</f>
        <v>66.4019389324871</v>
      </c>
      <c r="N24" s="12" t="n">
        <f aca="false">MAX(B24:K24)</f>
        <v>75.6411702019165</v>
      </c>
    </row>
    <row r="25" customFormat="false" ht="15" hidden="false" customHeight="false" outlineLevel="0" collapsed="false">
      <c r="A25" s="8" t="s">
        <v>67</v>
      </c>
      <c r="B25" s="12" t="n">
        <v>63.6532932047838</v>
      </c>
      <c r="C25" s="12" t="n">
        <v>61.7346447275285</v>
      </c>
      <c r="D25" s="12" t="n">
        <v>69.3555114090892</v>
      </c>
      <c r="E25" s="12" t="n">
        <v>64.0559097651232</v>
      </c>
      <c r="F25" s="12" t="n">
        <v>63.3668788740715</v>
      </c>
      <c r="G25" s="12" t="n">
        <v>66.4267908395264</v>
      </c>
      <c r="H25" s="12" t="n">
        <v>63.9123922249783</v>
      </c>
      <c r="I25" s="12" t="n">
        <v>69.5846760631604</v>
      </c>
      <c r="J25" s="12" t="n">
        <v>62.6507167128187</v>
      </c>
      <c r="K25" s="12" t="n">
        <v>67.7094777861834</v>
      </c>
      <c r="L25" s="26" t="n">
        <f aca="false">AVERAGE(B25:K25)</f>
        <v>65.2450291607264</v>
      </c>
      <c r="M25" s="12" t="n">
        <f aca="false">MIN(B25:K25)</f>
        <v>61.7346447275285</v>
      </c>
      <c r="N25" s="12" t="n">
        <f aca="false">MAX(B25:K25)</f>
        <v>69.5846760631604</v>
      </c>
    </row>
    <row r="26" customFormat="false" ht="15" hidden="false" customHeight="false" outlineLevel="0" collapsed="false">
      <c r="A26" s="8" t="s">
        <v>72</v>
      </c>
      <c r="B26" s="12" t="n">
        <v>64.4334498341436</v>
      </c>
      <c r="C26" s="12" t="n">
        <v>62.8539373157046</v>
      </c>
      <c r="D26" s="12" t="n">
        <v>66.7856221814894</v>
      </c>
      <c r="E26" s="12" t="n">
        <v>64.8231824769055</v>
      </c>
      <c r="F26" s="12" t="n">
        <v>64.1577735088702</v>
      </c>
      <c r="G26" s="12" t="n">
        <v>65.7702344466279</v>
      </c>
      <c r="H26" s="12" t="n">
        <v>64.5440495584822</v>
      </c>
      <c r="I26" s="12" t="n">
        <v>66.2176608494398</v>
      </c>
      <c r="J26" s="12" t="n">
        <v>63.4219993545922</v>
      </c>
      <c r="K26" s="12" t="n">
        <v>65.9240257222248</v>
      </c>
      <c r="L26" s="26" t="n">
        <f aca="false">AVERAGE(B26:K26)</f>
        <v>64.893193524848</v>
      </c>
      <c r="M26" s="12" t="n">
        <f aca="false">MIN(B26:K26)</f>
        <v>62.8539373157046</v>
      </c>
      <c r="N26" s="12" t="n">
        <f aca="false">MAX(B26:K26)</f>
        <v>66.7856221814894</v>
      </c>
    </row>
    <row r="27" customFormat="false" ht="15" hidden="false" customHeight="false" outlineLevel="0" collapsed="false">
      <c r="A27" s="8" t="s">
        <v>77</v>
      </c>
      <c r="B27" s="12" t="n">
        <v>80.3311388707526</v>
      </c>
      <c r="C27" s="12" t="n">
        <v>78.1777093584608</v>
      </c>
      <c r="D27" s="12" t="n">
        <v>82.9139624278784</v>
      </c>
      <c r="E27" s="12" t="n">
        <v>80.9324641237198</v>
      </c>
      <c r="F27" s="12" t="n">
        <v>80.297850786882</v>
      </c>
      <c r="G27" s="12" t="n">
        <v>83.2231279759816</v>
      </c>
      <c r="H27" s="12" t="n">
        <v>80.4749637871742</v>
      </c>
      <c r="I27" s="12" t="n">
        <v>81.0893487264899</v>
      </c>
      <c r="J27" s="12" t="n">
        <v>78.6819583568633</v>
      </c>
      <c r="K27" s="12" t="n">
        <v>82.0196135112377</v>
      </c>
      <c r="L27" s="26" t="n">
        <f aca="false">AVERAGE(B27:K27)</f>
        <v>80.814213792544</v>
      </c>
      <c r="M27" s="12" t="n">
        <f aca="false">MIN(B27:K27)</f>
        <v>78.1777093584608</v>
      </c>
      <c r="N27" s="12" t="n">
        <f aca="false">MAX(B27:K27)</f>
        <v>83.2231279759816</v>
      </c>
    </row>
    <row r="28" customFormat="false" ht="27.75" hidden="false" customHeight="true" outlineLevel="0" collapsed="false">
      <c r="A28" s="4" t="s">
        <v>408</v>
      </c>
      <c r="B28" s="5" t="str">
        <f aca="false">INDEX($A$18:$A$27,MATCH(MAX(B18:B27),B18:B27,0))</f>
        <v>AI-led</v>
      </c>
      <c r="C28" s="5" t="str">
        <f aca="false">INDEX($A$18:$A$27,MATCH(MAX(C18:C27),C18:C27,0))</f>
        <v>AI-led</v>
      </c>
      <c r="D28" s="5" t="str">
        <f aca="false">INDEX($A$18:$A$27,MATCH(MAX(D18:D27),D18:D27,0))</f>
        <v>AI-led</v>
      </c>
      <c r="E28" s="5" t="str">
        <f aca="false">INDEX($A$18:$A$27,MATCH(MAX(E18:E27),E18:E27,0))</f>
        <v>Adaptive (evidence-responsive)</v>
      </c>
      <c r="F28" s="5" t="str">
        <f aca="false">INDEX($A$18:$A$27,MATCH(MAX(F18:F27),F18:F27,0))</f>
        <v>Adaptive (evidence-responsive)</v>
      </c>
      <c r="G28" s="5" t="str">
        <f aca="false">INDEX($A$18:$A$27,MATCH(MAX(G18:G27),G18:G27,0))</f>
        <v>AI-led</v>
      </c>
      <c r="H28" s="5" t="str">
        <f aca="false">INDEX($A$18:$A$27,MATCH(MAX(H18:H27),H18:H27,0))</f>
        <v>AI-led</v>
      </c>
      <c r="I28" s="5" t="str">
        <f aca="false">INDEX($A$18:$A$27,MATCH(MAX(I18:I27),I18:I27,0))</f>
        <v>Adaptive (evidence-responsive)</v>
      </c>
      <c r="J28" s="5" t="str">
        <f aca="false">INDEX($A$18:$A$27,MATCH(MAX(J18:J27),J18:J27,0))</f>
        <v>Adaptive (evidence-responsive)</v>
      </c>
      <c r="K28" s="5" t="str">
        <f aca="false">INDEX($A$18:$A$27,MATCH(MAX(K18:K27),K18:K27,0))</f>
        <v>AI-led</v>
      </c>
    </row>
    <row r="30" customFormat="false" ht="30" hidden="false" customHeight="true" outlineLevel="0" collapsed="false">
      <c r="A30" s="7" t="s">
        <v>157</v>
      </c>
      <c r="B30" s="7" t="s">
        <v>98</v>
      </c>
      <c r="C30" s="7" t="s">
        <v>101</v>
      </c>
      <c r="D30" s="7" t="s">
        <v>104</v>
      </c>
      <c r="E30" s="7" t="s">
        <v>107</v>
      </c>
      <c r="F30" s="7" t="s">
        <v>110</v>
      </c>
      <c r="G30" s="7" t="s">
        <v>113</v>
      </c>
      <c r="H30" s="7" t="s">
        <v>116</v>
      </c>
      <c r="I30" s="7" t="s">
        <v>119</v>
      </c>
      <c r="J30" s="7" t="s">
        <v>122</v>
      </c>
      <c r="K30" s="7" t="s">
        <v>125</v>
      </c>
      <c r="L30" s="7" t="s">
        <v>405</v>
      </c>
      <c r="M30" s="7" t="s">
        <v>406</v>
      </c>
      <c r="N30" s="7" t="s">
        <v>407</v>
      </c>
    </row>
    <row r="31" customFormat="false" ht="15" hidden="false" customHeight="false" outlineLevel="0" collapsed="false">
      <c r="A31" s="8" t="s">
        <v>36</v>
      </c>
      <c r="B31" s="9" t="n">
        <v>212.370707115408</v>
      </c>
      <c r="C31" s="9" t="n">
        <v>202.950145937118</v>
      </c>
      <c r="D31" s="9" t="n">
        <v>227.844315155378</v>
      </c>
      <c r="E31" s="9" t="n">
        <v>213.363638940925</v>
      </c>
      <c r="F31" s="9" t="n">
        <v>211.667410345919</v>
      </c>
      <c r="G31" s="9" t="n">
        <v>213.309286489797</v>
      </c>
      <c r="H31" s="9" t="n">
        <v>212.757405714285</v>
      </c>
      <c r="I31" s="9" t="n">
        <v>228.702788594578</v>
      </c>
      <c r="J31" s="9" t="n">
        <v>208.481100311156</v>
      </c>
      <c r="K31" s="9" t="n">
        <v>218.70423147698</v>
      </c>
      <c r="L31" s="27" t="n">
        <f aca="false">AVERAGE(B31:K31)</f>
        <v>215.015103008154</v>
      </c>
      <c r="M31" s="9" t="n">
        <f aca="false">MIN(B31:K31)</f>
        <v>202.950145937118</v>
      </c>
      <c r="N31" s="9" t="n">
        <f aca="false">MAX(B31:K31)</f>
        <v>228.702788594578</v>
      </c>
    </row>
    <row r="32" customFormat="false" ht="15" hidden="false" customHeight="false" outlineLevel="0" collapsed="false">
      <c r="A32" s="8" t="s">
        <v>41</v>
      </c>
      <c r="B32" s="9" t="n">
        <v>197.524078527406</v>
      </c>
      <c r="C32" s="9" t="n">
        <v>190.078740375448</v>
      </c>
      <c r="D32" s="9" t="n">
        <v>213.440947206166</v>
      </c>
      <c r="E32" s="9" t="n">
        <v>199.40706728234</v>
      </c>
      <c r="F32" s="9" t="n">
        <v>196.187387558172</v>
      </c>
      <c r="G32" s="9" t="n">
        <v>198.477424003857</v>
      </c>
      <c r="H32" s="9" t="n">
        <v>197.888058048101</v>
      </c>
      <c r="I32" s="9" t="n">
        <v>216.362673324495</v>
      </c>
      <c r="J32" s="9" t="n">
        <v>194.300002768747</v>
      </c>
      <c r="K32" s="9" t="n">
        <v>202.94661437396</v>
      </c>
      <c r="L32" s="27" t="n">
        <f aca="false">AVERAGE(B32:K32)</f>
        <v>200.661299346869</v>
      </c>
      <c r="M32" s="9" t="n">
        <f aca="false">MIN(B32:K32)</f>
        <v>190.078740375448</v>
      </c>
      <c r="N32" s="9" t="n">
        <f aca="false">MAX(B32:K32)</f>
        <v>216.362673324495</v>
      </c>
    </row>
    <row r="33" customFormat="false" ht="15" hidden="false" customHeight="false" outlineLevel="0" collapsed="false">
      <c r="A33" s="8" t="s">
        <v>46</v>
      </c>
      <c r="B33" s="9" t="n">
        <v>234.700094015825</v>
      </c>
      <c r="C33" s="9" t="n">
        <v>227.868907187356</v>
      </c>
      <c r="D33" s="9" t="n">
        <v>245.242419963809</v>
      </c>
      <c r="E33" s="9" t="n">
        <v>235.88189727323</v>
      </c>
      <c r="F33" s="9" t="n">
        <v>233.880950525754</v>
      </c>
      <c r="G33" s="9" t="n">
        <v>252.522762223376</v>
      </c>
      <c r="H33" s="9" t="n">
        <v>235.060669267442</v>
      </c>
      <c r="I33" s="9" t="n">
        <v>229.382357744341</v>
      </c>
      <c r="J33" s="9" t="n">
        <v>228.67163751243</v>
      </c>
      <c r="K33" s="9" t="n">
        <v>242.547022010428</v>
      </c>
      <c r="L33" s="27" t="n">
        <f aca="false">AVERAGE(B33:K33)</f>
        <v>236.575871772399</v>
      </c>
      <c r="M33" s="9" t="n">
        <f aca="false">MIN(B33:K33)</f>
        <v>227.868907187356</v>
      </c>
      <c r="N33" s="9" t="n">
        <f aca="false">MAX(B33:K33)</f>
        <v>252.522762223376</v>
      </c>
    </row>
    <row r="34" customFormat="false" ht="15" hidden="false" customHeight="false" outlineLevel="0" collapsed="false">
      <c r="A34" s="8" t="s">
        <v>51</v>
      </c>
      <c r="B34" s="9" t="n">
        <v>226.219991539104</v>
      </c>
      <c r="C34" s="9" t="n">
        <v>218.474648890562</v>
      </c>
      <c r="D34" s="9" t="n">
        <v>238.115801743183</v>
      </c>
      <c r="E34" s="9" t="n">
        <v>227.830786615246</v>
      </c>
      <c r="F34" s="9" t="n">
        <v>225.094329295664</v>
      </c>
      <c r="G34" s="9" t="n">
        <v>238.715110496552</v>
      </c>
      <c r="H34" s="9" t="n">
        <v>226.585359714568</v>
      </c>
      <c r="I34" s="9" t="n">
        <v>229.627908878926</v>
      </c>
      <c r="J34" s="9" t="n">
        <v>221.014139766992</v>
      </c>
      <c r="K34" s="9" t="n">
        <v>233.471695636094</v>
      </c>
      <c r="L34" s="27" t="n">
        <f aca="false">AVERAGE(B34:K34)</f>
        <v>228.514977257689</v>
      </c>
      <c r="M34" s="9" t="n">
        <f aca="false">MIN(B34:K34)</f>
        <v>218.474648890562</v>
      </c>
      <c r="N34" s="9" t="n">
        <f aca="false">MAX(B34:K34)</f>
        <v>238.715110496552</v>
      </c>
    </row>
    <row r="35" customFormat="false" ht="15" hidden="false" customHeight="false" outlineLevel="0" collapsed="false">
      <c r="A35" s="8" t="s">
        <v>55</v>
      </c>
      <c r="B35" s="9" t="n">
        <v>203.893159816572</v>
      </c>
      <c r="C35" s="9" t="n">
        <v>194.867857398629</v>
      </c>
      <c r="D35" s="9" t="n">
        <v>218.335805097803</v>
      </c>
      <c r="E35" s="9" t="n">
        <v>204.847832855894</v>
      </c>
      <c r="F35" s="9" t="n">
        <v>203.218129542262</v>
      </c>
      <c r="G35" s="9" t="n">
        <v>204.751989201875</v>
      </c>
      <c r="H35" s="9" t="n">
        <v>204.267303883336</v>
      </c>
      <c r="I35" s="9" t="n">
        <v>219.617660989997</v>
      </c>
      <c r="J35" s="9" t="n">
        <v>200.234101650625</v>
      </c>
      <c r="K35" s="9" t="n">
        <v>209.997754299078</v>
      </c>
      <c r="L35" s="27" t="n">
        <f aca="false">AVERAGE(B35:K35)</f>
        <v>206.403159473607</v>
      </c>
      <c r="M35" s="9" t="n">
        <f aca="false">MIN(B35:K35)</f>
        <v>194.867857398629</v>
      </c>
      <c r="N35" s="9" t="n">
        <f aca="false">MAX(B35:K35)</f>
        <v>219.617660989997</v>
      </c>
    </row>
    <row r="36" customFormat="false" ht="15" hidden="false" customHeight="false" outlineLevel="0" collapsed="false">
      <c r="A36" s="8" t="s">
        <v>59</v>
      </c>
      <c r="B36" s="9" t="n">
        <v>193.278429750093</v>
      </c>
      <c r="C36" s="9" t="n">
        <v>186.130449586425</v>
      </c>
      <c r="D36" s="9" t="n">
        <v>203.683689682434</v>
      </c>
      <c r="E36" s="9" t="n">
        <v>195.251547067355</v>
      </c>
      <c r="F36" s="9" t="n">
        <v>191.87810091195</v>
      </c>
      <c r="G36" s="9" t="n">
        <v>194.109020526033</v>
      </c>
      <c r="H36" s="9" t="n">
        <v>193.624189139196</v>
      </c>
      <c r="I36" s="9" t="n">
        <v>204.761430422064</v>
      </c>
      <c r="J36" s="9" t="n">
        <v>190.24978527724</v>
      </c>
      <c r="K36" s="9" t="n">
        <v>198.391015875196</v>
      </c>
      <c r="L36" s="27" t="n">
        <f aca="false">AVERAGE(B36:K36)</f>
        <v>195.135765823798</v>
      </c>
      <c r="M36" s="9" t="n">
        <f aca="false">MIN(B36:K36)</f>
        <v>186.130449586425</v>
      </c>
      <c r="N36" s="9" t="n">
        <f aca="false">MAX(B36:K36)</f>
        <v>204.761430422064</v>
      </c>
    </row>
    <row r="37" customFormat="false" ht="15" hidden="false" customHeight="false" outlineLevel="0" collapsed="false">
      <c r="A37" s="8" t="s">
        <v>63</v>
      </c>
      <c r="B37" s="9" t="n">
        <v>220.943888387599</v>
      </c>
      <c r="C37" s="9" t="n">
        <v>214.317719673752</v>
      </c>
      <c r="D37" s="9" t="n">
        <v>230.805655767049</v>
      </c>
      <c r="E37" s="9" t="n">
        <v>222.078287634459</v>
      </c>
      <c r="F37" s="9" t="n">
        <v>220.159895247793</v>
      </c>
      <c r="G37" s="9" t="n">
        <v>239.354829042832</v>
      </c>
      <c r="H37" s="9" t="n">
        <v>221.293428219195</v>
      </c>
      <c r="I37" s="9" t="n">
        <v>215.344888909882</v>
      </c>
      <c r="J37" s="9" t="n">
        <v>215.139816028078</v>
      </c>
      <c r="K37" s="9" t="n">
        <v>228.494694400776</v>
      </c>
      <c r="L37" s="27" t="n">
        <f aca="false">AVERAGE(B37:K37)</f>
        <v>222.793310331142</v>
      </c>
      <c r="M37" s="9" t="n">
        <f aca="false">MIN(B37:K37)</f>
        <v>214.317719673752</v>
      </c>
      <c r="N37" s="9" t="n">
        <f aca="false">MAX(B37:K37)</f>
        <v>239.354829042832</v>
      </c>
    </row>
    <row r="38" customFormat="false" ht="15" hidden="false" customHeight="false" outlineLevel="0" collapsed="false">
      <c r="A38" s="8" t="s">
        <v>67</v>
      </c>
      <c r="B38" s="9" t="n">
        <v>198.164187821147</v>
      </c>
      <c r="C38" s="9" t="n">
        <v>190.226847409267</v>
      </c>
      <c r="D38" s="9" t="n">
        <v>210.132503825324</v>
      </c>
      <c r="E38" s="9" t="n">
        <v>199.230621608548</v>
      </c>
      <c r="F38" s="9" t="n">
        <v>197.40803444672</v>
      </c>
      <c r="G38" s="9" t="n">
        <v>199.081191008911</v>
      </c>
      <c r="H38" s="9" t="n">
        <v>198.937441546507</v>
      </c>
      <c r="I38" s="9" t="n">
        <v>210.824792423961</v>
      </c>
      <c r="J38" s="9" t="n">
        <v>194.740393815941</v>
      </c>
      <c r="K38" s="9" t="n">
        <v>203.807139169355</v>
      </c>
      <c r="L38" s="27" t="n">
        <f aca="false">AVERAGE(B38:K38)</f>
        <v>200.255315307568</v>
      </c>
      <c r="M38" s="9" t="n">
        <f aca="false">MIN(B38:K38)</f>
        <v>190.226847409267</v>
      </c>
      <c r="N38" s="9" t="n">
        <f aca="false">MAX(B38:K38)</f>
        <v>210.824792423961</v>
      </c>
    </row>
    <row r="39" customFormat="false" ht="15" hidden="false" customHeight="false" outlineLevel="0" collapsed="false">
      <c r="A39" s="8" t="s">
        <v>72</v>
      </c>
      <c r="B39" s="9" t="n">
        <v>196.351794110749</v>
      </c>
      <c r="C39" s="9" t="n">
        <v>188.815425864912</v>
      </c>
      <c r="D39" s="9" t="n">
        <v>207.602761688717</v>
      </c>
      <c r="E39" s="9" t="n">
        <v>197.512499548908</v>
      </c>
      <c r="F39" s="9" t="n">
        <v>195.53342655243</v>
      </c>
      <c r="G39" s="9" t="n">
        <v>200.899498415729</v>
      </c>
      <c r="H39" s="9" t="n">
        <v>196.704615432494</v>
      </c>
      <c r="I39" s="9" t="n">
        <v>205.909774625534</v>
      </c>
      <c r="J39" s="9" t="n">
        <v>192.53262003976</v>
      </c>
      <c r="K39" s="9" t="n">
        <v>202.147028313436</v>
      </c>
      <c r="L39" s="27" t="n">
        <f aca="false">AVERAGE(B39:K39)</f>
        <v>198.400944459267</v>
      </c>
      <c r="M39" s="9" t="n">
        <f aca="false">MIN(B39:K39)</f>
        <v>188.815425864912</v>
      </c>
      <c r="N39" s="9" t="n">
        <f aca="false">MAX(B39:K39)</f>
        <v>207.602761688717</v>
      </c>
    </row>
    <row r="40" customFormat="false" ht="15" hidden="false" customHeight="false" outlineLevel="0" collapsed="false">
      <c r="A40" s="8" t="s">
        <v>77</v>
      </c>
      <c r="B40" s="9" t="n">
        <v>233.349231609353</v>
      </c>
      <c r="C40" s="9" t="n">
        <v>225.724133677638</v>
      </c>
      <c r="D40" s="9" t="n">
        <v>245.047746466477</v>
      </c>
      <c r="E40" s="9" t="n">
        <v>234.931116020749</v>
      </c>
      <c r="F40" s="9" t="n">
        <v>233.428845142583</v>
      </c>
      <c r="G40" s="9" t="n">
        <v>245.442814152419</v>
      </c>
      <c r="H40" s="9" t="n">
        <v>233.773131428995</v>
      </c>
      <c r="I40" s="9" t="n">
        <v>236.90148182554</v>
      </c>
      <c r="J40" s="9" t="n">
        <v>228.084878814552</v>
      </c>
      <c r="K40" s="9" t="n">
        <v>240.612062573664</v>
      </c>
      <c r="L40" s="27" t="n">
        <f aca="false">AVERAGE(B40:K40)</f>
        <v>235.729544171197</v>
      </c>
      <c r="M40" s="9" t="n">
        <f aca="false">MIN(B40:K40)</f>
        <v>225.724133677638</v>
      </c>
      <c r="N40" s="9" t="n">
        <f aca="false">MAX(B40:K40)</f>
        <v>245.442814152419</v>
      </c>
    </row>
    <row r="41" customFormat="false" ht="27.75" hidden="false" customHeight="true" outlineLevel="0" collapsed="false">
      <c r="A41" s="4" t="s">
        <v>408</v>
      </c>
      <c r="B41" s="5" t="str">
        <f aca="false">INDEX($A$31:$A$40,MATCH(MAX(B31:B40),B31:B40,0))</f>
        <v>AI-led</v>
      </c>
      <c r="C41" s="5" t="str">
        <f aca="false">INDEX($A$31:$A$40,MATCH(MAX(C31:C40),C31:C40,0))</f>
        <v>AI-led</v>
      </c>
      <c r="D41" s="5" t="str">
        <f aca="false">INDEX($A$31:$A$40,MATCH(MAX(D31:D40),D31:D40,0))</f>
        <v>AI-led</v>
      </c>
      <c r="E41" s="5" t="str">
        <f aca="false">INDEX($A$31:$A$40,MATCH(MAX(E31:E40),E31:E40,0))</f>
        <v>AI-led</v>
      </c>
      <c r="F41" s="5" t="str">
        <f aca="false">INDEX($A$31:$A$40,MATCH(MAX(F31:F40),F31:F40,0))</f>
        <v>AI-led</v>
      </c>
      <c r="G41" s="5" t="str">
        <f aca="false">INDEX($A$31:$A$40,MATCH(MAX(G31:G40),G31:G40,0))</f>
        <v>AI-led</v>
      </c>
      <c r="H41" s="5" t="str">
        <f aca="false">INDEX($A$31:$A$40,MATCH(MAX(H31:H40),H31:H40,0))</f>
        <v>AI-led</v>
      </c>
      <c r="I41" s="5" t="str">
        <f aca="false">INDEX($A$31:$A$40,MATCH(MAX(I31:I40),I31:I40,0))</f>
        <v>Adaptive (evidence-responsive)</v>
      </c>
      <c r="J41" s="5" t="str">
        <f aca="false">INDEX($A$31:$A$40,MATCH(MAX(J31:J40),J31:J40,0))</f>
        <v>AI-led</v>
      </c>
      <c r="K41" s="5" t="str">
        <f aca="false">INDEX($A$31:$A$40,MATCH(MAX(K31:K40),K31:K40,0))</f>
        <v>AI-led</v>
      </c>
    </row>
    <row r="43" customFormat="false" ht="30" hidden="false" customHeight="true" outlineLevel="0" collapsed="false">
      <c r="A43" s="7" t="s">
        <v>157</v>
      </c>
      <c r="B43" s="7" t="s">
        <v>98</v>
      </c>
      <c r="C43" s="7" t="s">
        <v>101</v>
      </c>
      <c r="D43" s="7" t="s">
        <v>104</v>
      </c>
      <c r="E43" s="7" t="s">
        <v>107</v>
      </c>
      <c r="F43" s="7" t="s">
        <v>110</v>
      </c>
      <c r="G43" s="7" t="s">
        <v>113</v>
      </c>
      <c r="H43" s="7" t="s">
        <v>116</v>
      </c>
      <c r="I43" s="7" t="s">
        <v>119</v>
      </c>
      <c r="J43" s="7" t="s">
        <v>122</v>
      </c>
      <c r="K43" s="7" t="s">
        <v>125</v>
      </c>
      <c r="L43" s="7" t="s">
        <v>405</v>
      </c>
      <c r="M43" s="7" t="s">
        <v>406</v>
      </c>
      <c r="N43" s="7" t="s">
        <v>407</v>
      </c>
    </row>
    <row r="44" customFormat="false" ht="15" hidden="false" customHeight="false" outlineLevel="0" collapsed="false">
      <c r="A44" s="8" t="s">
        <v>36</v>
      </c>
      <c r="B44" s="9" t="n">
        <v>249.952847937679</v>
      </c>
      <c r="C44" s="9" t="n">
        <v>229.508766299505</v>
      </c>
      <c r="D44" s="9" t="n">
        <v>283.29804404199</v>
      </c>
      <c r="E44" s="9" t="n">
        <v>251.265760454025</v>
      </c>
      <c r="F44" s="9" t="n">
        <v>249.01636461122</v>
      </c>
      <c r="G44" s="9" t="n">
        <v>253.268471013396</v>
      </c>
      <c r="H44" s="9" t="n">
        <v>250.692007717816</v>
      </c>
      <c r="I44" s="9" t="n">
        <v>287.529868239455</v>
      </c>
      <c r="J44" s="9" t="n">
        <v>245.206529497982</v>
      </c>
      <c r="K44" s="9" t="n">
        <v>258.623626670998</v>
      </c>
      <c r="L44" s="27" t="n">
        <f aca="false">AVERAGE(B44:K44)</f>
        <v>255.836228648407</v>
      </c>
      <c r="M44" s="9" t="n">
        <f aca="false">MIN(B44:K44)</f>
        <v>229.508766299505</v>
      </c>
      <c r="N44" s="9" t="n">
        <f aca="false">MAX(B44:K44)</f>
        <v>287.529868239455</v>
      </c>
    </row>
    <row r="45" customFormat="false" ht="15" hidden="false" customHeight="false" outlineLevel="0" collapsed="false">
      <c r="A45" s="8" t="s">
        <v>41</v>
      </c>
      <c r="B45" s="9" t="n">
        <v>199.832100696294</v>
      </c>
      <c r="C45" s="9" t="n">
        <v>181.554633365507</v>
      </c>
      <c r="D45" s="9" t="n">
        <v>232.361386289149</v>
      </c>
      <c r="E45" s="9" t="n">
        <v>202.128721099823</v>
      </c>
      <c r="F45" s="9" t="n">
        <v>198.194679393233</v>
      </c>
      <c r="G45" s="9" t="n">
        <v>203.237459867311</v>
      </c>
      <c r="H45" s="9" t="n">
        <v>200.55360763894</v>
      </c>
      <c r="I45" s="9" t="n">
        <v>222.265411908368</v>
      </c>
      <c r="J45" s="9" t="n">
        <v>196.013463136103</v>
      </c>
      <c r="K45" s="9" t="n">
        <v>206.986963497426</v>
      </c>
      <c r="L45" s="27" t="n">
        <f aca="false">AVERAGE(B45:K45)</f>
        <v>204.312842689215</v>
      </c>
      <c r="M45" s="9" t="n">
        <f aca="false">MIN(B45:K45)</f>
        <v>181.554633365507</v>
      </c>
      <c r="N45" s="9" t="n">
        <f aca="false">MAX(B45:K45)</f>
        <v>232.361386289149</v>
      </c>
    </row>
    <row r="46" customFormat="false" ht="15" hidden="false" customHeight="false" outlineLevel="0" collapsed="false">
      <c r="A46" s="8" t="s">
        <v>46</v>
      </c>
      <c r="B46" s="9" t="n">
        <v>277.757568723759</v>
      </c>
      <c r="C46" s="9" t="n">
        <v>263.038892916748</v>
      </c>
      <c r="D46" s="9" t="n">
        <v>301.569234458603</v>
      </c>
      <c r="E46" s="9" t="n">
        <v>279.274354433948</v>
      </c>
      <c r="F46" s="9" t="n">
        <v>276.696401239877</v>
      </c>
      <c r="G46" s="9" t="n">
        <v>328.843902120726</v>
      </c>
      <c r="H46" s="9" t="n">
        <v>278.458167414555</v>
      </c>
      <c r="I46" s="9" t="n">
        <v>262.407397191764</v>
      </c>
      <c r="J46" s="9" t="n">
        <v>269.01775552512</v>
      </c>
      <c r="K46" s="9" t="n">
        <v>289.987750912076</v>
      </c>
      <c r="L46" s="27" t="n">
        <f aca="false">AVERAGE(B46:K46)</f>
        <v>282.705142493718</v>
      </c>
      <c r="M46" s="9" t="n">
        <f aca="false">MIN(B46:K46)</f>
        <v>262.407397191764</v>
      </c>
      <c r="N46" s="9" t="n">
        <f aca="false">MAX(B46:K46)</f>
        <v>328.843902120726</v>
      </c>
    </row>
    <row r="47" customFormat="false" ht="15" hidden="false" customHeight="false" outlineLevel="0" collapsed="false">
      <c r="A47" s="8" t="s">
        <v>51</v>
      </c>
      <c r="B47" s="9" t="n">
        <v>273.093995484319</v>
      </c>
      <c r="C47" s="9" t="n">
        <v>255.453819435294</v>
      </c>
      <c r="D47" s="9" t="n">
        <v>300.658215773897</v>
      </c>
      <c r="E47" s="9" t="n">
        <v>275.044476412838</v>
      </c>
      <c r="F47" s="9" t="n">
        <v>271.71957045998</v>
      </c>
      <c r="G47" s="9" t="n">
        <v>304.016802758693</v>
      </c>
      <c r="H47" s="9" t="n">
        <v>273.813332306194</v>
      </c>
      <c r="I47" s="9" t="n">
        <v>282.787285788518</v>
      </c>
      <c r="J47" s="9" t="n">
        <v>265.983637452697</v>
      </c>
      <c r="K47" s="9" t="n">
        <v>283.698636444247</v>
      </c>
      <c r="L47" s="27" t="n">
        <f aca="false">AVERAGE(B47:K47)</f>
        <v>278.626977231668</v>
      </c>
      <c r="M47" s="9" t="n">
        <f aca="false">MIN(B47:K47)</f>
        <v>255.453819435294</v>
      </c>
      <c r="N47" s="9" t="n">
        <f aca="false">MAX(B47:K47)</f>
        <v>304.016802758693</v>
      </c>
    </row>
    <row r="48" customFormat="false" ht="15" hidden="false" customHeight="false" outlineLevel="0" collapsed="false">
      <c r="A48" s="8" t="s">
        <v>55</v>
      </c>
      <c r="B48" s="9" t="n">
        <v>257.077331171122</v>
      </c>
      <c r="C48" s="9" t="n">
        <v>235.874137837083</v>
      </c>
      <c r="D48" s="9" t="n">
        <v>289.870745258271</v>
      </c>
      <c r="E48" s="9" t="n">
        <v>258.374121162751</v>
      </c>
      <c r="F48" s="9" t="n">
        <v>256.153151937028</v>
      </c>
      <c r="G48" s="9" t="n">
        <v>260.268433766936</v>
      </c>
      <c r="H48" s="9" t="n">
        <v>257.811972352138</v>
      </c>
      <c r="I48" s="9" t="n">
        <v>294.901605755894</v>
      </c>
      <c r="J48" s="9" t="n">
        <v>252.574061112105</v>
      </c>
      <c r="K48" s="9" t="n">
        <v>265.386539748593</v>
      </c>
      <c r="L48" s="27" t="n">
        <f aca="false">AVERAGE(B48:K48)</f>
        <v>262.829210010192</v>
      </c>
      <c r="M48" s="9" t="n">
        <f aca="false">MIN(B48:K48)</f>
        <v>235.874137837083</v>
      </c>
      <c r="N48" s="9" t="n">
        <f aca="false">MAX(B48:K48)</f>
        <v>294.901605755894</v>
      </c>
    </row>
    <row r="49" customFormat="false" ht="15" hidden="false" customHeight="false" outlineLevel="0" collapsed="false">
      <c r="A49" s="8" t="s">
        <v>59</v>
      </c>
      <c r="B49" s="9" t="n">
        <v>196.935099803728</v>
      </c>
      <c r="C49" s="9" t="n">
        <v>178.615236810712</v>
      </c>
      <c r="D49" s="9" t="n">
        <v>224.446607987704</v>
      </c>
      <c r="E49" s="9" t="n">
        <v>199.448429187542</v>
      </c>
      <c r="F49" s="9" t="n">
        <v>195.143743014372</v>
      </c>
      <c r="G49" s="9" t="n">
        <v>200.35546701038</v>
      </c>
      <c r="H49" s="9" t="n">
        <v>197.679293411183</v>
      </c>
      <c r="I49" s="9" t="n">
        <v>228.877156471044</v>
      </c>
      <c r="J49" s="9" t="n">
        <v>193.25683095611</v>
      </c>
      <c r="K49" s="9" t="n">
        <v>203.996480904118</v>
      </c>
      <c r="L49" s="27" t="n">
        <f aca="false">AVERAGE(B49:K49)</f>
        <v>201.87543455569</v>
      </c>
      <c r="M49" s="9" t="n">
        <f aca="false">MIN(B49:K49)</f>
        <v>178.615236810712</v>
      </c>
      <c r="N49" s="9" t="n">
        <f aca="false">MAX(B49:K49)</f>
        <v>228.877156471044</v>
      </c>
    </row>
    <row r="50" customFormat="false" ht="15" hidden="false" customHeight="false" outlineLevel="0" collapsed="false">
      <c r="A50" s="8" t="s">
        <v>63</v>
      </c>
      <c r="B50" s="9" t="n">
        <v>258.249273648956</v>
      </c>
      <c r="C50" s="9" t="n">
        <v>243.368389773763</v>
      </c>
      <c r="D50" s="9" t="n">
        <v>281.514383428847</v>
      </c>
      <c r="E50" s="9" t="n">
        <v>259.761147969346</v>
      </c>
      <c r="F50" s="9" t="n">
        <v>257.193600684793</v>
      </c>
      <c r="G50" s="9" t="n">
        <v>311.22026140232</v>
      </c>
      <c r="H50" s="9" t="n">
        <v>258.946330249555</v>
      </c>
      <c r="I50" s="9" t="n">
        <v>242.169136988572</v>
      </c>
      <c r="J50" s="9" t="n">
        <v>249.864744745626</v>
      </c>
      <c r="K50" s="9" t="n">
        <v>269.985655081659</v>
      </c>
      <c r="L50" s="27" t="n">
        <f aca="false">AVERAGE(B50:K50)</f>
        <v>263.227292397344</v>
      </c>
      <c r="M50" s="9" t="n">
        <f aca="false">MIN(B50:K50)</f>
        <v>242.169136988572</v>
      </c>
      <c r="N50" s="9" t="n">
        <f aca="false">MAX(B50:K50)</f>
        <v>311.22026140232</v>
      </c>
    </row>
    <row r="51" customFormat="false" ht="15" hidden="false" customHeight="false" outlineLevel="0" collapsed="false">
      <c r="A51" s="8" t="s">
        <v>67</v>
      </c>
      <c r="B51" s="9" t="n">
        <v>214.012726287484</v>
      </c>
      <c r="C51" s="9" t="n">
        <v>195.10628327223</v>
      </c>
      <c r="D51" s="9" t="n">
        <v>242.15463002139</v>
      </c>
      <c r="E51" s="9" t="n">
        <v>215.493885950038</v>
      </c>
      <c r="F51" s="9" t="n">
        <v>212.955394003639</v>
      </c>
      <c r="G51" s="9" t="n">
        <v>217.558695685963</v>
      </c>
      <c r="H51" s="9" t="n">
        <v>215.340161078505</v>
      </c>
      <c r="I51" s="9" t="n">
        <v>245.709920462189</v>
      </c>
      <c r="J51" s="9" t="n">
        <v>209.768769777209</v>
      </c>
      <c r="K51" s="9" t="n">
        <v>221.945110451771</v>
      </c>
      <c r="L51" s="27" t="n">
        <f aca="false">AVERAGE(B51:K51)</f>
        <v>219.004557699042</v>
      </c>
      <c r="M51" s="9" t="n">
        <f aca="false">MIN(B51:K51)</f>
        <v>195.10628327223</v>
      </c>
      <c r="N51" s="9" t="n">
        <f aca="false">MAX(B51:K51)</f>
        <v>245.709920462189</v>
      </c>
    </row>
    <row r="52" customFormat="false" ht="15" hidden="false" customHeight="false" outlineLevel="0" collapsed="false">
      <c r="A52" s="8" t="s">
        <v>72</v>
      </c>
      <c r="B52" s="9" t="n">
        <v>223.165781054338</v>
      </c>
      <c r="C52" s="9" t="n">
        <v>204.579515588857</v>
      </c>
      <c r="D52" s="9" t="n">
        <v>251.403847505738</v>
      </c>
      <c r="E52" s="9" t="n">
        <v>224.76074662959</v>
      </c>
      <c r="F52" s="9" t="n">
        <v>222.031628016482</v>
      </c>
      <c r="G52" s="9" t="n">
        <v>234.158840757375</v>
      </c>
      <c r="H52" s="9" t="n">
        <v>223.905106698413</v>
      </c>
      <c r="I52" s="9" t="n">
        <v>250.44843391688</v>
      </c>
      <c r="J52" s="9" t="n">
        <v>218.143092008287</v>
      </c>
      <c r="K52" s="9" t="n">
        <v>231.647014350983</v>
      </c>
      <c r="L52" s="27" t="n">
        <f aca="false">AVERAGE(B52:K52)</f>
        <v>228.424400652694</v>
      </c>
      <c r="M52" s="9" t="n">
        <f aca="false">MIN(B52:K52)</f>
        <v>204.579515588857</v>
      </c>
      <c r="N52" s="9" t="n">
        <f aca="false">MAX(B52:K52)</f>
        <v>251.403847505738</v>
      </c>
    </row>
    <row r="53" customFormat="false" ht="15" hidden="false" customHeight="false" outlineLevel="0" collapsed="false">
      <c r="A53" s="8" t="s">
        <v>77</v>
      </c>
      <c r="B53" s="9" t="n">
        <v>262.124995596988</v>
      </c>
      <c r="C53" s="9" t="n">
        <v>245.024770145065</v>
      </c>
      <c r="D53" s="9" t="n">
        <v>288.724062515929</v>
      </c>
      <c r="E53" s="9" t="n">
        <v>263.985120463453</v>
      </c>
      <c r="F53" s="9" t="n">
        <v>263.427620962986</v>
      </c>
      <c r="G53" s="9" t="n">
        <v>289.63271601675</v>
      </c>
      <c r="H53" s="9" t="n">
        <v>262.907039850639</v>
      </c>
      <c r="I53" s="9" t="n">
        <v>273.592916585888</v>
      </c>
      <c r="J53" s="9" t="n">
        <v>254.998107882396</v>
      </c>
      <c r="K53" s="9" t="n">
        <v>272.655807535615</v>
      </c>
      <c r="L53" s="27" t="n">
        <f aca="false">AVERAGE(B53:K53)</f>
        <v>267.707315755571</v>
      </c>
      <c r="M53" s="9" t="n">
        <f aca="false">MIN(B53:K53)</f>
        <v>245.024770145065</v>
      </c>
      <c r="N53" s="9" t="n">
        <f aca="false">MAX(B53:K53)</f>
        <v>289.63271601675</v>
      </c>
    </row>
    <row r="54" customFormat="false" ht="27.75" hidden="false" customHeight="true" outlineLevel="0" collapsed="false">
      <c r="A54" s="4" t="s">
        <v>408</v>
      </c>
      <c r="B54" s="5" t="str">
        <f aca="false">INDEX($A$44:$A$53,MATCH(MAX(B44:B53),B44:B53,0))</f>
        <v>AI-led</v>
      </c>
      <c r="C54" s="5" t="str">
        <f aca="false">INDEX($A$44:$A$53,MATCH(MAX(C44:C53),C44:C53,0))</f>
        <v>AI-led</v>
      </c>
      <c r="D54" s="5" t="str">
        <f aca="false">INDEX($A$44:$A$53,MATCH(MAX(D44:D53),D44:D53,0))</f>
        <v>AI-led</v>
      </c>
      <c r="E54" s="5" t="str">
        <f aca="false">INDEX($A$44:$A$53,MATCH(MAX(E44:E53),E44:E53,0))</f>
        <v>AI-led</v>
      </c>
      <c r="F54" s="5" t="str">
        <f aca="false">INDEX($A$44:$A$53,MATCH(MAX(F44:F53),F44:F53,0))</f>
        <v>AI-led</v>
      </c>
      <c r="G54" s="5" t="str">
        <f aca="false">INDEX($A$44:$A$53,MATCH(MAX(G44:G53),G44:G53,0))</f>
        <v>AI-led</v>
      </c>
      <c r="H54" s="5" t="str">
        <f aca="false">INDEX($A$44:$A$53,MATCH(MAX(H44:H53),H44:H53,0))</f>
        <v>AI-led</v>
      </c>
      <c r="I54" s="5" t="str">
        <f aca="false">INDEX($A$44:$A$53,MATCH(MAX(I44:I53),I44:I53,0))</f>
        <v>Consumer-only</v>
      </c>
      <c r="J54" s="5" t="str">
        <f aca="false">INDEX($A$44:$A$53,MATCH(MAX(J44:J53),J44:J53,0))</f>
        <v>AI-led</v>
      </c>
      <c r="K54" s="5" t="str">
        <f aca="false">INDEX($A$44:$A$53,MATCH(MAX(K44:K53),K44:K53,0))</f>
        <v>AI-led</v>
      </c>
    </row>
    <row r="56" customFormat="false" ht="30" hidden="false" customHeight="true" outlineLevel="0" collapsed="false">
      <c r="A56" s="7" t="s">
        <v>157</v>
      </c>
      <c r="B56" s="7" t="s">
        <v>98</v>
      </c>
      <c r="C56" s="7" t="s">
        <v>101</v>
      </c>
      <c r="D56" s="7" t="s">
        <v>104</v>
      </c>
      <c r="E56" s="7" t="s">
        <v>107</v>
      </c>
      <c r="F56" s="7" t="s">
        <v>110</v>
      </c>
      <c r="G56" s="7" t="s">
        <v>113</v>
      </c>
      <c r="H56" s="7" t="s">
        <v>116</v>
      </c>
      <c r="I56" s="7" t="s">
        <v>119</v>
      </c>
      <c r="J56" s="7" t="s">
        <v>122</v>
      </c>
      <c r="K56" s="7" t="s">
        <v>125</v>
      </c>
      <c r="L56" s="7" t="s">
        <v>409</v>
      </c>
      <c r="M56" s="7" t="s">
        <v>410</v>
      </c>
    </row>
    <row r="57" customFormat="false" ht="15" hidden="false" customHeight="false" outlineLevel="0" collapsed="false">
      <c r="A57" s="8" t="s">
        <v>36</v>
      </c>
      <c r="B57" s="13" t="n">
        <f aca="false">RANK(B5,B$5:B$14)</f>
        <v>5</v>
      </c>
      <c r="C57" s="13" t="n">
        <f aca="false">RANK(C5,C$5:C$14)</f>
        <v>5</v>
      </c>
      <c r="D57" s="13" t="n">
        <f aca="false">RANK(D5,D$5:D$14)</f>
        <v>5</v>
      </c>
      <c r="E57" s="13" t="n">
        <f aca="false">RANK(E5,E$5:E$14)</f>
        <v>5</v>
      </c>
      <c r="F57" s="13" t="n">
        <f aca="false">RANK(F5,F$5:F$14)</f>
        <v>5</v>
      </c>
      <c r="G57" s="13" t="n">
        <f aca="false">RANK(G5,G$5:G$14)</f>
        <v>5</v>
      </c>
      <c r="H57" s="13" t="n">
        <f aca="false">RANK(H5,H$5:H$14)</f>
        <v>5</v>
      </c>
      <c r="I57" s="13" t="n">
        <f aca="false">RANK(I5,I$5:I$14)</f>
        <v>4</v>
      </c>
      <c r="J57" s="13" t="n">
        <f aca="false">RANK(J5,J$5:J$14)</f>
        <v>5</v>
      </c>
      <c r="K57" s="13" t="n">
        <f aca="false">RANK(K5,K$5:K$14)</f>
        <v>5</v>
      </c>
      <c r="L57" s="15" t="n">
        <f aca="false">MIN(B57:K57)</f>
        <v>4</v>
      </c>
      <c r="M57" s="15" t="n">
        <f aca="false">MAX(B57:K57)</f>
        <v>5</v>
      </c>
    </row>
    <row r="58" customFormat="false" ht="15" hidden="false" customHeight="false" outlineLevel="0" collapsed="false">
      <c r="A58" s="8" t="s">
        <v>41</v>
      </c>
      <c r="B58" s="13" t="n">
        <f aca="false">RANK(B6,B$5:B$14)</f>
        <v>9</v>
      </c>
      <c r="C58" s="13" t="n">
        <f aca="false">RANK(C6,C$5:C$14)</f>
        <v>9</v>
      </c>
      <c r="D58" s="13" t="n">
        <f aca="false">RANK(D6,D$5:D$14)</f>
        <v>9</v>
      </c>
      <c r="E58" s="13" t="n">
        <f aca="false">RANK(E6,E$5:E$14)</f>
        <v>9</v>
      </c>
      <c r="F58" s="13" t="n">
        <f aca="false">RANK(F6,F$5:F$14)</f>
        <v>9</v>
      </c>
      <c r="G58" s="13" t="n">
        <f aca="false">RANK(G6,G$5:G$14)</f>
        <v>9</v>
      </c>
      <c r="H58" s="13" t="n">
        <f aca="false">RANK(H6,H$5:H$14)</f>
        <v>9</v>
      </c>
      <c r="I58" s="13" t="n">
        <f aca="false">RANK(I6,I$5:I$14)</f>
        <v>9</v>
      </c>
      <c r="J58" s="13" t="n">
        <f aca="false">RANK(J6,J$5:J$14)</f>
        <v>9</v>
      </c>
      <c r="K58" s="13" t="n">
        <f aca="false">RANK(K6,K$5:K$14)</f>
        <v>9</v>
      </c>
      <c r="L58" s="15" t="n">
        <f aca="false">MIN(B58:K58)</f>
        <v>9</v>
      </c>
      <c r="M58" s="15" t="n">
        <f aca="false">MAX(B58:K58)</f>
        <v>9</v>
      </c>
    </row>
    <row r="59" customFormat="false" ht="15" hidden="false" customHeight="false" outlineLevel="0" collapsed="false">
      <c r="A59" s="8" t="s">
        <v>46</v>
      </c>
      <c r="B59" s="13" t="n">
        <f aca="false">RANK(B7,B$5:B$14)</f>
        <v>2</v>
      </c>
      <c r="C59" s="13" t="n">
        <f aca="false">RANK(C7,C$5:C$14)</f>
        <v>1</v>
      </c>
      <c r="D59" s="13" t="n">
        <f aca="false">RANK(D7,D$5:D$14)</f>
        <v>2</v>
      </c>
      <c r="E59" s="13" t="n">
        <f aca="false">RANK(E7,E$5:E$14)</f>
        <v>2</v>
      </c>
      <c r="F59" s="13" t="n">
        <f aca="false">RANK(F7,F$5:F$14)</f>
        <v>2</v>
      </c>
      <c r="G59" s="13" t="n">
        <f aca="false">RANK(G7,G$5:G$14)</f>
        <v>1</v>
      </c>
      <c r="H59" s="13" t="n">
        <f aca="false">RANK(H7,H$5:H$14)</f>
        <v>2</v>
      </c>
      <c r="I59" s="13" t="n">
        <f aca="false">RANK(I7,I$5:I$14)</f>
        <v>3</v>
      </c>
      <c r="J59" s="13" t="n">
        <f aca="false">RANK(J7,J$5:J$14)</f>
        <v>2</v>
      </c>
      <c r="K59" s="13" t="n">
        <f aca="false">RANK(K7,K$5:K$14)</f>
        <v>2</v>
      </c>
      <c r="L59" s="15" t="n">
        <f aca="false">MIN(B59:K59)</f>
        <v>1</v>
      </c>
      <c r="M59" s="15" t="n">
        <f aca="false">MAX(B59:K59)</f>
        <v>3</v>
      </c>
    </row>
    <row r="60" customFormat="false" ht="15" hidden="false" customHeight="false" outlineLevel="0" collapsed="false">
      <c r="A60" s="8" t="s">
        <v>51</v>
      </c>
      <c r="B60" s="13" t="n">
        <f aca="false">RANK(B8,B$5:B$14)</f>
        <v>3</v>
      </c>
      <c r="C60" s="13" t="n">
        <f aca="false">RANK(C8,C$5:C$14)</f>
        <v>3</v>
      </c>
      <c r="D60" s="13" t="n">
        <f aca="false">RANK(D8,D$5:D$14)</f>
        <v>3</v>
      </c>
      <c r="E60" s="13" t="n">
        <f aca="false">RANK(E8,E$5:E$14)</f>
        <v>3</v>
      </c>
      <c r="F60" s="13" t="n">
        <f aca="false">RANK(F8,F$5:F$14)</f>
        <v>3</v>
      </c>
      <c r="G60" s="13" t="n">
        <f aca="false">RANK(G8,G$5:G$14)</f>
        <v>3</v>
      </c>
      <c r="H60" s="13" t="n">
        <f aca="false">RANK(H8,H$5:H$14)</f>
        <v>3</v>
      </c>
      <c r="I60" s="13" t="n">
        <f aca="false">RANK(I8,I$5:I$14)</f>
        <v>2</v>
      </c>
      <c r="J60" s="13" t="n">
        <f aca="false">RANK(J8,J$5:J$14)</f>
        <v>3</v>
      </c>
      <c r="K60" s="13" t="n">
        <f aca="false">RANK(K8,K$5:K$14)</f>
        <v>3</v>
      </c>
      <c r="L60" s="15" t="n">
        <f aca="false">MIN(B60:K60)</f>
        <v>2</v>
      </c>
      <c r="M60" s="15" t="n">
        <f aca="false">MAX(B60:K60)</f>
        <v>3</v>
      </c>
    </row>
    <row r="61" customFormat="false" ht="15" hidden="false" customHeight="false" outlineLevel="0" collapsed="false">
      <c r="A61" s="8" t="s">
        <v>55</v>
      </c>
      <c r="B61" s="13" t="n">
        <f aca="false">RANK(B9,B$5:B$14)</f>
        <v>7</v>
      </c>
      <c r="C61" s="13" t="n">
        <f aca="false">RANK(C9,C$5:C$14)</f>
        <v>6</v>
      </c>
      <c r="D61" s="13" t="n">
        <f aca="false">RANK(D9,D$5:D$14)</f>
        <v>7</v>
      </c>
      <c r="E61" s="13" t="n">
        <f aca="false">RANK(E9,E$5:E$14)</f>
        <v>7</v>
      </c>
      <c r="F61" s="13" t="n">
        <f aca="false">RANK(F9,F$5:F$14)</f>
        <v>6</v>
      </c>
      <c r="G61" s="13" t="n">
        <f aca="false">RANK(G9,G$5:G$14)</f>
        <v>6</v>
      </c>
      <c r="H61" s="13" t="n">
        <f aca="false">RANK(H9,H$5:H$14)</f>
        <v>7</v>
      </c>
      <c r="I61" s="13" t="n">
        <f aca="false">RANK(I9,I$5:I$14)</f>
        <v>6</v>
      </c>
      <c r="J61" s="13" t="n">
        <f aca="false">RANK(J9,J$5:J$14)</f>
        <v>6</v>
      </c>
      <c r="K61" s="13" t="n">
        <f aca="false">RANK(K9,K$5:K$14)</f>
        <v>6</v>
      </c>
      <c r="L61" s="15" t="n">
        <f aca="false">MIN(B61:K61)</f>
        <v>6</v>
      </c>
      <c r="M61" s="15" t="n">
        <f aca="false">MAX(B61:K61)</f>
        <v>7</v>
      </c>
    </row>
    <row r="62" customFormat="false" ht="15" hidden="false" customHeight="false" outlineLevel="0" collapsed="false">
      <c r="A62" s="8" t="s">
        <v>59</v>
      </c>
      <c r="B62" s="13" t="n">
        <f aca="false">RANK(B10,B$5:B$14)</f>
        <v>10</v>
      </c>
      <c r="C62" s="13" t="n">
        <f aca="false">RANK(C10,C$5:C$14)</f>
        <v>10</v>
      </c>
      <c r="D62" s="13" t="n">
        <f aca="false">RANK(D10,D$5:D$14)</f>
        <v>10</v>
      </c>
      <c r="E62" s="13" t="n">
        <f aca="false">RANK(E10,E$5:E$14)</f>
        <v>10</v>
      </c>
      <c r="F62" s="13" t="n">
        <f aca="false">RANK(F10,F$5:F$14)</f>
        <v>10</v>
      </c>
      <c r="G62" s="13" t="n">
        <f aca="false">RANK(G10,G$5:G$14)</f>
        <v>10</v>
      </c>
      <c r="H62" s="13" t="n">
        <f aca="false">RANK(H10,H$5:H$14)</f>
        <v>10</v>
      </c>
      <c r="I62" s="13" t="n">
        <f aca="false">RANK(I10,I$5:I$14)</f>
        <v>10</v>
      </c>
      <c r="J62" s="13" t="n">
        <f aca="false">RANK(J10,J$5:J$14)</f>
        <v>10</v>
      </c>
      <c r="K62" s="13" t="n">
        <f aca="false">RANK(K10,K$5:K$14)</f>
        <v>10</v>
      </c>
      <c r="L62" s="15" t="n">
        <f aca="false">MIN(B62:K62)</f>
        <v>10</v>
      </c>
      <c r="M62" s="15" t="n">
        <f aca="false">MAX(B62:K62)</f>
        <v>10</v>
      </c>
    </row>
    <row r="63" customFormat="false" ht="15" hidden="false" customHeight="false" outlineLevel="0" collapsed="false">
      <c r="A63" s="8" t="s">
        <v>63</v>
      </c>
      <c r="B63" s="13" t="n">
        <f aca="false">RANK(B11,B$5:B$14)</f>
        <v>4</v>
      </c>
      <c r="C63" s="13" t="n">
        <f aca="false">RANK(C11,C$5:C$14)</f>
        <v>4</v>
      </c>
      <c r="D63" s="13" t="n">
        <f aca="false">RANK(D11,D$5:D$14)</f>
        <v>4</v>
      </c>
      <c r="E63" s="13" t="n">
        <f aca="false">RANK(E11,E$5:E$14)</f>
        <v>4</v>
      </c>
      <c r="F63" s="13" t="n">
        <f aca="false">RANK(F11,F$5:F$14)</f>
        <v>4</v>
      </c>
      <c r="G63" s="13" t="n">
        <f aca="false">RANK(G11,G$5:G$14)</f>
        <v>4</v>
      </c>
      <c r="H63" s="13" t="n">
        <f aca="false">RANK(H11,H$5:H$14)</f>
        <v>4</v>
      </c>
      <c r="I63" s="13" t="n">
        <f aca="false">RANK(I11,I$5:I$14)</f>
        <v>7</v>
      </c>
      <c r="J63" s="13" t="n">
        <f aca="false">RANK(J11,J$5:J$14)</f>
        <v>4</v>
      </c>
      <c r="K63" s="13" t="n">
        <f aca="false">RANK(K11,K$5:K$14)</f>
        <v>4</v>
      </c>
      <c r="L63" s="15" t="n">
        <f aca="false">MIN(B63:K63)</f>
        <v>4</v>
      </c>
      <c r="M63" s="15" t="n">
        <f aca="false">MAX(B63:K63)</f>
        <v>7</v>
      </c>
    </row>
    <row r="64" customFormat="false" ht="15" hidden="false" customHeight="false" outlineLevel="0" collapsed="false">
      <c r="A64" s="8" t="s">
        <v>67</v>
      </c>
      <c r="B64" s="13" t="n">
        <f aca="false">RANK(B12,B$5:B$14)</f>
        <v>6</v>
      </c>
      <c r="C64" s="13" t="n">
        <f aca="false">RANK(C12,C$5:C$14)</f>
        <v>7</v>
      </c>
      <c r="D64" s="13" t="n">
        <f aca="false">RANK(D12,D$5:D$14)</f>
        <v>6</v>
      </c>
      <c r="E64" s="13" t="n">
        <f aca="false">RANK(E12,E$5:E$14)</f>
        <v>6</v>
      </c>
      <c r="F64" s="13" t="n">
        <f aca="false">RANK(F12,F$5:F$14)</f>
        <v>7</v>
      </c>
      <c r="G64" s="13" t="n">
        <f aca="false">RANK(G12,G$5:G$14)</f>
        <v>8</v>
      </c>
      <c r="H64" s="13" t="n">
        <f aca="false">RANK(H12,H$5:H$14)</f>
        <v>6</v>
      </c>
      <c r="I64" s="13" t="n">
        <f aca="false">RANK(I12,I$5:I$14)</f>
        <v>5</v>
      </c>
      <c r="J64" s="13" t="n">
        <f aca="false">RANK(J12,J$5:J$14)</f>
        <v>7</v>
      </c>
      <c r="K64" s="13" t="n">
        <f aca="false">RANK(K12,K$5:K$14)</f>
        <v>7</v>
      </c>
      <c r="L64" s="15" t="n">
        <f aca="false">MIN(B64:K64)</f>
        <v>5</v>
      </c>
      <c r="M64" s="15" t="n">
        <f aca="false">MAX(B64:K64)</f>
        <v>8</v>
      </c>
    </row>
    <row r="65" customFormat="false" ht="15" hidden="false" customHeight="false" outlineLevel="0" collapsed="false">
      <c r="A65" s="8" t="s">
        <v>72</v>
      </c>
      <c r="B65" s="13" t="n">
        <f aca="false">RANK(B13,B$5:B$14)</f>
        <v>8</v>
      </c>
      <c r="C65" s="13" t="n">
        <f aca="false">RANK(C13,C$5:C$14)</f>
        <v>8</v>
      </c>
      <c r="D65" s="13" t="n">
        <f aca="false">RANK(D13,D$5:D$14)</f>
        <v>8</v>
      </c>
      <c r="E65" s="13" t="n">
        <f aca="false">RANK(E13,E$5:E$14)</f>
        <v>8</v>
      </c>
      <c r="F65" s="13" t="n">
        <f aca="false">RANK(F13,F$5:F$14)</f>
        <v>8</v>
      </c>
      <c r="G65" s="13" t="n">
        <f aca="false">RANK(G13,G$5:G$14)</f>
        <v>7</v>
      </c>
      <c r="H65" s="13" t="n">
        <f aca="false">RANK(H13,H$5:H$14)</f>
        <v>8</v>
      </c>
      <c r="I65" s="13" t="n">
        <f aca="false">RANK(I13,I$5:I$14)</f>
        <v>8</v>
      </c>
      <c r="J65" s="13" t="n">
        <f aca="false">RANK(J13,J$5:J$14)</f>
        <v>8</v>
      </c>
      <c r="K65" s="13" t="n">
        <f aca="false">RANK(K13,K$5:K$14)</f>
        <v>8</v>
      </c>
      <c r="L65" s="15" t="n">
        <f aca="false">MIN(B65:K65)</f>
        <v>7</v>
      </c>
      <c r="M65" s="15" t="n">
        <f aca="false">MAX(B65:K65)</f>
        <v>8</v>
      </c>
    </row>
    <row r="66" customFormat="false" ht="15" hidden="false" customHeight="false" outlineLevel="0" collapsed="false">
      <c r="A66" s="8" t="s">
        <v>77</v>
      </c>
      <c r="B66" s="13" t="n">
        <f aca="false">RANK(B14,B$5:B$14)</f>
        <v>1</v>
      </c>
      <c r="C66" s="13" t="n">
        <f aca="false">RANK(C14,C$5:C$14)</f>
        <v>2</v>
      </c>
      <c r="D66" s="13" t="n">
        <f aca="false">RANK(D14,D$5:D$14)</f>
        <v>1</v>
      </c>
      <c r="E66" s="13" t="n">
        <f aca="false">RANK(E14,E$5:E$14)</f>
        <v>1</v>
      </c>
      <c r="F66" s="13" t="n">
        <f aca="false">RANK(F14,F$5:F$14)</f>
        <v>1</v>
      </c>
      <c r="G66" s="13" t="n">
        <f aca="false">RANK(G14,G$5:G$14)</f>
        <v>2</v>
      </c>
      <c r="H66" s="13" t="n">
        <f aca="false">RANK(H14,H$5:H$14)</f>
        <v>1</v>
      </c>
      <c r="I66" s="13" t="n">
        <f aca="false">RANK(I14,I$5:I$14)</f>
        <v>1</v>
      </c>
      <c r="J66" s="13" t="n">
        <f aca="false">RANK(J14,J$5:J$14)</f>
        <v>1</v>
      </c>
      <c r="K66" s="13" t="n">
        <f aca="false">RANK(K14,K$5:K$14)</f>
        <v>1</v>
      </c>
      <c r="L66" s="15" t="n">
        <f aca="false">MIN(B66:K66)</f>
        <v>1</v>
      </c>
      <c r="M66" s="15" t="n">
        <f aca="false">MAX(B66:K66)</f>
        <v>2</v>
      </c>
    </row>
    <row r="68" customFormat="false" ht="15" hidden="false" customHeight="false" outlineLevel="0" collapsed="false">
      <c r="A68" s="3" t="s">
        <v>411</v>
      </c>
    </row>
    <row r="69" customFormat="false" ht="27.75" hidden="false" customHeight="true" outlineLevel="0" collapsed="false">
      <c r="A69" s="6" t="s">
        <v>412</v>
      </c>
      <c r="B69" s="6"/>
      <c r="C69" s="6"/>
      <c r="D69" s="6"/>
      <c r="E69" s="6"/>
      <c r="F69" s="6"/>
      <c r="G69" s="6"/>
      <c r="H69" s="6"/>
      <c r="I69" s="6"/>
      <c r="J69" s="6"/>
      <c r="K69" s="6"/>
      <c r="L69" s="6"/>
    </row>
    <row r="70" customFormat="false" ht="27.75" hidden="false" customHeight="true" outlineLevel="0" collapsed="false">
      <c r="A70" s="6" t="s">
        <v>413</v>
      </c>
      <c r="B70" s="6"/>
      <c r="C70" s="6"/>
      <c r="D70" s="6"/>
      <c r="E70" s="6"/>
      <c r="F70" s="6"/>
      <c r="G70" s="6"/>
      <c r="H70" s="6"/>
      <c r="I70" s="6"/>
      <c r="J70" s="6"/>
      <c r="K70" s="6"/>
      <c r="L70" s="6"/>
    </row>
    <row r="71" customFormat="false" ht="27.75" hidden="false" customHeight="true" outlineLevel="0" collapsed="false">
      <c r="A71" s="6" t="s">
        <v>414</v>
      </c>
      <c r="B71" s="6"/>
      <c r="C71" s="6"/>
      <c r="D71" s="6"/>
      <c r="E71" s="6"/>
      <c r="F71" s="6"/>
      <c r="G71" s="6"/>
      <c r="H71" s="6"/>
      <c r="I71" s="6"/>
      <c r="J71" s="6"/>
      <c r="K71" s="6"/>
      <c r="L71" s="6"/>
    </row>
  </sheetData>
  <mergeCells count="3">
    <mergeCell ref="A69:L69"/>
    <mergeCell ref="A70:L70"/>
    <mergeCell ref="A71:L7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93F3B"/>
    <pageSetUpPr fitToPage="true"/>
  </sheetPr>
  <dimension ref="A1:P1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0"/>
    <col collapsed="false" customWidth="true" hidden="false" outlineLevel="0" max="18" min="3" style="0" width="11"/>
  </cols>
  <sheetData>
    <row r="1" customFormat="false" ht="17.35" hidden="false" customHeight="false" outlineLevel="0" collapsed="false">
      <c r="A1" s="1" t="s">
        <v>415</v>
      </c>
    </row>
    <row r="2" customFormat="false" ht="15" hidden="false" customHeight="false" outlineLevel="0" collapsed="false">
      <c r="A2" s="2" t="s">
        <v>416</v>
      </c>
    </row>
    <row r="4" customFormat="false" ht="15" hidden="false" customHeight="false" outlineLevel="0" collapsed="false">
      <c r="A4" s="3" t="s">
        <v>417</v>
      </c>
    </row>
    <row r="5" customFormat="false" ht="30" hidden="false" customHeight="true" outlineLevel="0" collapsed="false">
      <c r="A5" s="7" t="s">
        <v>418</v>
      </c>
      <c r="B5" s="7" t="s">
        <v>419</v>
      </c>
    </row>
    <row r="6" customFormat="false" ht="27.75" hidden="false" customHeight="true" outlineLevel="0" collapsed="false">
      <c r="A6" s="5" t="s">
        <v>420</v>
      </c>
      <c r="B6" s="8" t="s">
        <v>194</v>
      </c>
      <c r="C6" s="8"/>
      <c r="D6" s="8"/>
      <c r="E6" s="8"/>
      <c r="F6" s="8"/>
      <c r="G6" s="8"/>
      <c r="H6" s="8"/>
    </row>
    <row r="7" customFormat="false" ht="27.75" hidden="false" customHeight="true" outlineLevel="0" collapsed="false">
      <c r="A7" s="5" t="s">
        <v>421</v>
      </c>
      <c r="B7" s="28" t="s">
        <v>422</v>
      </c>
      <c r="C7" s="28"/>
      <c r="D7" s="28"/>
      <c r="E7" s="28"/>
      <c r="F7" s="28"/>
      <c r="G7" s="28"/>
      <c r="H7" s="28"/>
    </row>
    <row r="8" customFormat="false" ht="27.75" hidden="false" customHeight="true" outlineLevel="0" collapsed="false">
      <c r="A8" s="5" t="s">
        <v>423</v>
      </c>
      <c r="B8" s="8" t="s">
        <v>194</v>
      </c>
      <c r="C8" s="8"/>
      <c r="D8" s="8"/>
      <c r="E8" s="8"/>
      <c r="F8" s="8"/>
      <c r="G8" s="8"/>
      <c r="H8" s="8"/>
    </row>
    <row r="9" customFormat="false" ht="27.75" hidden="false" customHeight="true" outlineLevel="0" collapsed="false">
      <c r="A9" s="5" t="s">
        <v>424</v>
      </c>
      <c r="B9" s="8" t="s">
        <v>194</v>
      </c>
      <c r="C9" s="8"/>
      <c r="D9" s="8"/>
      <c r="E9" s="8"/>
      <c r="F9" s="8"/>
      <c r="G9" s="8"/>
      <c r="H9" s="8"/>
    </row>
    <row r="11" customFormat="false" ht="15" hidden="false" customHeight="false" outlineLevel="0" collapsed="false">
      <c r="A11" s="3" t="s">
        <v>425</v>
      </c>
    </row>
    <row r="12" customFormat="false" ht="15" hidden="false" customHeight="false" outlineLevel="0" collapsed="false">
      <c r="A12" s="2" t="s">
        <v>426</v>
      </c>
    </row>
    <row r="13" customFormat="false" ht="30" hidden="false" customHeight="true" outlineLevel="0" collapsed="false">
      <c r="A13" s="7" t="s">
        <v>157</v>
      </c>
      <c r="B13" s="7" t="s">
        <v>427</v>
      </c>
      <c r="C13" s="7" t="s">
        <v>428</v>
      </c>
      <c r="D13" s="7" t="s">
        <v>429</v>
      </c>
      <c r="E13" s="7" t="s">
        <v>430</v>
      </c>
      <c r="F13" s="7" t="s">
        <v>431</v>
      </c>
      <c r="G13" s="7" t="s">
        <v>432</v>
      </c>
      <c r="H13" s="7" t="s">
        <v>433</v>
      </c>
      <c r="I13" s="7" t="s">
        <v>434</v>
      </c>
      <c r="J13" s="7" t="s">
        <v>435</v>
      </c>
      <c r="K13" s="7" t="s">
        <v>436</v>
      </c>
      <c r="L13" s="7" t="s">
        <v>437</v>
      </c>
      <c r="M13" s="7" t="s">
        <v>438</v>
      </c>
      <c r="N13" s="7" t="s">
        <v>439</v>
      </c>
      <c r="O13" s="7" t="s">
        <v>440</v>
      </c>
      <c r="P13" s="7" t="s">
        <v>441</v>
      </c>
    </row>
    <row r="14" customFormat="false" ht="15" hidden="false" customHeight="false" outlineLevel="0" collapsed="false">
      <c r="A14" s="8" t="s">
        <v>36</v>
      </c>
      <c r="B14" s="8" t="s">
        <v>442</v>
      </c>
      <c r="C14" s="9" t="n">
        <v>30</v>
      </c>
      <c r="D14" s="9" t="n">
        <v>30</v>
      </c>
      <c r="E14" s="9" t="n">
        <v>9.64553281107749</v>
      </c>
      <c r="F14" s="9" t="n">
        <v>49.8233626908515</v>
      </c>
      <c r="G14" s="9" t="n">
        <v>1.5</v>
      </c>
      <c r="H14" s="19" t="n">
        <v>0.531312768396076</v>
      </c>
      <c r="I14" s="9" t="n">
        <v>212.755191965402</v>
      </c>
      <c r="J14" s="9" t="n">
        <v>44.4881806910941</v>
      </c>
      <c r="K14" s="9" t="n">
        <v>245.122763244875</v>
      </c>
      <c r="L14" s="9" t="n">
        <v>40.695115849804</v>
      </c>
      <c r="M14" s="10" t="n">
        <v>110.598573428414</v>
      </c>
      <c r="N14" s="12" t="n">
        <v>63.9480846827843</v>
      </c>
      <c r="O14" s="9" t="n">
        <v>0</v>
      </c>
      <c r="P14" s="8" t="s">
        <v>189</v>
      </c>
    </row>
    <row r="15" customFormat="false" ht="15" hidden="false" customHeight="false" outlineLevel="0" collapsed="false">
      <c r="A15" s="8" t="s">
        <v>36</v>
      </c>
      <c r="B15" s="8" t="s">
        <v>443</v>
      </c>
      <c r="C15" s="9" t="n">
        <v>30</v>
      </c>
      <c r="D15" s="9" t="n">
        <v>30</v>
      </c>
      <c r="E15" s="9" t="n">
        <v>0</v>
      </c>
      <c r="F15" s="9" t="n">
        <v>59.8025549213639</v>
      </c>
      <c r="G15" s="9" t="n">
        <v>0</v>
      </c>
      <c r="H15" s="19" t="n">
        <v>0.366298457610384</v>
      </c>
      <c r="I15" s="9" t="n">
        <v>212.370707115408</v>
      </c>
      <c r="J15" s="9" t="n">
        <v>39.5421810417664</v>
      </c>
      <c r="K15" s="9" t="n">
        <v>249.952847937679</v>
      </c>
      <c r="L15" s="9" t="n">
        <v>46.64690991472</v>
      </c>
      <c r="M15" s="10" t="n">
        <v>116.216235692558</v>
      </c>
      <c r="N15" s="12" t="n">
        <v>68.0630162501727</v>
      </c>
      <c r="O15" s="9" t="n">
        <v>0</v>
      </c>
      <c r="P15" s="8" t="s">
        <v>189</v>
      </c>
    </row>
    <row r="16" customFormat="false" ht="15" hidden="false" customHeight="false" outlineLevel="0" collapsed="false">
      <c r="A16" s="8" t="s">
        <v>41</v>
      </c>
      <c r="B16" s="8" t="s">
        <v>442</v>
      </c>
      <c r="C16" s="9" t="n">
        <v>30</v>
      </c>
      <c r="D16" s="9" t="n">
        <v>30</v>
      </c>
      <c r="E16" s="9" t="n">
        <v>9.64070949149458</v>
      </c>
      <c r="F16" s="9" t="n">
        <v>30.8403663834359</v>
      </c>
      <c r="G16" s="9" t="n">
        <v>1.5</v>
      </c>
      <c r="H16" s="19" t="n">
        <v>0.451659170031819</v>
      </c>
      <c r="I16" s="9" t="n">
        <v>197.524078527406</v>
      </c>
      <c r="J16" s="9" t="n">
        <v>50.1021650036316</v>
      </c>
      <c r="K16" s="9" t="n">
        <v>199.832100696294</v>
      </c>
      <c r="L16" s="9" t="n">
        <v>24.9341345665839</v>
      </c>
      <c r="M16" s="10" t="n">
        <v>81.785812560389</v>
      </c>
      <c r="N16" s="12" t="n">
        <v>58.631731521967</v>
      </c>
      <c r="O16" s="9" t="n">
        <v>0.0658654334160929</v>
      </c>
      <c r="P16" s="8" t="s">
        <v>189</v>
      </c>
    </row>
    <row r="17" customFormat="false" ht="15" hidden="false" customHeight="false" outlineLevel="0" collapsed="false">
      <c r="A17" s="8" t="s">
        <v>41</v>
      </c>
      <c r="B17" s="8" t="s">
        <v>443</v>
      </c>
      <c r="C17" s="9" t="n">
        <v>30</v>
      </c>
      <c r="D17" s="9" t="n">
        <v>30</v>
      </c>
      <c r="E17" s="9" t="n">
        <v>0</v>
      </c>
      <c r="F17" s="9" t="n">
        <v>40.4831349012194</v>
      </c>
      <c r="G17" s="9" t="n">
        <v>0</v>
      </c>
      <c r="H17" s="19" t="n">
        <v>0.376025231423791</v>
      </c>
      <c r="I17" s="9" t="n">
        <v>193.086614930748</v>
      </c>
      <c r="J17" s="9" t="n">
        <v>44.6182001166553</v>
      </c>
      <c r="K17" s="9" t="n">
        <v>183.337659449528</v>
      </c>
      <c r="L17" s="9" t="n">
        <v>21.1697786803523</v>
      </c>
      <c r="M17" s="10" t="n">
        <v>74.4056200603924</v>
      </c>
      <c r="N17" s="12" t="n">
        <v>58.6515301344792</v>
      </c>
      <c r="O17" s="9" t="n">
        <v>3.83022131964768</v>
      </c>
      <c r="P17" s="8" t="s">
        <v>189</v>
      </c>
    </row>
    <row r="18" customFormat="false" ht="15" hidden="false" customHeight="false" outlineLevel="0" collapsed="false">
      <c r="A18" s="8" t="s">
        <v>46</v>
      </c>
      <c r="B18" s="8" t="s">
        <v>442</v>
      </c>
      <c r="C18" s="9" t="n">
        <v>30</v>
      </c>
      <c r="D18" s="9" t="n">
        <v>30</v>
      </c>
      <c r="E18" s="9" t="n">
        <v>6.61898478430573</v>
      </c>
      <c r="F18" s="9" t="n">
        <v>57.3820314087966</v>
      </c>
      <c r="G18" s="9" t="n">
        <v>1.5</v>
      </c>
      <c r="H18" s="19" t="n">
        <v>0.545763937052655</v>
      </c>
      <c r="I18" s="9" t="n">
        <v>241.575615419801</v>
      </c>
      <c r="J18" s="9" t="n">
        <v>48.6331325611581</v>
      </c>
      <c r="K18" s="9" t="n">
        <v>279.953482574331</v>
      </c>
      <c r="L18" s="9" t="n">
        <v>78.1197825351296</v>
      </c>
      <c r="M18" s="10" t="n">
        <v>150.934741751527</v>
      </c>
      <c r="N18" s="12" t="n">
        <v>79.0688504675061</v>
      </c>
      <c r="O18" s="9" t="n">
        <v>0</v>
      </c>
      <c r="P18" s="8" t="s">
        <v>189</v>
      </c>
    </row>
    <row r="19" customFormat="false" ht="15" hidden="false" customHeight="false" outlineLevel="0" collapsed="false">
      <c r="A19" s="8" t="s">
        <v>46</v>
      </c>
      <c r="B19" s="8" t="s">
        <v>443</v>
      </c>
      <c r="C19" s="9" t="n">
        <v>30</v>
      </c>
      <c r="D19" s="9" t="n">
        <v>30</v>
      </c>
      <c r="E19" s="9" t="n">
        <v>0</v>
      </c>
      <c r="F19" s="9" t="n">
        <v>64.1874815958488</v>
      </c>
      <c r="G19" s="9" t="n">
        <v>0</v>
      </c>
      <c r="H19" s="19" t="n">
        <v>0.386865896514636</v>
      </c>
      <c r="I19" s="9" t="n">
        <v>234.700094015825</v>
      </c>
      <c r="J19" s="9" t="n">
        <v>39.3709787908919</v>
      </c>
      <c r="K19" s="9" t="n">
        <v>277.757568723759</v>
      </c>
      <c r="L19" s="9" t="n">
        <v>84.5075687237593</v>
      </c>
      <c r="M19" s="10" t="n">
        <v>148.513018511566</v>
      </c>
      <c r="N19" s="12" t="n">
        <v>80.4911097263577</v>
      </c>
      <c r="O19" s="9" t="n">
        <v>0</v>
      </c>
      <c r="P19" s="8" t="s">
        <v>189</v>
      </c>
    </row>
    <row r="20" customFormat="false" ht="15" hidden="false" customHeight="false" outlineLevel="0" collapsed="false">
      <c r="A20" s="8" t="s">
        <v>51</v>
      </c>
      <c r="B20" s="8" t="s">
        <v>442</v>
      </c>
      <c r="C20" s="9" t="n">
        <v>30</v>
      </c>
      <c r="D20" s="9" t="n">
        <v>30</v>
      </c>
      <c r="E20" s="9" t="n">
        <v>8.56649943618795</v>
      </c>
      <c r="F20" s="9" t="n">
        <v>51.1123841335718</v>
      </c>
      <c r="G20" s="9" t="n">
        <v>1.5</v>
      </c>
      <c r="H20" s="19" t="n">
        <v>0.893436937952368</v>
      </c>
      <c r="I20" s="9" t="n">
        <v>236.531520060186</v>
      </c>
      <c r="J20" s="9" t="n">
        <v>55.7281187799053</v>
      </c>
      <c r="K20" s="9" t="n">
        <v>278.891300813769</v>
      </c>
      <c r="L20" s="9" t="n">
        <v>73.3770606002781</v>
      </c>
      <c r="M20" s="10" t="n">
        <v>150.2843252045</v>
      </c>
      <c r="N20" s="12" t="n">
        <v>77.0184685111138</v>
      </c>
      <c r="O20" s="9" t="n">
        <v>0</v>
      </c>
      <c r="P20" s="8" t="s">
        <v>189</v>
      </c>
    </row>
    <row r="21" customFormat="false" ht="15" hidden="false" customHeight="false" outlineLevel="0" collapsed="false">
      <c r="A21" s="8" t="s">
        <v>51</v>
      </c>
      <c r="B21" s="8" t="s">
        <v>443</v>
      </c>
      <c r="C21" s="9" t="n">
        <v>30</v>
      </c>
      <c r="D21" s="9" t="n">
        <v>30</v>
      </c>
      <c r="E21" s="9" t="n">
        <v>0</v>
      </c>
      <c r="F21" s="9" t="n">
        <v>59.7297200014596</v>
      </c>
      <c r="G21" s="9" t="n">
        <v>0</v>
      </c>
      <c r="H21" s="19" t="n">
        <v>0.707754947916667</v>
      </c>
      <c r="I21" s="9" t="n">
        <v>226.219991539104</v>
      </c>
      <c r="J21" s="9" t="n">
        <v>43.7973263962411</v>
      </c>
      <c r="K21" s="9" t="n">
        <v>273.093995484319</v>
      </c>
      <c r="L21" s="9" t="n">
        <v>76.4202948494421</v>
      </c>
      <c r="M21" s="10" t="n">
        <v>143.753308710913</v>
      </c>
      <c r="N21" s="12" t="n">
        <v>76.7158581337386</v>
      </c>
      <c r="O21" s="9" t="n">
        <v>0</v>
      </c>
      <c r="P21" s="8" t="s">
        <v>189</v>
      </c>
    </row>
    <row r="22" customFormat="false" ht="15" hidden="false" customHeight="false" outlineLevel="0" collapsed="false">
      <c r="A22" s="8" t="s">
        <v>55</v>
      </c>
      <c r="B22" s="8" t="s">
        <v>442</v>
      </c>
      <c r="C22" s="9" t="n">
        <v>30</v>
      </c>
      <c r="D22" s="9" t="n">
        <v>30</v>
      </c>
      <c r="E22" s="9" t="n">
        <v>10.375</v>
      </c>
      <c r="F22" s="9" t="n">
        <v>52.3927496672931</v>
      </c>
      <c r="G22" s="9" t="n">
        <v>1.5</v>
      </c>
      <c r="H22" s="19" t="n">
        <v>0.77925</v>
      </c>
      <c r="I22" s="9" t="n">
        <v>203.517934095585</v>
      </c>
      <c r="J22" s="9" t="n">
        <v>42.9957162155519</v>
      </c>
      <c r="K22" s="9" t="n">
        <v>251.47911529419</v>
      </c>
      <c r="L22" s="9" t="n">
        <v>37.5388892976765</v>
      </c>
      <c r="M22" s="10" t="n">
        <v>101.203486900591</v>
      </c>
      <c r="N22" s="12" t="n">
        <v>59.701126306736</v>
      </c>
      <c r="O22" s="9" t="n">
        <v>0</v>
      </c>
      <c r="P22" s="8" t="s">
        <v>189</v>
      </c>
    </row>
    <row r="23" customFormat="false" ht="15" hidden="false" customHeight="false" outlineLevel="0" collapsed="false">
      <c r="A23" s="8" t="s">
        <v>55</v>
      </c>
      <c r="B23" s="8" t="s">
        <v>443</v>
      </c>
      <c r="C23" s="9" t="n">
        <v>30</v>
      </c>
      <c r="D23" s="9" t="n">
        <v>30</v>
      </c>
      <c r="E23" s="9" t="n">
        <v>0</v>
      </c>
      <c r="F23" s="9" t="n">
        <v>63.1281565676836</v>
      </c>
      <c r="G23" s="9" t="n">
        <v>0</v>
      </c>
      <c r="H23" s="19" t="n">
        <v>0.534541666666667</v>
      </c>
      <c r="I23" s="9" t="n">
        <v>203.893159816572</v>
      </c>
      <c r="J23" s="9" t="n">
        <v>39.2463786901263</v>
      </c>
      <c r="K23" s="9" t="n">
        <v>257.077331171122</v>
      </c>
      <c r="L23" s="9" t="n">
        <v>56.3913350461927</v>
      </c>
      <c r="M23" s="10" t="n">
        <v>109.882212011446</v>
      </c>
      <c r="N23" s="12" t="n">
        <v>61.8035853090846</v>
      </c>
      <c r="O23" s="9" t="n">
        <v>0</v>
      </c>
      <c r="P23" s="8" t="s">
        <v>189</v>
      </c>
    </row>
    <row r="24" customFormat="false" ht="15" hidden="false" customHeight="false" outlineLevel="0" collapsed="false">
      <c r="A24" s="8" t="s">
        <v>59</v>
      </c>
      <c r="B24" s="8" t="s">
        <v>442</v>
      </c>
      <c r="C24" s="9" t="n">
        <v>30</v>
      </c>
      <c r="D24" s="9" t="n">
        <v>30</v>
      </c>
      <c r="E24" s="9" t="n">
        <v>10.375</v>
      </c>
      <c r="F24" s="9" t="n">
        <v>28.4003866364433</v>
      </c>
      <c r="G24" s="9" t="n">
        <v>1.5</v>
      </c>
      <c r="H24" s="19" t="n">
        <v>0.614203385292969</v>
      </c>
      <c r="I24" s="9" t="n">
        <v>193.278429750093</v>
      </c>
      <c r="J24" s="9" t="n">
        <v>51.9852683851449</v>
      </c>
      <c r="K24" s="9" t="n">
        <v>196.935099803728</v>
      </c>
      <c r="L24" s="9" t="n">
        <v>-1.68165802514184</v>
      </c>
      <c r="M24" s="10" t="n">
        <v>74.7460254168548</v>
      </c>
      <c r="N24" s="12" t="n">
        <v>51.7174939108118</v>
      </c>
      <c r="O24" s="9" t="n">
        <v>26.6816580251418</v>
      </c>
      <c r="P24" s="8" t="s">
        <v>189</v>
      </c>
    </row>
    <row r="25" customFormat="false" ht="15" hidden="false" customHeight="false" outlineLevel="0" collapsed="false">
      <c r="A25" s="8" t="s">
        <v>59</v>
      </c>
      <c r="B25" s="8" t="s">
        <v>443</v>
      </c>
      <c r="C25" s="9" t="n">
        <v>30</v>
      </c>
      <c r="D25" s="9" t="n">
        <v>30</v>
      </c>
      <c r="E25" s="9" t="n">
        <v>0</v>
      </c>
      <c r="F25" s="9" t="n">
        <v>38.7778987679268</v>
      </c>
      <c r="G25" s="9" t="n">
        <v>0</v>
      </c>
      <c r="H25" s="19" t="n">
        <v>0.505988493055556</v>
      </c>
      <c r="I25" s="9" t="n">
        <v>187.161106491322</v>
      </c>
      <c r="J25" s="9" t="n">
        <v>45.7708848964508</v>
      </c>
      <c r="K25" s="9" t="n">
        <v>195.039380330119</v>
      </c>
      <c r="L25" s="9" t="n">
        <v>7.96280947920559</v>
      </c>
      <c r="M25" s="10" t="n">
        <v>71.2537074771765</v>
      </c>
      <c r="N25" s="12" t="n">
        <v>50.3393731076846</v>
      </c>
      <c r="O25" s="9" t="n">
        <v>17.0371905207944</v>
      </c>
      <c r="P25" s="8" t="s">
        <v>189</v>
      </c>
    </row>
    <row r="26" customFormat="false" ht="15" hidden="false" customHeight="false" outlineLevel="0" collapsed="false">
      <c r="A26" s="8" t="s">
        <v>63</v>
      </c>
      <c r="B26" s="8" t="s">
        <v>442</v>
      </c>
      <c r="C26" s="9" t="n">
        <v>30</v>
      </c>
      <c r="D26" s="9" t="n">
        <v>30</v>
      </c>
      <c r="E26" s="9" t="n">
        <v>7.22386404166667</v>
      </c>
      <c r="F26" s="9" t="n">
        <v>51.7768641180489</v>
      </c>
      <c r="G26" s="9" t="n">
        <v>1.5</v>
      </c>
      <c r="H26" s="19" t="n">
        <v>0.820545381625</v>
      </c>
      <c r="I26" s="9" t="n">
        <v>228.082802090337</v>
      </c>
      <c r="J26" s="9" t="n">
        <v>47.8591136766636</v>
      </c>
      <c r="K26" s="9" t="n">
        <v>261.447017426547</v>
      </c>
      <c r="L26" s="9" t="n">
        <v>54.0469886010631</v>
      </c>
      <c r="M26" s="10" t="n">
        <v>130.744693234297</v>
      </c>
      <c r="N26" s="12" t="n">
        <v>68.4418147662658</v>
      </c>
      <c r="O26" s="9" t="n">
        <v>0</v>
      </c>
      <c r="P26" s="8" t="s">
        <v>189</v>
      </c>
    </row>
    <row r="27" customFormat="false" ht="15" hidden="false" customHeight="false" outlineLevel="0" collapsed="false">
      <c r="A27" s="8" t="s">
        <v>63</v>
      </c>
      <c r="B27" s="8" t="s">
        <v>443</v>
      </c>
      <c r="C27" s="9" t="n">
        <v>30</v>
      </c>
      <c r="D27" s="9" t="n">
        <v>30</v>
      </c>
      <c r="E27" s="9" t="n">
        <v>0</v>
      </c>
      <c r="F27" s="9" t="n">
        <v>59.0378922405859</v>
      </c>
      <c r="G27" s="9" t="n">
        <v>0</v>
      </c>
      <c r="H27" s="19" t="n">
        <v>0.594561666666667</v>
      </c>
      <c r="I27" s="9" t="n">
        <v>220.943888387599</v>
      </c>
      <c r="J27" s="9" t="n">
        <v>39.712694412157</v>
      </c>
      <c r="K27" s="9" t="n">
        <v>258.249273648956</v>
      </c>
      <c r="L27" s="9" t="n">
        <v>60.2694259405635</v>
      </c>
      <c r="M27" s="10" t="n">
        <v>127.259220008078</v>
      </c>
      <c r="N27" s="12" t="n">
        <v>69.2609583126287</v>
      </c>
      <c r="O27" s="9" t="n">
        <v>0</v>
      </c>
      <c r="P27" s="8" t="s">
        <v>189</v>
      </c>
    </row>
    <row r="28" customFormat="false" ht="15" hidden="false" customHeight="false" outlineLevel="0" collapsed="false">
      <c r="A28" s="8" t="s">
        <v>67</v>
      </c>
      <c r="B28" s="8" t="s">
        <v>442</v>
      </c>
      <c r="C28" s="9" t="n">
        <v>30</v>
      </c>
      <c r="D28" s="9" t="n">
        <v>30</v>
      </c>
      <c r="E28" s="9" t="n">
        <v>9.6310083472582</v>
      </c>
      <c r="F28" s="9" t="n">
        <v>39.6964285046849</v>
      </c>
      <c r="G28" s="9" t="n">
        <v>1.5</v>
      </c>
      <c r="H28" s="19" t="n">
        <v>0.472446831876806</v>
      </c>
      <c r="I28" s="9" t="n">
        <v>200.924686758917</v>
      </c>
      <c r="J28" s="9" t="n">
        <v>45.6447803845271</v>
      </c>
      <c r="K28" s="9" t="n">
        <v>229.705199775945</v>
      </c>
      <c r="L28" s="9" t="n">
        <v>29.3991167548253</v>
      </c>
      <c r="M28" s="10" t="n">
        <v>110.175714594067</v>
      </c>
      <c r="N28" s="12" t="n">
        <v>64.8301560172963</v>
      </c>
      <c r="O28" s="9" t="n">
        <v>0</v>
      </c>
      <c r="P28" s="8" t="s">
        <v>189</v>
      </c>
    </row>
    <row r="29" customFormat="false" ht="15" hidden="false" customHeight="false" outlineLevel="0" collapsed="false">
      <c r="A29" s="8" t="s">
        <v>67</v>
      </c>
      <c r="B29" s="8" t="s">
        <v>443</v>
      </c>
      <c r="C29" s="9" t="n">
        <v>30</v>
      </c>
      <c r="D29" s="9" t="n">
        <v>30</v>
      </c>
      <c r="E29" s="9" t="n">
        <v>0</v>
      </c>
      <c r="F29" s="9" t="n">
        <v>49.3749699896883</v>
      </c>
      <c r="G29" s="9" t="n">
        <v>0</v>
      </c>
      <c r="H29" s="19" t="n">
        <v>0.314006783802778</v>
      </c>
      <c r="I29" s="9" t="n">
        <v>198.164187821147</v>
      </c>
      <c r="J29" s="9" t="n">
        <v>40.652857342268</v>
      </c>
      <c r="K29" s="9" t="n">
        <v>214.012726287484</v>
      </c>
      <c r="L29" s="9" t="n">
        <v>32.5127262874841</v>
      </c>
      <c r="M29" s="10" t="n">
        <v>110.903443154202</v>
      </c>
      <c r="N29" s="12" t="n">
        <v>63.6532932047838</v>
      </c>
      <c r="O29" s="9" t="n">
        <v>0</v>
      </c>
      <c r="P29" s="8" t="s">
        <v>189</v>
      </c>
    </row>
    <row r="30" customFormat="false" ht="15" hidden="false" customHeight="false" outlineLevel="0" collapsed="false">
      <c r="A30" s="8" t="s">
        <v>72</v>
      </c>
      <c r="B30" s="8" t="s">
        <v>442</v>
      </c>
      <c r="C30" s="9" t="n">
        <v>10</v>
      </c>
      <c r="D30" s="9" t="n">
        <v>30</v>
      </c>
      <c r="E30" s="9" t="n">
        <v>10.270251578125</v>
      </c>
      <c r="F30" s="9" t="n">
        <v>140.264631934594</v>
      </c>
      <c r="G30" s="9" t="n">
        <v>1.5</v>
      </c>
      <c r="H30" s="19" t="n">
        <v>0.646482187869792</v>
      </c>
      <c r="I30" s="9" t="n">
        <v>201.310021579362</v>
      </c>
      <c r="J30" s="9" t="n">
        <v>47.1417558421976</v>
      </c>
      <c r="K30" s="9" t="n">
        <v>224.766317821739</v>
      </c>
      <c r="L30" s="9" t="n">
        <v>175.536735217639</v>
      </c>
      <c r="M30" s="10" t="n">
        <v>103.542575726796</v>
      </c>
      <c r="N30" s="12" t="n">
        <v>64.95880711803</v>
      </c>
      <c r="O30" s="9" t="n">
        <v>0</v>
      </c>
      <c r="P30" s="8" t="s">
        <v>189</v>
      </c>
    </row>
    <row r="31" customFormat="false" ht="15" hidden="false" customHeight="false" outlineLevel="0" collapsed="false">
      <c r="A31" s="8" t="s">
        <v>72</v>
      </c>
      <c r="B31" s="8" t="s">
        <v>443</v>
      </c>
      <c r="C31" s="9" t="n">
        <v>10</v>
      </c>
      <c r="D31" s="9" t="n">
        <v>30</v>
      </c>
      <c r="E31" s="9" t="n">
        <v>0</v>
      </c>
      <c r="F31" s="9" t="n">
        <v>150.561367901477</v>
      </c>
      <c r="G31" s="9" t="n">
        <v>0</v>
      </c>
      <c r="H31" s="19" t="n">
        <v>0.434175</v>
      </c>
      <c r="I31" s="9" t="n">
        <v>196.351794110749</v>
      </c>
      <c r="J31" s="9" t="n">
        <v>40.775677806062</v>
      </c>
      <c r="K31" s="9" t="n">
        <v>223.165781054338</v>
      </c>
      <c r="L31" s="9" t="n">
        <v>186.793796927354</v>
      </c>
      <c r="M31" s="10" t="n">
        <v>102.814591851321</v>
      </c>
      <c r="N31" s="12" t="n">
        <v>64.4334498341436</v>
      </c>
      <c r="O31" s="9" t="n">
        <v>0</v>
      </c>
      <c r="P31" s="8" t="s">
        <v>189</v>
      </c>
    </row>
    <row r="32" customFormat="false" ht="15" hidden="false" customHeight="false" outlineLevel="0" collapsed="false">
      <c r="A32" s="8" t="s">
        <v>77</v>
      </c>
      <c r="B32" s="8" t="s">
        <v>442</v>
      </c>
      <c r="C32" s="9" t="n">
        <v>25</v>
      </c>
      <c r="D32" s="9" t="n">
        <v>30</v>
      </c>
      <c r="E32" s="9" t="n">
        <v>8.68341616262818</v>
      </c>
      <c r="F32" s="9" t="n">
        <v>61.4437399185901</v>
      </c>
      <c r="G32" s="9" t="n">
        <v>1.5</v>
      </c>
      <c r="H32" s="19" t="n">
        <v>0.680481212442566</v>
      </c>
      <c r="I32" s="9" t="n">
        <v>233.349231609353</v>
      </c>
      <c r="J32" s="9" t="n">
        <v>51.6606518328984</v>
      </c>
      <c r="K32" s="9" t="n">
        <v>262.124995596988</v>
      </c>
      <c r="L32" s="9" t="n">
        <v>80.9044195188667</v>
      </c>
      <c r="M32" s="10" t="n">
        <v>148.821126742347</v>
      </c>
      <c r="N32" s="12" t="n">
        <v>80.3311388707526</v>
      </c>
      <c r="O32" s="9" t="n">
        <v>0</v>
      </c>
      <c r="P32" s="8" t="s">
        <v>189</v>
      </c>
    </row>
    <row r="33" customFormat="false" ht="15" hidden="false" customHeight="false" outlineLevel="0" collapsed="false">
      <c r="A33" s="8" t="s">
        <v>77</v>
      </c>
      <c r="B33" s="8" t="s">
        <v>443</v>
      </c>
      <c r="C33" s="9" t="n">
        <v>25</v>
      </c>
      <c r="D33" s="9" t="n">
        <v>30</v>
      </c>
      <c r="E33" s="9" t="n">
        <v>0</v>
      </c>
      <c r="F33" s="9" t="n">
        <v>70.1439723129728</v>
      </c>
      <c r="G33" s="9" t="n">
        <v>0</v>
      </c>
      <c r="H33" s="19" t="n">
        <v>0.584430112825972</v>
      </c>
      <c r="I33" s="9" t="n">
        <v>224.809009447839</v>
      </c>
      <c r="J33" s="9" t="n">
        <v>42.6446345693187</v>
      </c>
      <c r="K33" s="9" t="n">
        <v>257.709202561565</v>
      </c>
      <c r="L33" s="9" t="n">
        <v>87.162848054757</v>
      </c>
      <c r="M33" s="10" t="n">
        <v>142.642620017072</v>
      </c>
      <c r="N33" s="12" t="n">
        <v>78.7039646654023</v>
      </c>
      <c r="O33" s="9" t="n">
        <v>0</v>
      </c>
      <c r="P33" s="8" t="s">
        <v>189</v>
      </c>
    </row>
    <row r="35" customFormat="false" ht="15" hidden="false" customHeight="false" outlineLevel="0" collapsed="false">
      <c r="A35" s="21" t="s">
        <v>444</v>
      </c>
    </row>
    <row r="36" customFormat="false" ht="30" hidden="false" customHeight="true" outlineLevel="0" collapsed="false">
      <c r="A36" s="7" t="s">
        <v>157</v>
      </c>
      <c r="B36" s="7"/>
      <c r="C36" s="7" t="s">
        <v>445</v>
      </c>
      <c r="D36" s="7"/>
      <c r="E36" s="7" t="s">
        <v>446</v>
      </c>
      <c r="F36" s="7" t="s">
        <v>447</v>
      </c>
      <c r="G36" s="7" t="s">
        <v>448</v>
      </c>
      <c r="H36" s="7" t="s">
        <v>449</v>
      </c>
      <c r="I36" s="7" t="s">
        <v>450</v>
      </c>
      <c r="J36" s="7" t="s">
        <v>451</v>
      </c>
      <c r="K36" s="7" t="s">
        <v>452</v>
      </c>
      <c r="L36" s="7" t="s">
        <v>453</v>
      </c>
      <c r="M36" s="7" t="s">
        <v>454</v>
      </c>
      <c r="N36" s="7" t="s">
        <v>455</v>
      </c>
    </row>
    <row r="37" customFormat="false" ht="15" hidden="false" customHeight="false" outlineLevel="0" collapsed="false">
      <c r="A37" s="8" t="str">
        <f aca="false">A14</f>
        <v>Consumer-led</v>
      </c>
      <c r="C37" s="9" t="n">
        <f aca="false">C14-C15</f>
        <v>0</v>
      </c>
      <c r="E37" s="9" t="n">
        <f aca="false">E14</f>
        <v>9.64553281107749</v>
      </c>
      <c r="F37" s="9" t="n">
        <f aca="false">F14-F15</f>
        <v>-9.97919223051239</v>
      </c>
      <c r="G37" s="9" t="n">
        <f aca="false">G14</f>
        <v>1.5</v>
      </c>
      <c r="H37" s="19" t="n">
        <f aca="false">H14-H15</f>
        <v>0.165014310785691</v>
      </c>
      <c r="I37" s="9" t="n">
        <f aca="false">I14-I15</f>
        <v>0.384484849993498</v>
      </c>
      <c r="J37" s="9" t="n">
        <f aca="false">J14-J15</f>
        <v>4.94599964932768</v>
      </c>
      <c r="K37" s="9" t="n">
        <f aca="false">K14-K15</f>
        <v>-4.83008469280441</v>
      </c>
      <c r="L37" s="9" t="n">
        <f aca="false">L14-L15</f>
        <v>-5.95179406491605</v>
      </c>
      <c r="M37" s="10" t="n">
        <f aca="false">M14-M15</f>
        <v>-5.6176622641443</v>
      </c>
      <c r="N37" s="12" t="n">
        <f aca="false">N14-N15</f>
        <v>-4.11493156738844</v>
      </c>
    </row>
    <row r="38" customFormat="false" ht="15" hidden="false" customHeight="false" outlineLevel="0" collapsed="false">
      <c r="A38" s="8" t="str">
        <f aca="false">A16</f>
        <v>Enterprise-led</v>
      </c>
      <c r="C38" s="9" t="n">
        <f aca="false">C16-C17</f>
        <v>0</v>
      </c>
      <c r="E38" s="9" t="n">
        <f aca="false">E16</f>
        <v>9.64070949149458</v>
      </c>
      <c r="F38" s="9" t="n">
        <f aca="false">F16-F17</f>
        <v>-9.64276851778344</v>
      </c>
      <c r="G38" s="9" t="n">
        <f aca="false">G16</f>
        <v>1.5</v>
      </c>
      <c r="H38" s="19" t="n">
        <f aca="false">H16-H17</f>
        <v>0.075633938608028</v>
      </c>
      <c r="I38" s="9" t="n">
        <f aca="false">I16-I17</f>
        <v>4.43746359665792</v>
      </c>
      <c r="J38" s="9" t="n">
        <f aca="false">J16-J17</f>
        <v>5.48396488697633</v>
      </c>
      <c r="K38" s="9" t="n">
        <f aca="false">K16-K17</f>
        <v>16.4944412467657</v>
      </c>
      <c r="L38" s="9" t="n">
        <f aca="false">L16-L17</f>
        <v>3.76435588623159</v>
      </c>
      <c r="M38" s="10" t="n">
        <f aca="false">M16-M17</f>
        <v>7.38019249999654</v>
      </c>
      <c r="N38" s="12" t="n">
        <f aca="false">N16-N17</f>
        <v>-0.019798612512119</v>
      </c>
    </row>
    <row r="39" customFormat="false" ht="15" hidden="false" customHeight="false" outlineLevel="0" collapsed="false">
      <c r="A39" s="8" t="str">
        <f aca="false">A18</f>
        <v>AI-led</v>
      </c>
      <c r="C39" s="9" t="n">
        <f aca="false">C18-C19</f>
        <v>0</v>
      </c>
      <c r="E39" s="9" t="n">
        <f aca="false">E18</f>
        <v>6.61898478430573</v>
      </c>
      <c r="F39" s="9" t="n">
        <f aca="false">F18-F19</f>
        <v>-6.8054501870522</v>
      </c>
      <c r="G39" s="9" t="n">
        <f aca="false">G18</f>
        <v>1.5</v>
      </c>
      <c r="H39" s="19" t="n">
        <f aca="false">H18-H19</f>
        <v>0.158898040538019</v>
      </c>
      <c r="I39" s="9" t="n">
        <f aca="false">I18-I19</f>
        <v>6.87552140397631</v>
      </c>
      <c r="J39" s="9" t="n">
        <f aca="false">J18-J19</f>
        <v>9.26215377026616</v>
      </c>
      <c r="K39" s="9" t="n">
        <f aca="false">K18-K19</f>
        <v>2.19591385057203</v>
      </c>
      <c r="L39" s="9" t="n">
        <f aca="false">L18-L19</f>
        <v>-6.38778618862961</v>
      </c>
      <c r="M39" s="10" t="n">
        <f aca="false">M18-M19</f>
        <v>2.42172323996121</v>
      </c>
      <c r="N39" s="12" t="n">
        <f aca="false">N18-N19</f>
        <v>-1.42225925885157</v>
      </c>
    </row>
    <row r="40" customFormat="false" ht="15" hidden="false" customHeight="false" outlineLevel="0" collapsed="false">
      <c r="A40" s="8" t="str">
        <f aca="false">A20</f>
        <v>Diversified</v>
      </c>
      <c r="C40" s="9" t="n">
        <f aca="false">C20-C21</f>
        <v>0</v>
      </c>
      <c r="E40" s="9" t="n">
        <f aca="false">E20</f>
        <v>8.56649943618795</v>
      </c>
      <c r="F40" s="9" t="n">
        <f aca="false">F20-F21</f>
        <v>-8.61733586788771</v>
      </c>
      <c r="G40" s="9" t="n">
        <f aca="false">G20</f>
        <v>1.5</v>
      </c>
      <c r="H40" s="19" t="n">
        <f aca="false">H20-H21</f>
        <v>0.185681990035701</v>
      </c>
      <c r="I40" s="9" t="n">
        <f aca="false">I20-I21</f>
        <v>10.3115285210812</v>
      </c>
      <c r="J40" s="9" t="n">
        <f aca="false">J20-J21</f>
        <v>11.9307923836643</v>
      </c>
      <c r="K40" s="9" t="n">
        <f aca="false">K20-K21</f>
        <v>5.7973053294499</v>
      </c>
      <c r="L40" s="9" t="n">
        <f aca="false">L20-L21</f>
        <v>-3.04323424916396</v>
      </c>
      <c r="M40" s="10" t="n">
        <f aca="false">M20-M21</f>
        <v>6.531016493587</v>
      </c>
      <c r="N40" s="12" t="n">
        <f aca="false">N20-N21</f>
        <v>0.302610377375132</v>
      </c>
    </row>
    <row r="41" customFormat="false" ht="15" hidden="false" customHeight="false" outlineLevel="0" collapsed="false">
      <c r="A41" s="8" t="str">
        <f aca="false">A22</f>
        <v>Consumer-only</v>
      </c>
      <c r="C41" s="9" t="n">
        <f aca="false">C22-C23</f>
        <v>0</v>
      </c>
      <c r="E41" s="9" t="n">
        <f aca="false">E22</f>
        <v>10.375</v>
      </c>
      <c r="F41" s="9" t="n">
        <f aca="false">F22-F23</f>
        <v>-10.7354069003905</v>
      </c>
      <c r="G41" s="9" t="n">
        <f aca="false">G22</f>
        <v>1.5</v>
      </c>
      <c r="H41" s="19" t="n">
        <f aca="false">H22-H23</f>
        <v>0.244708333333333</v>
      </c>
      <c r="I41" s="9" t="n">
        <f aca="false">I22-I23</f>
        <v>-0.375225720987118</v>
      </c>
      <c r="J41" s="9" t="n">
        <f aca="false">J22-J23</f>
        <v>3.7493375254256</v>
      </c>
      <c r="K41" s="9" t="n">
        <f aca="false">K22-K23</f>
        <v>-5.59821587693247</v>
      </c>
      <c r="L41" s="9" t="n">
        <f aca="false">L22-L23</f>
        <v>-18.8524457485162</v>
      </c>
      <c r="M41" s="10" t="n">
        <f aca="false">M22-M23</f>
        <v>-8.6787251108551</v>
      </c>
      <c r="N41" s="12" t="n">
        <f aca="false">N22-N23</f>
        <v>-2.10245900234866</v>
      </c>
    </row>
    <row r="42" customFormat="false" ht="15" hidden="false" customHeight="false" outlineLevel="0" collapsed="false">
      <c r="A42" s="8" t="str">
        <f aca="false">A24</f>
        <v>Enterprise-only</v>
      </c>
      <c r="C42" s="9" t="n">
        <f aca="false">C24-C25</f>
        <v>0</v>
      </c>
      <c r="E42" s="9" t="n">
        <f aca="false">E24</f>
        <v>10.375</v>
      </c>
      <c r="F42" s="9" t="n">
        <f aca="false">F24-F25</f>
        <v>-10.3775121314835</v>
      </c>
      <c r="G42" s="9" t="n">
        <f aca="false">G24</f>
        <v>1.5</v>
      </c>
      <c r="H42" s="19" t="n">
        <f aca="false">H24-H25</f>
        <v>0.108214892237413</v>
      </c>
      <c r="I42" s="9" t="n">
        <f aca="false">I24-I25</f>
        <v>6.11732325877043</v>
      </c>
      <c r="J42" s="9" t="n">
        <f aca="false">J24-J25</f>
        <v>6.21438348869404</v>
      </c>
      <c r="K42" s="9" t="n">
        <f aca="false">K24-K25</f>
        <v>1.89571947360921</v>
      </c>
      <c r="L42" s="9" t="n">
        <f aca="false">L24-L25</f>
        <v>-9.64446750434744</v>
      </c>
      <c r="M42" s="10" t="n">
        <f aca="false">M24-M25</f>
        <v>3.49231793967826</v>
      </c>
      <c r="N42" s="12" t="n">
        <f aca="false">N24-N25</f>
        <v>1.37812080312716</v>
      </c>
    </row>
    <row r="43" customFormat="false" ht="15" hidden="false" customHeight="false" outlineLevel="0" collapsed="false">
      <c r="A43" s="8" t="str">
        <f aca="false">A26</f>
        <v>AI-only</v>
      </c>
      <c r="C43" s="9" t="n">
        <f aca="false">C26-C27</f>
        <v>0</v>
      </c>
      <c r="E43" s="9" t="n">
        <f aca="false">E26</f>
        <v>7.22386404166667</v>
      </c>
      <c r="F43" s="9" t="n">
        <f aca="false">F26-F27</f>
        <v>-7.26102812253694</v>
      </c>
      <c r="G43" s="9" t="n">
        <f aca="false">G26</f>
        <v>1.5</v>
      </c>
      <c r="H43" s="19" t="n">
        <f aca="false">H26-H27</f>
        <v>0.225983714958333</v>
      </c>
      <c r="I43" s="9" t="n">
        <f aca="false">I26-I27</f>
        <v>7.13891370273802</v>
      </c>
      <c r="J43" s="9" t="n">
        <f aca="false">J26-J27</f>
        <v>8.14641926450658</v>
      </c>
      <c r="K43" s="9" t="n">
        <f aca="false">K26-K27</f>
        <v>3.1977437775912</v>
      </c>
      <c r="L43" s="9" t="n">
        <f aca="false">L26-L27</f>
        <v>-6.2224373395005</v>
      </c>
      <c r="M43" s="10" t="n">
        <f aca="false">M26-M27</f>
        <v>3.48547322621978</v>
      </c>
      <c r="N43" s="12" t="n">
        <f aca="false">N26-N27</f>
        <v>-0.819143546362881</v>
      </c>
    </row>
    <row r="44" customFormat="false" ht="15" hidden="false" customHeight="false" outlineLevel="0" collapsed="false">
      <c r="A44" s="8" t="str">
        <f aca="false">A28</f>
        <v>University-led</v>
      </c>
      <c r="C44" s="9" t="n">
        <f aca="false">C28-C29</f>
        <v>0</v>
      </c>
      <c r="E44" s="9" t="n">
        <f aca="false">E28</f>
        <v>9.6310083472582</v>
      </c>
      <c r="F44" s="9" t="n">
        <f aca="false">F28-F29</f>
        <v>-9.67854148500335</v>
      </c>
      <c r="G44" s="9" t="n">
        <f aca="false">G28</f>
        <v>1.5</v>
      </c>
      <c r="H44" s="19" t="n">
        <f aca="false">H28-H29</f>
        <v>0.158440048074028</v>
      </c>
      <c r="I44" s="9" t="n">
        <f aca="false">I28-I29</f>
        <v>2.76049893777019</v>
      </c>
      <c r="J44" s="9" t="n">
        <f aca="false">J28-J29</f>
        <v>4.99192304225903</v>
      </c>
      <c r="K44" s="9" t="n">
        <f aca="false">K28-K29</f>
        <v>15.6924734884612</v>
      </c>
      <c r="L44" s="9" t="n">
        <f aca="false">L28-L29</f>
        <v>-3.1136095326588</v>
      </c>
      <c r="M44" s="10" t="n">
        <f aca="false">M28-M29</f>
        <v>-0.727728560134793</v>
      </c>
      <c r="N44" s="12" t="n">
        <f aca="false">N28-N29</f>
        <v>1.17686281251243</v>
      </c>
    </row>
    <row r="45" customFormat="false" ht="15" hidden="false" customHeight="false" outlineLevel="0" collapsed="false">
      <c r="A45" s="8" t="str">
        <f aca="false">A30</f>
        <v>Cash preservation</v>
      </c>
      <c r="C45" s="9" t="n">
        <f aca="false">C30-C31</f>
        <v>0</v>
      </c>
      <c r="E45" s="9" t="n">
        <f aca="false">E30</f>
        <v>10.270251578125</v>
      </c>
      <c r="F45" s="9" t="n">
        <f aca="false">F30-F31</f>
        <v>-10.2967359668832</v>
      </c>
      <c r="G45" s="9" t="n">
        <f aca="false">G30</f>
        <v>1.5</v>
      </c>
      <c r="H45" s="19" t="n">
        <f aca="false">H30-H31</f>
        <v>0.212307187869792</v>
      </c>
      <c r="I45" s="9" t="n">
        <f aca="false">I30-I31</f>
        <v>4.9582274686133</v>
      </c>
      <c r="J45" s="9" t="n">
        <f aca="false">J30-J31</f>
        <v>6.36607803613553</v>
      </c>
      <c r="K45" s="9" t="n">
        <f aca="false">K30-K31</f>
        <v>1.60053676740088</v>
      </c>
      <c r="L45" s="9" t="n">
        <f aca="false">L30-L31</f>
        <v>-11.2570617097157</v>
      </c>
      <c r="M45" s="10" t="n">
        <f aca="false">M30-M31</f>
        <v>0.727983875475402</v>
      </c>
      <c r="N45" s="12" t="n">
        <f aca="false">N30-N31</f>
        <v>0.525357283886436</v>
      </c>
    </row>
    <row r="46" customFormat="false" ht="15" hidden="false" customHeight="false" outlineLevel="0" collapsed="false">
      <c r="A46" s="8" t="str">
        <f aca="false">A32</f>
        <v>Adaptive (evidence-responsive)</v>
      </c>
      <c r="C46" s="9" t="n">
        <f aca="false">C32-C33</f>
        <v>0</v>
      </c>
      <c r="E46" s="9" t="n">
        <f aca="false">E32</f>
        <v>8.68341616262818</v>
      </c>
      <c r="F46" s="9" t="n">
        <f aca="false">F32-F33</f>
        <v>-8.70023239438273</v>
      </c>
      <c r="G46" s="9" t="n">
        <f aca="false">G32</f>
        <v>1.5</v>
      </c>
      <c r="H46" s="19" t="n">
        <f aca="false">H32-H33</f>
        <v>0.0960510996165942</v>
      </c>
      <c r="I46" s="9" t="n">
        <f aca="false">I32-I33</f>
        <v>8.54022216151381</v>
      </c>
      <c r="J46" s="9" t="n">
        <f aca="false">J32-J33</f>
        <v>9.01601726357961</v>
      </c>
      <c r="K46" s="9" t="n">
        <f aca="false">K32-K33</f>
        <v>4.41579303542306</v>
      </c>
      <c r="L46" s="9" t="n">
        <f aca="false">L32-L33</f>
        <v>-6.25842853589029</v>
      </c>
      <c r="M46" s="10" t="n">
        <f aca="false">M32-M33</f>
        <v>6.1785067252749</v>
      </c>
      <c r="N46" s="12" t="n">
        <f aca="false">N32-N33</f>
        <v>1.62717420535024</v>
      </c>
    </row>
    <row r="48" customFormat="false" ht="15" hidden="false" customHeight="false" outlineLevel="0" collapsed="false">
      <c r="A48" s="3" t="s">
        <v>456</v>
      </c>
    </row>
    <row r="49" customFormat="false" ht="30" hidden="false" customHeight="true" outlineLevel="0" collapsed="false">
      <c r="A49" s="7" t="s">
        <v>157</v>
      </c>
      <c r="B49" s="7" t="s">
        <v>457</v>
      </c>
      <c r="C49" s="7" t="s">
        <v>434</v>
      </c>
      <c r="D49" s="7" t="s">
        <v>458</v>
      </c>
      <c r="E49" s="7" t="s">
        <v>459</v>
      </c>
      <c r="F49" s="7" t="s">
        <v>460</v>
      </c>
      <c r="G49" s="7" t="s">
        <v>461</v>
      </c>
      <c r="H49" s="7" t="s">
        <v>462</v>
      </c>
      <c r="I49" s="7" t="s">
        <v>438</v>
      </c>
      <c r="J49" s="7" t="s">
        <v>439</v>
      </c>
      <c r="K49" s="7" t="s">
        <v>180</v>
      </c>
      <c r="L49" s="7" t="s">
        <v>463</v>
      </c>
      <c r="M49" s="7" t="s">
        <v>181</v>
      </c>
    </row>
    <row r="50" customFormat="false" ht="15" hidden="false" customHeight="false" outlineLevel="0" collapsed="false">
      <c r="A50" s="8" t="s">
        <v>36</v>
      </c>
      <c r="B50" s="8" t="s">
        <v>464</v>
      </c>
      <c r="C50" s="9" t="n">
        <v>212.370707115408</v>
      </c>
      <c r="D50" s="9" t="n">
        <v>46.64690991472</v>
      </c>
      <c r="E50" s="9" t="n">
        <v>46.64690991472</v>
      </c>
      <c r="F50" s="9" t="n">
        <v>0</v>
      </c>
      <c r="G50" s="9" t="n">
        <v>0</v>
      </c>
      <c r="H50" s="14" t="n">
        <v>1</v>
      </c>
      <c r="I50" s="10" t="n">
        <v>116.216235692558</v>
      </c>
      <c r="J50" s="12" t="n">
        <v>68.0630162501727</v>
      </c>
      <c r="K50" s="8" t="s">
        <v>189</v>
      </c>
      <c r="L50" s="13" t="n">
        <v>0</v>
      </c>
      <c r="M50" s="13" t="n">
        <v>0</v>
      </c>
    </row>
    <row r="51" customFormat="false" ht="15" hidden="false" customHeight="false" outlineLevel="0" collapsed="false">
      <c r="A51" s="8" t="s">
        <v>36</v>
      </c>
      <c r="B51" s="8" t="s">
        <v>465</v>
      </c>
      <c r="C51" s="9" t="n">
        <v>212.370707115408</v>
      </c>
      <c r="D51" s="9" t="n">
        <v>46.64690991472</v>
      </c>
      <c r="E51" s="9" t="n">
        <v>46.64690991472</v>
      </c>
      <c r="F51" s="9" t="n">
        <v>0</v>
      </c>
      <c r="G51" s="9" t="n">
        <v>0</v>
      </c>
      <c r="H51" s="14" t="n">
        <v>1</v>
      </c>
      <c r="I51" s="10" t="n">
        <v>116.216235692558</v>
      </c>
      <c r="J51" s="12" t="n">
        <v>68.0630162501727</v>
      </c>
      <c r="K51" s="8" t="s">
        <v>189</v>
      </c>
      <c r="L51" s="13" t="n">
        <v>0</v>
      </c>
      <c r="M51" s="13" t="n">
        <v>0</v>
      </c>
    </row>
    <row r="52" customFormat="false" ht="15" hidden="false" customHeight="false" outlineLevel="0" collapsed="false">
      <c r="A52" s="8" t="s">
        <v>41</v>
      </c>
      <c r="B52" s="8" t="s">
        <v>464</v>
      </c>
      <c r="C52" s="9" t="n">
        <v>197.524078527406</v>
      </c>
      <c r="D52" s="9" t="n">
        <v>25</v>
      </c>
      <c r="E52" s="9" t="n">
        <v>25</v>
      </c>
      <c r="F52" s="9" t="n">
        <v>0.0658654334160929</v>
      </c>
      <c r="G52" s="9" t="n">
        <v>0</v>
      </c>
      <c r="H52" s="14" t="n">
        <v>1</v>
      </c>
      <c r="I52" s="10" t="n">
        <v>81.785812560389</v>
      </c>
      <c r="J52" s="12" t="n">
        <v>58.631731521967</v>
      </c>
      <c r="K52" s="8" t="s">
        <v>189</v>
      </c>
      <c r="L52" s="13" t="n">
        <v>0</v>
      </c>
      <c r="M52" s="13" t="n">
        <v>0</v>
      </c>
    </row>
    <row r="53" customFormat="false" ht="15" hidden="false" customHeight="false" outlineLevel="0" collapsed="false">
      <c r="A53" s="28" t="s">
        <v>41</v>
      </c>
      <c r="B53" s="28" t="s">
        <v>465</v>
      </c>
      <c r="C53" s="20" t="n">
        <v>197.691563985533</v>
      </c>
      <c r="D53" s="20" t="n">
        <v>11.8413509438755</v>
      </c>
      <c r="E53" s="20" t="n">
        <v>11.8413509438755</v>
      </c>
      <c r="F53" s="20" t="n">
        <v>0</v>
      </c>
      <c r="G53" s="20" t="n">
        <v>0</v>
      </c>
      <c r="H53" s="29" t="n">
        <v>1</v>
      </c>
      <c r="I53" s="30" t="n">
        <v>64.4186339352726</v>
      </c>
      <c r="J53" s="31" t="n">
        <v>57.5880725839638</v>
      </c>
      <c r="K53" s="28" t="s">
        <v>189</v>
      </c>
      <c r="L53" s="32" t="n">
        <v>0</v>
      </c>
      <c r="M53" s="32" t="n">
        <v>1</v>
      </c>
    </row>
    <row r="54" customFormat="false" ht="15" hidden="false" customHeight="false" outlineLevel="0" collapsed="false">
      <c r="A54" s="8" t="s">
        <v>46</v>
      </c>
      <c r="B54" s="8" t="s">
        <v>464</v>
      </c>
      <c r="C54" s="9" t="n">
        <v>234.700094015825</v>
      </c>
      <c r="D54" s="9" t="n">
        <v>84.5075687237593</v>
      </c>
      <c r="E54" s="9" t="n">
        <v>57.4742488079393</v>
      </c>
      <c r="F54" s="9" t="n">
        <v>0</v>
      </c>
      <c r="G54" s="9" t="n">
        <v>0</v>
      </c>
      <c r="H54" s="14" t="n">
        <v>1</v>
      </c>
      <c r="I54" s="10" t="n">
        <v>148.513018511566</v>
      </c>
      <c r="J54" s="12" t="n">
        <v>80.4911097263577</v>
      </c>
      <c r="K54" s="8" t="s">
        <v>189</v>
      </c>
      <c r="L54" s="13" t="n">
        <v>0</v>
      </c>
      <c r="M54" s="13" t="n">
        <v>0</v>
      </c>
    </row>
    <row r="55" customFormat="false" ht="15" hidden="false" customHeight="false" outlineLevel="0" collapsed="false">
      <c r="A55" s="8" t="s">
        <v>46</v>
      </c>
      <c r="B55" s="8" t="s">
        <v>465</v>
      </c>
      <c r="C55" s="9" t="n">
        <v>234.700094015825</v>
      </c>
      <c r="D55" s="9" t="n">
        <v>84.5075687237593</v>
      </c>
      <c r="E55" s="9" t="n">
        <v>57.4742488079393</v>
      </c>
      <c r="F55" s="9" t="n">
        <v>0</v>
      </c>
      <c r="G55" s="9" t="n">
        <v>0</v>
      </c>
      <c r="H55" s="14" t="n">
        <v>1</v>
      </c>
      <c r="I55" s="10" t="n">
        <v>148.513018511566</v>
      </c>
      <c r="J55" s="12" t="n">
        <v>80.4911097263577</v>
      </c>
      <c r="K55" s="8" t="s">
        <v>189</v>
      </c>
      <c r="L55" s="13" t="n">
        <v>0</v>
      </c>
      <c r="M55" s="13" t="n">
        <v>0</v>
      </c>
    </row>
    <row r="56" customFormat="false" ht="15" hidden="false" customHeight="false" outlineLevel="0" collapsed="false">
      <c r="A56" s="8" t="s">
        <v>51</v>
      </c>
      <c r="B56" s="8" t="s">
        <v>464</v>
      </c>
      <c r="C56" s="9" t="n">
        <v>226.219991539104</v>
      </c>
      <c r="D56" s="9" t="n">
        <v>76.4202948494421</v>
      </c>
      <c r="E56" s="9" t="n">
        <v>57.118185363373</v>
      </c>
      <c r="F56" s="9" t="n">
        <v>0</v>
      </c>
      <c r="G56" s="9" t="n">
        <v>0</v>
      </c>
      <c r="H56" s="14" t="n">
        <v>1</v>
      </c>
      <c r="I56" s="10" t="n">
        <v>143.753308710913</v>
      </c>
      <c r="J56" s="12" t="n">
        <v>76.7158581337386</v>
      </c>
      <c r="K56" s="8" t="s">
        <v>189</v>
      </c>
      <c r="L56" s="13" t="n">
        <v>0</v>
      </c>
      <c r="M56" s="13" t="n">
        <v>0</v>
      </c>
    </row>
    <row r="57" customFormat="false" ht="15" hidden="false" customHeight="false" outlineLevel="0" collapsed="false">
      <c r="A57" s="8" t="s">
        <v>51</v>
      </c>
      <c r="B57" s="8" t="s">
        <v>465</v>
      </c>
      <c r="C57" s="9" t="n">
        <v>226.219991539104</v>
      </c>
      <c r="D57" s="9" t="n">
        <v>76.4202948494421</v>
      </c>
      <c r="E57" s="9" t="n">
        <v>57.118185363373</v>
      </c>
      <c r="F57" s="9" t="n">
        <v>0</v>
      </c>
      <c r="G57" s="9" t="n">
        <v>0</v>
      </c>
      <c r="H57" s="14" t="n">
        <v>1</v>
      </c>
      <c r="I57" s="10" t="n">
        <v>143.753308710913</v>
      </c>
      <c r="J57" s="12" t="n">
        <v>76.7158581337386</v>
      </c>
      <c r="K57" s="8" t="s">
        <v>189</v>
      </c>
      <c r="L57" s="13" t="n">
        <v>0</v>
      </c>
      <c r="M57" s="13" t="n">
        <v>0</v>
      </c>
    </row>
    <row r="58" customFormat="false" ht="15" hidden="false" customHeight="false" outlineLevel="0" collapsed="false">
      <c r="A58" s="8" t="s">
        <v>55</v>
      </c>
      <c r="B58" s="8" t="s">
        <v>464</v>
      </c>
      <c r="C58" s="9" t="n">
        <v>203.893159816572</v>
      </c>
      <c r="D58" s="9" t="n">
        <v>56.3913350461927</v>
      </c>
      <c r="E58" s="9" t="n">
        <v>56.3913350461927</v>
      </c>
      <c r="F58" s="9" t="n">
        <v>0</v>
      </c>
      <c r="G58" s="9" t="n">
        <v>0</v>
      </c>
      <c r="H58" s="14" t="n">
        <v>1</v>
      </c>
      <c r="I58" s="10" t="n">
        <v>109.882212011446</v>
      </c>
      <c r="J58" s="12" t="n">
        <v>61.8035853090846</v>
      </c>
      <c r="K58" s="8" t="s">
        <v>189</v>
      </c>
      <c r="L58" s="13" t="n">
        <v>0</v>
      </c>
      <c r="M58" s="13" t="n">
        <v>0</v>
      </c>
    </row>
    <row r="59" customFormat="false" ht="15" hidden="false" customHeight="false" outlineLevel="0" collapsed="false">
      <c r="A59" s="8" t="s">
        <v>55</v>
      </c>
      <c r="B59" s="8" t="s">
        <v>465</v>
      </c>
      <c r="C59" s="9" t="n">
        <v>203.893159816572</v>
      </c>
      <c r="D59" s="9" t="n">
        <v>56.3913350461927</v>
      </c>
      <c r="E59" s="9" t="n">
        <v>56.3913350461927</v>
      </c>
      <c r="F59" s="9" t="n">
        <v>0</v>
      </c>
      <c r="G59" s="9" t="n">
        <v>0</v>
      </c>
      <c r="H59" s="14" t="n">
        <v>1</v>
      </c>
      <c r="I59" s="10" t="n">
        <v>109.882212011446</v>
      </c>
      <c r="J59" s="12" t="n">
        <v>61.8035853090846</v>
      </c>
      <c r="K59" s="8" t="s">
        <v>189</v>
      </c>
      <c r="L59" s="13" t="n">
        <v>0</v>
      </c>
      <c r="M59" s="13" t="n">
        <v>0</v>
      </c>
    </row>
    <row r="60" customFormat="false" ht="15" hidden="false" customHeight="false" outlineLevel="0" collapsed="false">
      <c r="A60" s="8" t="s">
        <v>59</v>
      </c>
      <c r="B60" s="8" t="s">
        <v>464</v>
      </c>
      <c r="C60" s="9" t="n">
        <v>193.278429750093</v>
      </c>
      <c r="D60" s="9" t="n">
        <v>25</v>
      </c>
      <c r="E60" s="9" t="n">
        <v>25</v>
      </c>
      <c r="F60" s="9" t="n">
        <v>26.6816580251418</v>
      </c>
      <c r="G60" s="9" t="n">
        <v>0</v>
      </c>
      <c r="H60" s="14" t="n">
        <v>1</v>
      </c>
      <c r="I60" s="10" t="n">
        <v>74.7460254168548</v>
      </c>
      <c r="J60" s="12" t="n">
        <v>51.7174939108118</v>
      </c>
      <c r="K60" s="8" t="s">
        <v>189</v>
      </c>
      <c r="L60" s="13" t="n">
        <v>0</v>
      </c>
      <c r="M60" s="13" t="n">
        <v>0</v>
      </c>
    </row>
    <row r="61" customFormat="false" ht="15" hidden="false" customHeight="false" outlineLevel="0" collapsed="false">
      <c r="A61" s="28" t="s">
        <v>59</v>
      </c>
      <c r="B61" s="28" t="s">
        <v>465</v>
      </c>
      <c r="C61" s="20" t="n">
        <v>193.206315913949</v>
      </c>
      <c r="D61" s="20" t="n">
        <v>13.3675966504301</v>
      </c>
      <c r="E61" s="20" t="n">
        <v>6.31786770326075</v>
      </c>
      <c r="F61" s="20" t="n">
        <v>0</v>
      </c>
      <c r="G61" s="20" t="n">
        <v>0</v>
      </c>
      <c r="H61" s="29" t="n">
        <v>1</v>
      </c>
      <c r="I61" s="30" t="n">
        <v>69.6355908279536</v>
      </c>
      <c r="J61" s="31" t="n">
        <v>53.6478897685577</v>
      </c>
      <c r="K61" s="28" t="s">
        <v>189</v>
      </c>
      <c r="L61" s="32" t="n">
        <v>0</v>
      </c>
      <c r="M61" s="32" t="n">
        <v>2</v>
      </c>
    </row>
    <row r="62" customFormat="false" ht="15" hidden="false" customHeight="false" outlineLevel="0" collapsed="false">
      <c r="A62" s="8" t="s">
        <v>63</v>
      </c>
      <c r="B62" s="8" t="s">
        <v>464</v>
      </c>
      <c r="C62" s="9" t="n">
        <v>220.943888387599</v>
      </c>
      <c r="D62" s="9" t="n">
        <v>60.2694259405635</v>
      </c>
      <c r="E62" s="9" t="n">
        <v>56.7848220300769</v>
      </c>
      <c r="F62" s="9" t="n">
        <v>0</v>
      </c>
      <c r="G62" s="9" t="n">
        <v>0</v>
      </c>
      <c r="H62" s="14" t="n">
        <v>1</v>
      </c>
      <c r="I62" s="10" t="n">
        <v>127.259220008078</v>
      </c>
      <c r="J62" s="12" t="n">
        <v>69.2609583126287</v>
      </c>
      <c r="K62" s="8" t="s">
        <v>189</v>
      </c>
      <c r="L62" s="13" t="n">
        <v>0</v>
      </c>
      <c r="M62" s="13" t="n">
        <v>0</v>
      </c>
    </row>
    <row r="63" customFormat="false" ht="15" hidden="false" customHeight="false" outlineLevel="0" collapsed="false">
      <c r="A63" s="8" t="s">
        <v>63</v>
      </c>
      <c r="B63" s="8" t="s">
        <v>465</v>
      </c>
      <c r="C63" s="9" t="n">
        <v>220.943888387599</v>
      </c>
      <c r="D63" s="9" t="n">
        <v>60.2694259405635</v>
      </c>
      <c r="E63" s="9" t="n">
        <v>56.7848220300769</v>
      </c>
      <c r="F63" s="9" t="n">
        <v>0</v>
      </c>
      <c r="G63" s="9" t="n">
        <v>0</v>
      </c>
      <c r="H63" s="14" t="n">
        <v>1</v>
      </c>
      <c r="I63" s="10" t="n">
        <v>127.259220008078</v>
      </c>
      <c r="J63" s="12" t="n">
        <v>69.2609583126287</v>
      </c>
      <c r="K63" s="8" t="s">
        <v>189</v>
      </c>
      <c r="L63" s="13" t="n">
        <v>0</v>
      </c>
      <c r="M63" s="13" t="n">
        <v>0</v>
      </c>
    </row>
    <row r="64" customFormat="false" ht="15" hidden="false" customHeight="false" outlineLevel="0" collapsed="false">
      <c r="A64" s="8" t="s">
        <v>67</v>
      </c>
      <c r="B64" s="8" t="s">
        <v>464</v>
      </c>
      <c r="C64" s="9" t="n">
        <v>198.164187821147</v>
      </c>
      <c r="D64" s="9" t="n">
        <v>32.5127262874841</v>
      </c>
      <c r="E64" s="9" t="n">
        <v>32.5127262874841</v>
      </c>
      <c r="F64" s="9" t="n">
        <v>0</v>
      </c>
      <c r="G64" s="9" t="n">
        <v>0</v>
      </c>
      <c r="H64" s="14" t="n">
        <v>1</v>
      </c>
      <c r="I64" s="10" t="n">
        <v>110.903443154202</v>
      </c>
      <c r="J64" s="12" t="n">
        <v>63.6532932047838</v>
      </c>
      <c r="K64" s="8" t="s">
        <v>189</v>
      </c>
      <c r="L64" s="13" t="n">
        <v>0</v>
      </c>
      <c r="M64" s="13" t="n">
        <v>0</v>
      </c>
    </row>
    <row r="65" customFormat="false" ht="15" hidden="false" customHeight="false" outlineLevel="0" collapsed="false">
      <c r="A65" s="8" t="s">
        <v>67</v>
      </c>
      <c r="B65" s="8" t="s">
        <v>465</v>
      </c>
      <c r="C65" s="9" t="n">
        <v>198.164187821147</v>
      </c>
      <c r="D65" s="9" t="n">
        <v>32.5127262874841</v>
      </c>
      <c r="E65" s="9" t="n">
        <v>32.5127262874841</v>
      </c>
      <c r="F65" s="9" t="n">
        <v>0</v>
      </c>
      <c r="G65" s="9" t="n">
        <v>0</v>
      </c>
      <c r="H65" s="14" t="n">
        <v>1</v>
      </c>
      <c r="I65" s="10" t="n">
        <v>110.903443154202</v>
      </c>
      <c r="J65" s="12" t="n">
        <v>63.6532932047838</v>
      </c>
      <c r="K65" s="8" t="s">
        <v>189</v>
      </c>
      <c r="L65" s="13" t="n">
        <v>0</v>
      </c>
      <c r="M65" s="13" t="n">
        <v>0</v>
      </c>
    </row>
    <row r="66" customFormat="false" ht="15" hidden="false" customHeight="false" outlineLevel="0" collapsed="false">
      <c r="A66" s="8" t="s">
        <v>72</v>
      </c>
      <c r="B66" s="8" t="s">
        <v>464</v>
      </c>
      <c r="C66" s="9" t="n">
        <v>196.351794110749</v>
      </c>
      <c r="D66" s="9" t="n">
        <v>186.793796927354</v>
      </c>
      <c r="E66" s="9" t="n">
        <v>80.0411165832347</v>
      </c>
      <c r="F66" s="9" t="n">
        <v>0</v>
      </c>
      <c r="G66" s="9" t="n">
        <v>0</v>
      </c>
      <c r="H66" s="14" t="n">
        <v>1</v>
      </c>
      <c r="I66" s="10" t="n">
        <v>102.814591851321</v>
      </c>
      <c r="J66" s="12" t="n">
        <v>64.4334498341436</v>
      </c>
      <c r="K66" s="8" t="s">
        <v>189</v>
      </c>
      <c r="L66" s="13" t="n">
        <v>0</v>
      </c>
      <c r="M66" s="13" t="n">
        <v>0</v>
      </c>
    </row>
    <row r="67" customFormat="false" ht="15" hidden="false" customHeight="false" outlineLevel="0" collapsed="false">
      <c r="A67" s="8" t="s">
        <v>72</v>
      </c>
      <c r="B67" s="8" t="s">
        <v>465</v>
      </c>
      <c r="C67" s="9" t="n">
        <v>196.351794110749</v>
      </c>
      <c r="D67" s="9" t="n">
        <v>186.793796927354</v>
      </c>
      <c r="E67" s="9" t="n">
        <v>80.0411165832347</v>
      </c>
      <c r="F67" s="9" t="n">
        <v>0</v>
      </c>
      <c r="G67" s="9" t="n">
        <v>0</v>
      </c>
      <c r="H67" s="14" t="n">
        <v>1</v>
      </c>
      <c r="I67" s="10" t="n">
        <v>102.814591851321</v>
      </c>
      <c r="J67" s="12" t="n">
        <v>64.4334498341436</v>
      </c>
      <c r="K67" s="8" t="s">
        <v>189</v>
      </c>
      <c r="L67" s="13" t="n">
        <v>0</v>
      </c>
      <c r="M67" s="13" t="n">
        <v>0</v>
      </c>
    </row>
    <row r="68" customFormat="false" ht="15" hidden="false" customHeight="false" outlineLevel="0" collapsed="false">
      <c r="A68" s="8" t="s">
        <v>77</v>
      </c>
      <c r="B68" s="8" t="s">
        <v>464</v>
      </c>
      <c r="C68" s="9" t="n">
        <v>233.349231609353</v>
      </c>
      <c r="D68" s="9" t="n">
        <v>80.9044195188667</v>
      </c>
      <c r="E68" s="9" t="n">
        <v>61.4437399185901</v>
      </c>
      <c r="F68" s="9" t="n">
        <v>0</v>
      </c>
      <c r="G68" s="9" t="n">
        <v>0</v>
      </c>
      <c r="H68" s="14" t="n">
        <v>1</v>
      </c>
      <c r="I68" s="10" t="n">
        <v>148.821126742347</v>
      </c>
      <c r="J68" s="12" t="n">
        <v>80.3311388707526</v>
      </c>
      <c r="K68" s="8" t="s">
        <v>189</v>
      </c>
      <c r="L68" s="13" t="n">
        <v>0</v>
      </c>
      <c r="M68" s="13" t="n">
        <v>0</v>
      </c>
    </row>
    <row r="69" customFormat="false" ht="15" hidden="false" customHeight="false" outlineLevel="0" collapsed="false">
      <c r="A69" s="8" t="s">
        <v>77</v>
      </c>
      <c r="B69" s="8" t="s">
        <v>465</v>
      </c>
      <c r="C69" s="9" t="n">
        <v>233.349231609353</v>
      </c>
      <c r="D69" s="9" t="n">
        <v>80.9044195188667</v>
      </c>
      <c r="E69" s="9" t="n">
        <v>61.4437399185901</v>
      </c>
      <c r="F69" s="9" t="n">
        <v>0</v>
      </c>
      <c r="G69" s="9" t="n">
        <v>0</v>
      </c>
      <c r="H69" s="14" t="n">
        <v>1</v>
      </c>
      <c r="I69" s="10" t="n">
        <v>148.821126742347</v>
      </c>
      <c r="J69" s="12" t="n">
        <v>80.3311388707526</v>
      </c>
      <c r="K69" s="8" t="s">
        <v>189</v>
      </c>
      <c r="L69" s="13" t="n">
        <v>0</v>
      </c>
      <c r="M69" s="13" t="n">
        <v>0</v>
      </c>
    </row>
    <row r="70" customFormat="false" ht="15" hidden="false" customHeight="false" outlineLevel="0" collapsed="false">
      <c r="A70" s="8" t="s">
        <v>466</v>
      </c>
      <c r="B70" s="8" t="s">
        <v>464</v>
      </c>
      <c r="C70" s="9" t="n">
        <v>236.110617187939</v>
      </c>
      <c r="D70" s="9" t="n">
        <v>61.7246349186471</v>
      </c>
      <c r="E70" s="9" t="n">
        <v>51.1287478387186</v>
      </c>
      <c r="F70" s="9" t="n">
        <v>0</v>
      </c>
      <c r="G70" s="9" t="n">
        <v>0</v>
      </c>
      <c r="H70" s="14" t="n">
        <v>1</v>
      </c>
      <c r="I70" s="10" t="n">
        <v>153.930098331631</v>
      </c>
      <c r="J70" s="12" t="n">
        <v>78.3166262719116</v>
      </c>
      <c r="K70" s="8" t="s">
        <v>189</v>
      </c>
      <c r="L70" s="13" t="n">
        <v>0</v>
      </c>
      <c r="M70" s="13" t="n">
        <v>0</v>
      </c>
    </row>
    <row r="71" customFormat="false" ht="15" hidden="false" customHeight="false" outlineLevel="0" collapsed="false">
      <c r="A71" s="8" t="s">
        <v>466</v>
      </c>
      <c r="B71" s="8" t="s">
        <v>465</v>
      </c>
      <c r="C71" s="9" t="n">
        <v>236.110617187939</v>
      </c>
      <c r="D71" s="9" t="n">
        <v>61.7246349186471</v>
      </c>
      <c r="E71" s="9" t="n">
        <v>51.1287478387186</v>
      </c>
      <c r="F71" s="9" t="n">
        <v>0</v>
      </c>
      <c r="G71" s="9" t="n">
        <v>0</v>
      </c>
      <c r="H71" s="14" t="n">
        <v>1</v>
      </c>
      <c r="I71" s="10" t="n">
        <v>153.930098331631</v>
      </c>
      <c r="J71" s="12" t="n">
        <v>78.3166262719116</v>
      </c>
      <c r="K71" s="8" t="s">
        <v>189</v>
      </c>
      <c r="L71" s="13" t="n">
        <v>0</v>
      </c>
      <c r="M71" s="13" t="n">
        <v>0</v>
      </c>
    </row>
    <row r="73" customFormat="false" ht="15" hidden="false" customHeight="false" outlineLevel="0" collapsed="false">
      <c r="A73" s="3" t="s">
        <v>467</v>
      </c>
    </row>
    <row r="74" customFormat="false" ht="15" hidden="false" customHeight="false" outlineLevel="0" collapsed="false">
      <c r="A74" s="2" t="s">
        <v>468</v>
      </c>
    </row>
    <row r="75" customFormat="false" ht="30" hidden="false" customHeight="true" outlineLevel="0" collapsed="false">
      <c r="A75" s="7" t="s">
        <v>157</v>
      </c>
      <c r="B75" s="7" t="s">
        <v>469</v>
      </c>
      <c r="C75" s="7" t="s">
        <v>470</v>
      </c>
      <c r="D75" s="7" t="s">
        <v>471</v>
      </c>
      <c r="E75" s="7" t="s">
        <v>458</v>
      </c>
      <c r="F75" s="7" t="s">
        <v>434</v>
      </c>
      <c r="G75" s="7" t="s">
        <v>436</v>
      </c>
      <c r="H75" s="7" t="s">
        <v>438</v>
      </c>
      <c r="I75" s="7" t="s">
        <v>439</v>
      </c>
      <c r="J75" s="7" t="s">
        <v>177</v>
      </c>
      <c r="K75" s="7" t="s">
        <v>472</v>
      </c>
      <c r="L75" s="7" t="s">
        <v>182</v>
      </c>
      <c r="M75" s="7" t="s">
        <v>473</v>
      </c>
      <c r="N75" s="7" t="s">
        <v>474</v>
      </c>
    </row>
    <row r="76" customFormat="false" ht="15" hidden="false" customHeight="false" outlineLevel="0" collapsed="false">
      <c r="A76" s="8" t="s">
        <v>36</v>
      </c>
      <c r="B76" s="8" t="s">
        <v>475</v>
      </c>
      <c r="C76" s="8" t="s">
        <v>476</v>
      </c>
      <c r="D76" s="9" t="n">
        <v>33.507525496114</v>
      </c>
      <c r="E76" s="9" t="n">
        <v>46.64690991472</v>
      </c>
      <c r="F76" s="9" t="n">
        <v>212.370707115408</v>
      </c>
      <c r="G76" s="9" t="n">
        <v>249.952847937679</v>
      </c>
      <c r="H76" s="10" t="n">
        <v>116.216235692558</v>
      </c>
      <c r="I76" s="12" t="n">
        <v>68.0630162501727</v>
      </c>
      <c r="J76" s="12" t="n">
        <v>72</v>
      </c>
      <c r="K76" s="12" t="n">
        <v>100</v>
      </c>
      <c r="L76" s="8" t="s">
        <v>190</v>
      </c>
      <c r="M76" s="10" t="n">
        <f aca="false">H76-H76</f>
        <v>0</v>
      </c>
      <c r="N76" s="12" t="n">
        <f aca="false">I76-I76</f>
        <v>0</v>
      </c>
    </row>
    <row r="77" customFormat="false" ht="15" hidden="false" customHeight="false" outlineLevel="0" collapsed="false">
      <c r="A77" s="8" t="s">
        <v>36</v>
      </c>
      <c r="B77" s="8" t="s">
        <v>477</v>
      </c>
      <c r="C77" s="28" t="s">
        <v>189</v>
      </c>
      <c r="D77" s="33" t="s">
        <v>478</v>
      </c>
      <c r="E77" s="33"/>
      <c r="F77" s="33"/>
      <c r="G77" s="33"/>
      <c r="H77" s="33"/>
      <c r="I77" s="33"/>
      <c r="J77" s="33"/>
      <c r="K77" s="33"/>
      <c r="L77" s="33"/>
      <c r="M77" s="33"/>
      <c r="N77" s="33"/>
    </row>
    <row r="78" customFormat="false" ht="15" hidden="false" customHeight="false" outlineLevel="0" collapsed="false">
      <c r="A78" s="8" t="s">
        <v>36</v>
      </c>
      <c r="B78" s="8" t="s">
        <v>479</v>
      </c>
      <c r="C78" s="8" t="s">
        <v>476</v>
      </c>
      <c r="D78" s="9" t="n">
        <v>38.544781898887</v>
      </c>
      <c r="E78" s="9" t="n">
        <v>54.7511235858503</v>
      </c>
      <c r="F78" s="9" t="n">
        <v>211.693826797144</v>
      </c>
      <c r="G78" s="9" t="n">
        <v>264.566501115775</v>
      </c>
      <c r="H78" s="10" t="n">
        <v>119.473914764585</v>
      </c>
      <c r="I78" s="12" t="n">
        <v>67.5087669034822</v>
      </c>
      <c r="J78" s="12" t="n">
        <v>63</v>
      </c>
      <c r="K78" s="12" t="n">
        <v>97.0266115525282</v>
      </c>
      <c r="L78" s="8" t="s">
        <v>190</v>
      </c>
      <c r="M78" s="10" t="n">
        <f aca="false">H78-H76</f>
        <v>3.25767907202631</v>
      </c>
      <c r="N78" s="12" t="n">
        <f aca="false">I78-I76</f>
        <v>-0.554249346690554</v>
      </c>
    </row>
    <row r="79" customFormat="false" ht="15" hidden="false" customHeight="false" outlineLevel="0" collapsed="false">
      <c r="A79" s="8" t="s">
        <v>36</v>
      </c>
      <c r="B79" s="8" t="s">
        <v>480</v>
      </c>
      <c r="C79" s="8" t="s">
        <v>476</v>
      </c>
      <c r="D79" s="9" t="n">
        <v>49.1299232912207</v>
      </c>
      <c r="E79" s="9" t="n">
        <v>81.8549690633077</v>
      </c>
      <c r="F79" s="9" t="n">
        <v>209.503392575357</v>
      </c>
      <c r="G79" s="9" t="n">
        <v>294.572318626729</v>
      </c>
      <c r="H79" s="10" t="n">
        <v>124.411784115898</v>
      </c>
      <c r="I79" s="12" t="n">
        <v>63.5072614680048</v>
      </c>
      <c r="J79" s="12" t="n">
        <v>52</v>
      </c>
      <c r="K79" s="12" t="n">
        <v>87.9030250436868</v>
      </c>
      <c r="L79" s="8" t="s">
        <v>193</v>
      </c>
      <c r="M79" s="10" t="n">
        <f aca="false">H79-H76</f>
        <v>8.1955484233396</v>
      </c>
      <c r="N79" s="12" t="n">
        <f aca="false">I79-I76</f>
        <v>-4.55575478216792</v>
      </c>
    </row>
    <row r="80" customFormat="false" ht="15" hidden="false" customHeight="false" outlineLevel="0" collapsed="false">
      <c r="A80" s="8" t="s">
        <v>36</v>
      </c>
      <c r="B80" s="8" t="s">
        <v>481</v>
      </c>
      <c r="C80" s="28" t="s">
        <v>189</v>
      </c>
      <c r="D80" s="33" t="s">
        <v>478</v>
      </c>
      <c r="E80" s="33"/>
      <c r="F80" s="33"/>
      <c r="G80" s="33"/>
      <c r="H80" s="33"/>
      <c r="I80" s="33"/>
      <c r="J80" s="33"/>
      <c r="K80" s="33"/>
      <c r="L80" s="33"/>
      <c r="M80" s="33"/>
      <c r="N80" s="33"/>
    </row>
    <row r="81" customFormat="false" ht="15" hidden="false" customHeight="false" outlineLevel="0" collapsed="false">
      <c r="A81" s="8" t="s">
        <v>36</v>
      </c>
      <c r="B81" s="8" t="s">
        <v>482</v>
      </c>
      <c r="C81" s="8" t="s">
        <v>476</v>
      </c>
      <c r="D81" s="9" t="n">
        <v>33.4864753299422</v>
      </c>
      <c r="E81" s="9" t="n">
        <v>56.8159121087915</v>
      </c>
      <c r="F81" s="9" t="n">
        <v>212.208857118673</v>
      </c>
      <c r="G81" s="9" t="n">
        <v>250.149286092464</v>
      </c>
      <c r="H81" s="10" t="n">
        <v>116.133847595134</v>
      </c>
      <c r="I81" s="12" t="n">
        <v>68.3719271371919</v>
      </c>
      <c r="J81" s="12" t="n">
        <v>72</v>
      </c>
      <c r="K81" s="12" t="n">
        <v>100</v>
      </c>
      <c r="L81" s="8" t="s">
        <v>190</v>
      </c>
      <c r="M81" s="10" t="n">
        <f aca="false">H81-H76</f>
        <v>-0.0823880974242996</v>
      </c>
      <c r="N81" s="12" t="n">
        <f aca="false">I81-I76</f>
        <v>0.308910887019181</v>
      </c>
    </row>
    <row r="82" customFormat="false" ht="15" hidden="false" customHeight="false" outlineLevel="0" collapsed="false">
      <c r="A82" s="8" t="s">
        <v>41</v>
      </c>
      <c r="B82" s="8" t="s">
        <v>475</v>
      </c>
      <c r="C82" s="8" t="s">
        <v>476</v>
      </c>
      <c r="D82" s="9" t="n">
        <v>19.990705568368</v>
      </c>
      <c r="E82" s="9" t="n">
        <v>25</v>
      </c>
      <c r="F82" s="9" t="n">
        <v>199.277183198692</v>
      </c>
      <c r="G82" s="9" t="n">
        <v>186.143973315639</v>
      </c>
      <c r="H82" s="10" t="n">
        <v>79.5154800585217</v>
      </c>
      <c r="I82" s="12" t="n">
        <v>60.5555660425998</v>
      </c>
      <c r="J82" s="12" t="n">
        <v>72</v>
      </c>
      <c r="K82" s="12" t="n">
        <v>93.3100838846651</v>
      </c>
      <c r="L82" s="8" t="s">
        <v>193</v>
      </c>
      <c r="M82" s="10" t="n">
        <f aca="false">H82-H82</f>
        <v>0</v>
      </c>
      <c r="N82" s="12" t="n">
        <f aca="false">I82-I82</f>
        <v>0</v>
      </c>
    </row>
    <row r="83" customFormat="false" ht="15" hidden="false" customHeight="false" outlineLevel="0" collapsed="false">
      <c r="A83" s="8" t="s">
        <v>41</v>
      </c>
      <c r="B83" s="8" t="s">
        <v>477</v>
      </c>
      <c r="C83" s="28" t="s">
        <v>189</v>
      </c>
      <c r="D83" s="33" t="s">
        <v>478</v>
      </c>
      <c r="E83" s="33"/>
      <c r="F83" s="33"/>
      <c r="G83" s="33"/>
      <c r="H83" s="33"/>
      <c r="I83" s="33"/>
      <c r="J83" s="33"/>
      <c r="K83" s="33"/>
      <c r="L83" s="33"/>
      <c r="M83" s="33"/>
      <c r="N83" s="33"/>
    </row>
    <row r="84" customFormat="false" ht="15" hidden="false" customHeight="false" outlineLevel="0" collapsed="false">
      <c r="A84" s="8" t="s">
        <v>41</v>
      </c>
      <c r="B84" s="8" t="s">
        <v>479</v>
      </c>
      <c r="C84" s="8" t="s">
        <v>476</v>
      </c>
      <c r="D84" s="9" t="n">
        <v>24.8744952447804</v>
      </c>
      <c r="E84" s="9" t="n">
        <v>25</v>
      </c>
      <c r="F84" s="9" t="n">
        <v>197.639059901543</v>
      </c>
      <c r="G84" s="9" t="n">
        <v>199.721006939292</v>
      </c>
      <c r="H84" s="10" t="n">
        <v>81.8875673321097</v>
      </c>
      <c r="I84" s="12" t="n">
        <v>58.7204213136354</v>
      </c>
      <c r="J84" s="12" t="n">
        <v>63</v>
      </c>
      <c r="K84" s="12" t="n">
        <v>85.4949809530981</v>
      </c>
      <c r="L84" s="8" t="s">
        <v>193</v>
      </c>
      <c r="M84" s="10" t="n">
        <f aca="false">H84-H82</f>
        <v>2.37208727358802</v>
      </c>
      <c r="N84" s="12" t="n">
        <f aca="false">I84-I82</f>
        <v>-1.83514472896434</v>
      </c>
    </row>
    <row r="85" customFormat="false" ht="15" hidden="false" customHeight="false" outlineLevel="0" collapsed="false">
      <c r="A85" s="8" t="s">
        <v>41</v>
      </c>
      <c r="B85" s="8" t="s">
        <v>480</v>
      </c>
      <c r="C85" s="8" t="s">
        <v>476</v>
      </c>
      <c r="D85" s="9" t="n">
        <v>35.5067519343526</v>
      </c>
      <c r="E85" s="9" t="n">
        <v>27.5227467355137</v>
      </c>
      <c r="F85" s="9" t="n">
        <v>195.998865398125</v>
      </c>
      <c r="G85" s="9" t="n">
        <v>230.091356112571</v>
      </c>
      <c r="H85" s="10" t="n">
        <v>89.9274042015221</v>
      </c>
      <c r="I85" s="12" t="n">
        <v>56.8456645945259</v>
      </c>
      <c r="J85" s="12" t="n">
        <v>52</v>
      </c>
      <c r="K85" s="12" t="n">
        <v>81.9495413938775</v>
      </c>
      <c r="L85" s="8" t="s">
        <v>193</v>
      </c>
      <c r="M85" s="10" t="n">
        <f aca="false">H85-H82</f>
        <v>10.4119241430004</v>
      </c>
      <c r="N85" s="12" t="n">
        <f aca="false">I85-I82</f>
        <v>-3.70990144807382</v>
      </c>
    </row>
    <row r="86" customFormat="false" ht="15" hidden="false" customHeight="false" outlineLevel="0" collapsed="false">
      <c r="A86" s="8" t="s">
        <v>41</v>
      </c>
      <c r="B86" s="8" t="s">
        <v>481</v>
      </c>
      <c r="C86" s="28" t="s">
        <v>189</v>
      </c>
      <c r="D86" s="33" t="s">
        <v>478</v>
      </c>
      <c r="E86" s="33"/>
      <c r="F86" s="33"/>
      <c r="G86" s="33"/>
      <c r="H86" s="33"/>
      <c r="I86" s="33"/>
      <c r="J86" s="33"/>
      <c r="K86" s="33"/>
      <c r="L86" s="33"/>
      <c r="M86" s="33"/>
      <c r="N86" s="33"/>
    </row>
    <row r="87" customFormat="false" ht="15" hidden="false" customHeight="false" outlineLevel="0" collapsed="false">
      <c r="A87" s="8" t="s">
        <v>41</v>
      </c>
      <c r="B87" s="8" t="s">
        <v>482</v>
      </c>
      <c r="C87" s="8" t="s">
        <v>476</v>
      </c>
      <c r="D87" s="9" t="n">
        <v>19.9862701056649</v>
      </c>
      <c r="E87" s="9" t="n">
        <v>25</v>
      </c>
      <c r="F87" s="9" t="n">
        <v>199.246718460923</v>
      </c>
      <c r="G87" s="9" t="n">
        <v>186.559848342659</v>
      </c>
      <c r="H87" s="10" t="n">
        <v>80.2636154287193</v>
      </c>
      <c r="I87" s="12" t="n">
        <v>60.6905408379735</v>
      </c>
      <c r="J87" s="12" t="n">
        <v>72</v>
      </c>
      <c r="K87" s="12" t="n">
        <v>94.6872991664232</v>
      </c>
      <c r="L87" s="8" t="s">
        <v>193</v>
      </c>
      <c r="M87" s="10" t="n">
        <f aca="false">H87-H82</f>
        <v>0.748135370197673</v>
      </c>
      <c r="N87" s="12" t="n">
        <f aca="false">I87-I82</f>
        <v>0.134974795373743</v>
      </c>
    </row>
    <row r="88" customFormat="false" ht="15" hidden="false" customHeight="false" outlineLevel="0" collapsed="false">
      <c r="A88" s="8" t="s">
        <v>46</v>
      </c>
      <c r="B88" s="8" t="s">
        <v>475</v>
      </c>
      <c r="C88" s="8" t="s">
        <v>476</v>
      </c>
      <c r="D88" s="9" t="n">
        <v>38.6544327570713</v>
      </c>
      <c r="E88" s="9" t="n">
        <v>84.5075687237593</v>
      </c>
      <c r="F88" s="9" t="n">
        <v>234.700094015825</v>
      </c>
      <c r="G88" s="9" t="n">
        <v>277.757568723759</v>
      </c>
      <c r="H88" s="10" t="n">
        <v>148.513018511566</v>
      </c>
      <c r="I88" s="12" t="n">
        <v>80.4911097263577</v>
      </c>
      <c r="J88" s="12" t="n">
        <v>67.7058291157245</v>
      </c>
      <c r="K88" s="12" t="n">
        <v>99.0751887129357</v>
      </c>
      <c r="L88" s="8" t="s">
        <v>190</v>
      </c>
      <c r="M88" s="10" t="n">
        <f aca="false">H88-H88</f>
        <v>0</v>
      </c>
      <c r="N88" s="12" t="n">
        <f aca="false">I88-I88</f>
        <v>0</v>
      </c>
    </row>
    <row r="89" customFormat="false" ht="15" hidden="false" customHeight="false" outlineLevel="0" collapsed="false">
      <c r="A89" s="8" t="s">
        <v>46</v>
      </c>
      <c r="B89" s="8" t="s">
        <v>477</v>
      </c>
      <c r="C89" s="28" t="s">
        <v>189</v>
      </c>
      <c r="D89" s="33" t="s">
        <v>478</v>
      </c>
      <c r="E89" s="33"/>
      <c r="F89" s="33"/>
      <c r="G89" s="33"/>
      <c r="H89" s="33"/>
      <c r="I89" s="33"/>
      <c r="J89" s="33"/>
      <c r="K89" s="33"/>
      <c r="L89" s="33"/>
      <c r="M89" s="33"/>
      <c r="N89" s="33"/>
    </row>
    <row r="90" customFormat="false" ht="15" hidden="false" customHeight="false" outlineLevel="0" collapsed="false">
      <c r="A90" s="8" t="s">
        <v>46</v>
      </c>
      <c r="B90" s="8" t="s">
        <v>479</v>
      </c>
      <c r="C90" s="8" t="s">
        <v>476</v>
      </c>
      <c r="D90" s="9" t="n">
        <v>43.4282256052829</v>
      </c>
      <c r="E90" s="9" t="n">
        <v>89.3363685061437</v>
      </c>
      <c r="F90" s="9" t="n">
        <v>231.589618698341</v>
      </c>
      <c r="G90" s="9" t="n">
        <v>289.106185636534</v>
      </c>
      <c r="H90" s="10" t="n">
        <v>147.074672598587</v>
      </c>
      <c r="I90" s="12" t="n">
        <v>77.1750147494191</v>
      </c>
      <c r="J90" s="12" t="n">
        <v>58.2599309706868</v>
      </c>
      <c r="K90" s="12" t="n">
        <v>89.1278120019421</v>
      </c>
      <c r="L90" s="8" t="s">
        <v>190</v>
      </c>
      <c r="M90" s="10" t="n">
        <f aca="false">H90-H88</f>
        <v>-1.4383459129786</v>
      </c>
      <c r="N90" s="12" t="n">
        <f aca="false">I90-I88</f>
        <v>-3.31609497693852</v>
      </c>
    </row>
    <row r="91" customFormat="false" ht="15" hidden="false" customHeight="false" outlineLevel="0" collapsed="false">
      <c r="A91" s="8" t="s">
        <v>46</v>
      </c>
      <c r="B91" s="8" t="s">
        <v>480</v>
      </c>
      <c r="C91" s="8" t="s">
        <v>476</v>
      </c>
      <c r="D91" s="9" t="n">
        <v>53.679858471204</v>
      </c>
      <c r="E91" s="9" t="n">
        <v>108.500980345697</v>
      </c>
      <c r="F91" s="9" t="n">
        <v>228.494622133867</v>
      </c>
      <c r="G91" s="9" t="n">
        <v>315.035196771404</v>
      </c>
      <c r="H91" s="10" t="n">
        <v>148.651067173582</v>
      </c>
      <c r="I91" s="12" t="n">
        <v>73.1956542656346</v>
      </c>
      <c r="J91" s="12" t="n">
        <v>50.4248977273186</v>
      </c>
      <c r="K91" s="12" t="n">
        <v>82.902553194951</v>
      </c>
      <c r="L91" s="8" t="s">
        <v>193</v>
      </c>
      <c r="M91" s="10" t="n">
        <f aca="false">H91-H88</f>
        <v>0.138048662016217</v>
      </c>
      <c r="N91" s="12" t="n">
        <f aca="false">I91-I88</f>
        <v>-7.29545546072302</v>
      </c>
    </row>
    <row r="92" customFormat="false" ht="15" hidden="false" customHeight="false" outlineLevel="0" collapsed="false">
      <c r="A92" s="8" t="s">
        <v>46</v>
      </c>
      <c r="B92" s="8" t="s">
        <v>481</v>
      </c>
      <c r="C92" s="28" t="s">
        <v>189</v>
      </c>
      <c r="D92" s="33" t="s">
        <v>478</v>
      </c>
      <c r="E92" s="33"/>
      <c r="F92" s="33"/>
      <c r="G92" s="33"/>
      <c r="H92" s="33"/>
      <c r="I92" s="33"/>
      <c r="J92" s="33"/>
      <c r="K92" s="33"/>
      <c r="L92" s="33"/>
      <c r="M92" s="33"/>
      <c r="N92" s="33"/>
    </row>
    <row r="93" customFormat="false" ht="15" hidden="false" customHeight="false" outlineLevel="0" collapsed="false">
      <c r="A93" s="8" t="s">
        <v>46</v>
      </c>
      <c r="B93" s="8" t="s">
        <v>482</v>
      </c>
      <c r="C93" s="8" t="s">
        <v>476</v>
      </c>
      <c r="D93" s="9" t="n">
        <v>38.6057816545318</v>
      </c>
      <c r="E93" s="9" t="n">
        <v>95.1373664418176</v>
      </c>
      <c r="F93" s="9" t="n">
        <v>234.243910065711</v>
      </c>
      <c r="G93" s="9" t="n">
        <v>278.387366441818</v>
      </c>
      <c r="H93" s="10" t="n">
        <v>148.056451020287</v>
      </c>
      <c r="I93" s="12" t="n">
        <v>80.6952604207687</v>
      </c>
      <c r="J93" s="12" t="n">
        <v>67.6841169158286</v>
      </c>
      <c r="K93" s="12" t="n">
        <v>97.0944294379194</v>
      </c>
      <c r="L93" s="8" t="s">
        <v>190</v>
      </c>
      <c r="M93" s="10" t="n">
        <f aca="false">H93-H88</f>
        <v>-0.45656749127869</v>
      </c>
      <c r="N93" s="12" t="n">
        <f aca="false">I93-I88</f>
        <v>0.204150694411041</v>
      </c>
    </row>
    <row r="94" customFormat="false" ht="15" hidden="false" customHeight="false" outlineLevel="0" collapsed="false">
      <c r="A94" s="8" t="s">
        <v>51</v>
      </c>
      <c r="B94" s="8" t="s">
        <v>475</v>
      </c>
      <c r="C94" s="8" t="s">
        <v>476</v>
      </c>
      <c r="D94" s="9" t="n">
        <v>35.4607676186447</v>
      </c>
      <c r="E94" s="9" t="n">
        <v>70.7460072843214</v>
      </c>
      <c r="F94" s="9" t="n">
        <v>226.41603694632</v>
      </c>
      <c r="G94" s="9" t="n">
        <v>267.332855151385</v>
      </c>
      <c r="H94" s="10" t="n">
        <v>142.63586284041</v>
      </c>
      <c r="I94" s="12" t="n">
        <v>76.7023854595694</v>
      </c>
      <c r="J94" s="12" t="n">
        <v>70.9724898452381</v>
      </c>
      <c r="K94" s="12" t="n">
        <v>55</v>
      </c>
      <c r="L94" s="8" t="s">
        <v>190</v>
      </c>
      <c r="M94" s="10" t="n">
        <f aca="false">H94-H94</f>
        <v>0</v>
      </c>
      <c r="N94" s="12" t="n">
        <f aca="false">I94-I94</f>
        <v>0</v>
      </c>
    </row>
    <row r="95" customFormat="false" ht="15" hidden="false" customHeight="false" outlineLevel="0" collapsed="false">
      <c r="A95" s="8" t="s">
        <v>51</v>
      </c>
      <c r="B95" s="8" t="s">
        <v>477</v>
      </c>
      <c r="C95" s="8" t="s">
        <v>476</v>
      </c>
      <c r="D95" s="9" t="n">
        <v>37.5271770283689</v>
      </c>
      <c r="E95" s="9" t="n">
        <v>76.4202948494421</v>
      </c>
      <c r="F95" s="9" t="n">
        <v>226.219991539104</v>
      </c>
      <c r="G95" s="9" t="n">
        <v>273.093995484319</v>
      </c>
      <c r="H95" s="10" t="n">
        <v>143.753308710913</v>
      </c>
      <c r="I95" s="12" t="n">
        <v>76.7158581337386</v>
      </c>
      <c r="J95" s="12" t="n">
        <v>69.4516451809628</v>
      </c>
      <c r="K95" s="12" t="n">
        <v>53.5</v>
      </c>
      <c r="L95" s="8" t="s">
        <v>190</v>
      </c>
      <c r="M95" s="10" t="n">
        <f aca="false">H95-H94</f>
        <v>1.11744587050302</v>
      </c>
      <c r="N95" s="12" t="n">
        <f aca="false">I95-I94</f>
        <v>0.0134726741692219</v>
      </c>
    </row>
    <row r="96" customFormat="false" ht="15" hidden="false" customHeight="false" outlineLevel="0" collapsed="false">
      <c r="A96" s="8" t="s">
        <v>51</v>
      </c>
      <c r="B96" s="8" t="s">
        <v>479</v>
      </c>
      <c r="C96" s="8" t="s">
        <v>476</v>
      </c>
      <c r="D96" s="9" t="n">
        <v>40.1813767874588</v>
      </c>
      <c r="E96" s="9" t="n">
        <v>86.2251006193082</v>
      </c>
      <c r="F96" s="9" t="n">
        <v>223.832373013689</v>
      </c>
      <c r="G96" s="9" t="n">
        <v>279.304812450511</v>
      </c>
      <c r="H96" s="10" t="n">
        <v>142.578399669301</v>
      </c>
      <c r="I96" s="12" t="n">
        <v>70.2083317704225</v>
      </c>
      <c r="J96" s="12" t="n">
        <v>61.8413212904972</v>
      </c>
      <c r="K96" s="12" t="n">
        <v>47</v>
      </c>
      <c r="L96" s="8" t="s">
        <v>193</v>
      </c>
      <c r="M96" s="10" t="n">
        <f aca="false">H96-H94</f>
        <v>-0.0574631711090774</v>
      </c>
      <c r="N96" s="12" t="n">
        <f aca="false">I96-I94</f>
        <v>-6.49405368914694</v>
      </c>
    </row>
    <row r="97" customFormat="false" ht="15" hidden="false" customHeight="false" outlineLevel="0" collapsed="false">
      <c r="A97" s="8" t="s">
        <v>51</v>
      </c>
      <c r="B97" s="8" t="s">
        <v>480</v>
      </c>
      <c r="C97" s="8" t="s">
        <v>476</v>
      </c>
      <c r="D97" s="9" t="n">
        <v>50.2822191137675</v>
      </c>
      <c r="E97" s="9" t="n">
        <v>98.0130567823435</v>
      </c>
      <c r="F97" s="9" t="n">
        <v>218.787478663278</v>
      </c>
      <c r="G97" s="9" t="n">
        <v>305.304061098856</v>
      </c>
      <c r="H97" s="10" t="n">
        <v>142.986021572901</v>
      </c>
      <c r="I97" s="12" t="n">
        <v>64.4222592079252</v>
      </c>
      <c r="J97" s="12" t="n">
        <v>50.7248989239927</v>
      </c>
      <c r="K97" s="12" t="n">
        <v>38</v>
      </c>
      <c r="L97" s="8" t="s">
        <v>193</v>
      </c>
      <c r="M97" s="10" t="n">
        <f aca="false">H97-H94</f>
        <v>0.350158732490826</v>
      </c>
      <c r="N97" s="12" t="n">
        <f aca="false">I97-I94</f>
        <v>-12.2801262516442</v>
      </c>
    </row>
    <row r="98" customFormat="false" ht="15" hidden="false" customHeight="false" outlineLevel="0" collapsed="false">
      <c r="A98" s="8" t="s">
        <v>51</v>
      </c>
      <c r="B98" s="8" t="s">
        <v>481</v>
      </c>
      <c r="C98" s="8" t="s">
        <v>476</v>
      </c>
      <c r="D98" s="9" t="n">
        <v>38.2303843490358</v>
      </c>
      <c r="E98" s="9" t="n">
        <v>76.3899420730137</v>
      </c>
      <c r="F98" s="9" t="n">
        <v>222.582457728626</v>
      </c>
      <c r="G98" s="9" t="n">
        <v>273.063642707891</v>
      </c>
      <c r="H98" s="10" t="n">
        <v>141.432628213055</v>
      </c>
      <c r="I98" s="12" t="n">
        <v>76.1082091512422</v>
      </c>
      <c r="J98" s="12" t="n">
        <v>69.4516451809628</v>
      </c>
      <c r="K98" s="12" t="n">
        <v>53.5</v>
      </c>
      <c r="L98" s="8" t="s">
        <v>190</v>
      </c>
      <c r="M98" s="10" t="n">
        <f aca="false">H98-H94</f>
        <v>-1.20323462735519</v>
      </c>
      <c r="N98" s="12" t="n">
        <f aca="false">I98-I94</f>
        <v>-0.594176308327178</v>
      </c>
    </row>
    <row r="99" customFormat="false" ht="15" hidden="false" customHeight="false" outlineLevel="0" collapsed="false">
      <c r="A99" s="8" t="s">
        <v>51</v>
      </c>
      <c r="B99" s="8" t="s">
        <v>482</v>
      </c>
      <c r="C99" s="8" t="s">
        <v>476</v>
      </c>
      <c r="D99" s="9" t="n">
        <v>35.4178441905685</v>
      </c>
      <c r="E99" s="9" t="n">
        <v>81.3794707456847</v>
      </c>
      <c r="F99" s="9" t="n">
        <v>226.211411320898</v>
      </c>
      <c r="G99" s="9" t="n">
        <v>267.729281575711</v>
      </c>
      <c r="H99" s="10" t="n">
        <v>142.357717440874</v>
      </c>
      <c r="I99" s="12" t="n">
        <v>76.9622115792195</v>
      </c>
      <c r="J99" s="12" t="n">
        <v>71.029378734127</v>
      </c>
      <c r="K99" s="12" t="n">
        <v>55</v>
      </c>
      <c r="L99" s="8" t="s">
        <v>190</v>
      </c>
      <c r="M99" s="10" t="n">
        <f aca="false">H99-H94</f>
        <v>-0.278145399535589</v>
      </c>
      <c r="N99" s="12" t="n">
        <f aca="false">I99-I94</f>
        <v>0.259826119650128</v>
      </c>
    </row>
    <row r="100" customFormat="false" ht="15" hidden="false" customHeight="false" outlineLevel="0" collapsed="false">
      <c r="A100" s="8" t="s">
        <v>55</v>
      </c>
      <c r="B100" s="8" t="s">
        <v>475</v>
      </c>
      <c r="C100" s="8" t="s">
        <v>476</v>
      </c>
      <c r="D100" s="9" t="n">
        <v>33.9177079358823</v>
      </c>
      <c r="E100" s="9" t="n">
        <v>50.8663373591063</v>
      </c>
      <c r="F100" s="9" t="n">
        <v>203.893237565158</v>
      </c>
      <c r="G100" s="9" t="n">
        <v>251.552333484036</v>
      </c>
      <c r="H100" s="10" t="n">
        <v>108.360398014474</v>
      </c>
      <c r="I100" s="12" t="n">
        <v>61.6861747004578</v>
      </c>
      <c r="J100" s="12" t="n">
        <v>72</v>
      </c>
      <c r="K100" s="12" t="n">
        <v>55</v>
      </c>
      <c r="L100" s="8" t="s">
        <v>190</v>
      </c>
      <c r="M100" s="10" t="n">
        <f aca="false">H100-H100</f>
        <v>0</v>
      </c>
      <c r="N100" s="12" t="n">
        <f aca="false">I100-I100</f>
        <v>0</v>
      </c>
    </row>
    <row r="101" customFormat="false" ht="15" hidden="false" customHeight="false" outlineLevel="0" collapsed="false">
      <c r="A101" s="8" t="s">
        <v>55</v>
      </c>
      <c r="B101" s="8" t="s">
        <v>477</v>
      </c>
      <c r="C101" s="8" t="s">
        <v>476</v>
      </c>
      <c r="D101" s="9" t="n">
        <v>35.7919286495237</v>
      </c>
      <c r="E101" s="9" t="n">
        <v>56.3913350461927</v>
      </c>
      <c r="F101" s="9" t="n">
        <v>203.893159816572</v>
      </c>
      <c r="G101" s="9" t="n">
        <v>257.077331171122</v>
      </c>
      <c r="H101" s="10" t="n">
        <v>109.882212011446</v>
      </c>
      <c r="I101" s="12" t="n">
        <v>61.8035853090846</v>
      </c>
      <c r="J101" s="12" t="n">
        <v>70.5</v>
      </c>
      <c r="K101" s="12" t="n">
        <v>53.5</v>
      </c>
      <c r="L101" s="8" t="s">
        <v>190</v>
      </c>
      <c r="M101" s="10" t="n">
        <f aca="false">H101-H100</f>
        <v>1.5218139969716</v>
      </c>
      <c r="N101" s="12" t="n">
        <f aca="false">I101-I100</f>
        <v>0.117410608626805</v>
      </c>
    </row>
    <row r="102" customFormat="false" ht="15" hidden="false" customHeight="false" outlineLevel="0" collapsed="false">
      <c r="A102" s="8" t="s">
        <v>55</v>
      </c>
      <c r="B102" s="8" t="s">
        <v>479</v>
      </c>
      <c r="C102" s="8" t="s">
        <v>476</v>
      </c>
      <c r="D102" s="9" t="n">
        <v>39.0015566438486</v>
      </c>
      <c r="E102" s="9" t="n">
        <v>66.7955283698105</v>
      </c>
      <c r="F102" s="9" t="n">
        <v>203.453941918559</v>
      </c>
      <c r="G102" s="9" t="n">
        <v>266.480378602955</v>
      </c>
      <c r="H102" s="10" t="n">
        <v>111.877243810717</v>
      </c>
      <c r="I102" s="12" t="n">
        <v>56.7462172072888</v>
      </c>
      <c r="J102" s="12" t="n">
        <v>63</v>
      </c>
      <c r="K102" s="12" t="n">
        <v>47</v>
      </c>
      <c r="L102" s="8" t="s">
        <v>193</v>
      </c>
      <c r="M102" s="10" t="n">
        <f aca="false">H102-H100</f>
        <v>3.51684579624251</v>
      </c>
      <c r="N102" s="12" t="n">
        <f aca="false">I102-I100</f>
        <v>-4.93995749316904</v>
      </c>
    </row>
    <row r="103" customFormat="false" ht="15" hidden="false" customHeight="false" outlineLevel="0" collapsed="false">
      <c r="A103" s="8" t="s">
        <v>55</v>
      </c>
      <c r="B103" s="8" t="s">
        <v>480</v>
      </c>
      <c r="C103" s="8" t="s">
        <v>476</v>
      </c>
      <c r="D103" s="9" t="n">
        <v>49.5393564506943</v>
      </c>
      <c r="E103" s="9" t="n">
        <v>82.6702317199208</v>
      </c>
      <c r="F103" s="9" t="n">
        <v>201.445562853302</v>
      </c>
      <c r="G103" s="9" t="n">
        <v>296.527367900735</v>
      </c>
      <c r="H103" s="10" t="n">
        <v>117.586771688679</v>
      </c>
      <c r="I103" s="12" t="n">
        <v>54.333238568138</v>
      </c>
      <c r="J103" s="12" t="n">
        <v>52</v>
      </c>
      <c r="K103" s="12" t="n">
        <v>38</v>
      </c>
      <c r="L103" s="8" t="s">
        <v>193</v>
      </c>
      <c r="M103" s="10" t="n">
        <f aca="false">H103-H100</f>
        <v>9.22637367420511</v>
      </c>
      <c r="N103" s="12" t="n">
        <f aca="false">I103-I100</f>
        <v>-7.35293613231981</v>
      </c>
    </row>
    <row r="104" customFormat="false" ht="15" hidden="false" customHeight="false" outlineLevel="0" collapsed="false">
      <c r="A104" s="8" t="s">
        <v>55</v>
      </c>
      <c r="B104" s="8" t="s">
        <v>481</v>
      </c>
      <c r="C104" s="8" t="s">
        <v>476</v>
      </c>
      <c r="D104" s="9" t="n">
        <v>36.3569788622628</v>
      </c>
      <c r="E104" s="9" t="n">
        <v>55.6401651280056</v>
      </c>
      <c r="F104" s="9" t="n">
        <v>199.79677401753</v>
      </c>
      <c r="G104" s="9" t="n">
        <v>256.316895336277</v>
      </c>
      <c r="H104" s="10" t="n">
        <v>106.773199192888</v>
      </c>
      <c r="I104" s="12" t="n">
        <v>61.1032756642819</v>
      </c>
      <c r="J104" s="12" t="n">
        <v>70.5</v>
      </c>
      <c r="K104" s="12" t="n">
        <v>53.5</v>
      </c>
      <c r="L104" s="8" t="s">
        <v>190</v>
      </c>
      <c r="M104" s="10" t="n">
        <f aca="false">H104-H100</f>
        <v>-1.5871988215863</v>
      </c>
      <c r="N104" s="12" t="n">
        <f aca="false">I104-I100</f>
        <v>-0.582899036175903</v>
      </c>
    </row>
    <row r="105" customFormat="false" ht="15" hidden="false" customHeight="false" outlineLevel="0" collapsed="false">
      <c r="A105" s="8" t="s">
        <v>55</v>
      </c>
      <c r="B105" s="8" t="s">
        <v>482</v>
      </c>
      <c r="C105" s="8" t="s">
        <v>476</v>
      </c>
      <c r="D105" s="9" t="n">
        <v>33.9177079358823</v>
      </c>
      <c r="E105" s="9" t="n">
        <v>60.8663373591063</v>
      </c>
      <c r="F105" s="9" t="n">
        <v>203.893237565158</v>
      </c>
      <c r="G105" s="9" t="n">
        <v>251.552333484036</v>
      </c>
      <c r="H105" s="10" t="n">
        <v>108.360398014474</v>
      </c>
      <c r="I105" s="12" t="n">
        <v>62.0134971048294</v>
      </c>
      <c r="J105" s="12" t="n">
        <v>72</v>
      </c>
      <c r="K105" s="12" t="n">
        <v>55</v>
      </c>
      <c r="L105" s="8" t="s">
        <v>190</v>
      </c>
      <c r="M105" s="10" t="n">
        <f aca="false">H105-H100</f>
        <v>0</v>
      </c>
      <c r="N105" s="12" t="n">
        <f aca="false">I105-I100</f>
        <v>0.327322404371586</v>
      </c>
    </row>
    <row r="106" customFormat="false" ht="15" hidden="false" customHeight="false" outlineLevel="0" collapsed="false">
      <c r="A106" s="8" t="s">
        <v>59</v>
      </c>
      <c r="B106" s="8" t="s">
        <v>475</v>
      </c>
      <c r="C106" s="8" t="s">
        <v>476</v>
      </c>
      <c r="D106" s="9" t="n">
        <v>18.5945514420778</v>
      </c>
      <c r="E106" s="9" t="n">
        <v>25</v>
      </c>
      <c r="F106" s="9" t="n">
        <v>194.713551762579</v>
      </c>
      <c r="G106" s="9" t="n">
        <v>178.010659999508</v>
      </c>
      <c r="H106" s="10" t="n">
        <v>69.5564510766504</v>
      </c>
      <c r="I106" s="12" t="n">
        <v>54.6138532165595</v>
      </c>
      <c r="J106" s="12" t="n">
        <v>72</v>
      </c>
      <c r="K106" s="12" t="n">
        <v>55</v>
      </c>
      <c r="L106" s="8" t="s">
        <v>193</v>
      </c>
      <c r="M106" s="10" t="n">
        <f aca="false">H106-H106</f>
        <v>0</v>
      </c>
      <c r="N106" s="12" t="n">
        <f aca="false">I106-I106</f>
        <v>0</v>
      </c>
    </row>
    <row r="107" customFormat="false" ht="15" hidden="false" customHeight="false" outlineLevel="0" collapsed="false">
      <c r="A107" s="8" t="s">
        <v>59</v>
      </c>
      <c r="B107" s="8" t="s">
        <v>477</v>
      </c>
      <c r="C107" s="8" t="s">
        <v>476</v>
      </c>
      <c r="D107" s="9" t="n">
        <v>20.3259605811275</v>
      </c>
      <c r="E107" s="9" t="n">
        <v>25</v>
      </c>
      <c r="F107" s="9" t="n">
        <v>194.708797181893</v>
      </c>
      <c r="G107" s="9" t="n">
        <v>183.304877854759</v>
      </c>
      <c r="H107" s="10" t="n">
        <v>71.7697998200766</v>
      </c>
      <c r="I107" s="12" t="n">
        <v>54.7296252393888</v>
      </c>
      <c r="J107" s="12" t="n">
        <v>70.5</v>
      </c>
      <c r="K107" s="12" t="n">
        <v>53.5</v>
      </c>
      <c r="L107" s="8" t="s">
        <v>193</v>
      </c>
      <c r="M107" s="10" t="n">
        <f aca="false">H107-H106</f>
        <v>2.2133487434262</v>
      </c>
      <c r="N107" s="12" t="n">
        <f aca="false">I107-I106</f>
        <v>0.11577202282934</v>
      </c>
    </row>
    <row r="108" customFormat="false" ht="15" hidden="false" customHeight="false" outlineLevel="0" collapsed="false">
      <c r="A108" s="8" t="s">
        <v>59</v>
      </c>
      <c r="B108" s="8" t="s">
        <v>479</v>
      </c>
      <c r="C108" s="8" t="s">
        <v>476</v>
      </c>
      <c r="D108" s="9" t="n">
        <v>23.5274958991579</v>
      </c>
      <c r="E108" s="9" t="n">
        <v>25</v>
      </c>
      <c r="F108" s="9" t="n">
        <v>193.286151160851</v>
      </c>
      <c r="G108" s="9" t="n">
        <v>191.644253418437</v>
      </c>
      <c r="H108" s="10" t="n">
        <v>72.5270296744582</v>
      </c>
      <c r="I108" s="12" t="n">
        <v>51.6022616149323</v>
      </c>
      <c r="J108" s="12" t="n">
        <v>63</v>
      </c>
      <c r="K108" s="12" t="n">
        <v>47</v>
      </c>
      <c r="L108" s="8" t="s">
        <v>193</v>
      </c>
      <c r="M108" s="10" t="n">
        <f aca="false">H108-H106</f>
        <v>2.97057859780777</v>
      </c>
      <c r="N108" s="12" t="n">
        <f aca="false">I108-I106</f>
        <v>-3.01159160162721</v>
      </c>
    </row>
    <row r="109" customFormat="false" ht="15" hidden="false" customHeight="false" outlineLevel="0" collapsed="false">
      <c r="A109" s="8" t="s">
        <v>59</v>
      </c>
      <c r="B109" s="8" t="s">
        <v>480</v>
      </c>
      <c r="C109" s="8" t="s">
        <v>476</v>
      </c>
      <c r="D109" s="9" t="n">
        <v>34.3038000820325</v>
      </c>
      <c r="E109" s="9" t="n">
        <v>25.3507367680522</v>
      </c>
      <c r="F109" s="9" t="n">
        <v>191.788823158459</v>
      </c>
      <c r="G109" s="9" t="n">
        <v>222.758527559328</v>
      </c>
      <c r="H109" s="10" t="n">
        <v>81.5117568782492</v>
      </c>
      <c r="I109" s="12" t="n">
        <v>48.6847133591976</v>
      </c>
      <c r="J109" s="12" t="n">
        <v>52</v>
      </c>
      <c r="K109" s="12" t="n">
        <v>38</v>
      </c>
      <c r="L109" s="8" t="s">
        <v>193</v>
      </c>
      <c r="M109" s="10" t="n">
        <f aca="false">H109-H106</f>
        <v>11.9553058015988</v>
      </c>
      <c r="N109" s="12" t="n">
        <f aca="false">I109-I106</f>
        <v>-5.92913985736183</v>
      </c>
    </row>
    <row r="110" customFormat="false" ht="15" hidden="false" customHeight="false" outlineLevel="0" collapsed="false">
      <c r="A110" s="8" t="s">
        <v>59</v>
      </c>
      <c r="B110" s="8" t="s">
        <v>481</v>
      </c>
      <c r="C110" s="8" t="s">
        <v>476</v>
      </c>
      <c r="D110" s="9" t="n">
        <v>21.1187797667362</v>
      </c>
      <c r="E110" s="9" t="n">
        <v>25</v>
      </c>
      <c r="F110" s="9" t="n">
        <v>191.582019613211</v>
      </c>
      <c r="G110" s="9" t="n">
        <v>183.779046262668</v>
      </c>
      <c r="H110" s="10" t="n">
        <v>69.5544269019697</v>
      </c>
      <c r="I110" s="12" t="n">
        <v>54.3219534586196</v>
      </c>
      <c r="J110" s="12" t="n">
        <v>70.5</v>
      </c>
      <c r="K110" s="12" t="n">
        <v>53.5</v>
      </c>
      <c r="L110" s="8" t="s">
        <v>193</v>
      </c>
      <c r="M110" s="10" t="n">
        <f aca="false">H110-H106</f>
        <v>-0.00202417468065619</v>
      </c>
      <c r="N110" s="12" t="n">
        <f aca="false">I110-I106</f>
        <v>-0.291899757939916</v>
      </c>
    </row>
    <row r="111" customFormat="false" ht="15" hidden="false" customHeight="false" outlineLevel="0" collapsed="false">
      <c r="A111" s="8" t="s">
        <v>59</v>
      </c>
      <c r="B111" s="8" t="s">
        <v>482</v>
      </c>
      <c r="C111" s="8" t="s">
        <v>476</v>
      </c>
      <c r="D111" s="9" t="n">
        <v>18.5838316797309</v>
      </c>
      <c r="E111" s="9" t="n">
        <v>25</v>
      </c>
      <c r="F111" s="9" t="n">
        <v>194.592532650639</v>
      </c>
      <c r="G111" s="9" t="n">
        <v>179.033158048807</v>
      </c>
      <c r="H111" s="10" t="n">
        <v>71.1996795390671</v>
      </c>
      <c r="I111" s="12" t="n">
        <v>54.9897615902554</v>
      </c>
      <c r="J111" s="12" t="n">
        <v>72</v>
      </c>
      <c r="K111" s="12" t="n">
        <v>55</v>
      </c>
      <c r="L111" s="8" t="s">
        <v>193</v>
      </c>
      <c r="M111" s="10" t="n">
        <f aca="false">H111-H106</f>
        <v>1.64322846241674</v>
      </c>
      <c r="N111" s="12" t="n">
        <f aca="false">I111-I106</f>
        <v>0.375908373695971</v>
      </c>
    </row>
    <row r="112" customFormat="false" ht="15" hidden="false" customHeight="false" outlineLevel="0" collapsed="false">
      <c r="A112" s="8" t="s">
        <v>63</v>
      </c>
      <c r="B112" s="8" t="s">
        <v>475</v>
      </c>
      <c r="C112" s="8" t="s">
        <v>476</v>
      </c>
      <c r="D112" s="9" t="n">
        <v>33.4787874552597</v>
      </c>
      <c r="E112" s="9" t="n">
        <v>54.0837719408877</v>
      </c>
      <c r="F112" s="9" t="n">
        <v>220.987632314732</v>
      </c>
      <c r="G112" s="9" t="n">
        <v>252.042826495903</v>
      </c>
      <c r="H112" s="10" t="n">
        <v>125.770039363556</v>
      </c>
      <c r="I112" s="12" t="n">
        <v>69.1297181779821</v>
      </c>
      <c r="J112" s="12" t="n">
        <v>72</v>
      </c>
      <c r="K112" s="12" t="n">
        <v>55</v>
      </c>
      <c r="L112" s="8" t="s">
        <v>190</v>
      </c>
      <c r="M112" s="10" t="n">
        <f aca="false">H112-H112</f>
        <v>0</v>
      </c>
      <c r="N112" s="12" t="n">
        <f aca="false">I112-I112</f>
        <v>0</v>
      </c>
    </row>
    <row r="113" customFormat="false" ht="15" hidden="false" customHeight="false" outlineLevel="0" collapsed="false">
      <c r="A113" s="8" t="s">
        <v>63</v>
      </c>
      <c r="B113" s="8" t="s">
        <v>477</v>
      </c>
      <c r="C113" s="8" t="s">
        <v>476</v>
      </c>
      <c r="D113" s="9" t="n">
        <v>35.6653511035773</v>
      </c>
      <c r="E113" s="9" t="n">
        <v>60.2694259405635</v>
      </c>
      <c r="F113" s="9" t="n">
        <v>220.943888387599</v>
      </c>
      <c r="G113" s="9" t="n">
        <v>258.249273648956</v>
      </c>
      <c r="H113" s="10" t="n">
        <v>127.259220008078</v>
      </c>
      <c r="I113" s="12" t="n">
        <v>69.2609583126287</v>
      </c>
      <c r="J113" s="12" t="n">
        <v>70.5</v>
      </c>
      <c r="K113" s="12" t="n">
        <v>53.5</v>
      </c>
      <c r="L113" s="8" t="s">
        <v>190</v>
      </c>
      <c r="M113" s="10" t="n">
        <f aca="false">H113-H112</f>
        <v>1.48918064452191</v>
      </c>
      <c r="N113" s="12" t="n">
        <f aca="false">I113-I112</f>
        <v>0.131240134646589</v>
      </c>
    </row>
    <row r="114" customFormat="false" ht="15" hidden="false" customHeight="false" outlineLevel="0" collapsed="false">
      <c r="A114" s="8" t="s">
        <v>63</v>
      </c>
      <c r="B114" s="8" t="s">
        <v>479</v>
      </c>
      <c r="C114" s="8" t="s">
        <v>476</v>
      </c>
      <c r="D114" s="9" t="n">
        <v>38.2680721510044</v>
      </c>
      <c r="E114" s="9" t="n">
        <v>112.797924203506</v>
      </c>
      <c r="F114" s="9" t="n">
        <v>219.172686246395</v>
      </c>
      <c r="G114" s="9" t="n">
        <v>264.945247192991</v>
      </c>
      <c r="H114" s="10" t="n">
        <v>125.723196831086</v>
      </c>
      <c r="I114" s="12" t="n">
        <v>65.6264664602863</v>
      </c>
      <c r="J114" s="12" t="n">
        <v>63</v>
      </c>
      <c r="K114" s="12" t="n">
        <v>47</v>
      </c>
      <c r="L114" s="8" t="s">
        <v>483</v>
      </c>
      <c r="M114" s="10" t="n">
        <f aca="false">H114-H112</f>
        <v>-0.0468425324696966</v>
      </c>
      <c r="N114" s="12" t="n">
        <f aca="false">I114-I112</f>
        <v>-3.50325171769578</v>
      </c>
    </row>
    <row r="115" customFormat="false" ht="15" hidden="false" customHeight="false" outlineLevel="0" collapsed="false">
      <c r="A115" s="8" t="s">
        <v>63</v>
      </c>
      <c r="B115" s="8" t="s">
        <v>480</v>
      </c>
      <c r="C115" s="8" t="s">
        <v>476</v>
      </c>
      <c r="D115" s="9" t="n">
        <v>48.6111120374467</v>
      </c>
      <c r="E115" s="9" t="n">
        <v>81.3138451612874</v>
      </c>
      <c r="F115" s="9" t="n">
        <v>215.603342493075</v>
      </c>
      <c r="G115" s="9" t="n">
        <v>292.891003860324</v>
      </c>
      <c r="H115" s="10" t="n">
        <v>130.900832575575</v>
      </c>
      <c r="I115" s="12" t="n">
        <v>60.0729843679458</v>
      </c>
      <c r="J115" s="12" t="n">
        <v>52</v>
      </c>
      <c r="K115" s="12" t="n">
        <v>38</v>
      </c>
      <c r="L115" s="8" t="s">
        <v>193</v>
      </c>
      <c r="M115" s="10" t="n">
        <f aca="false">H115-H112</f>
        <v>5.13079321201951</v>
      </c>
      <c r="N115" s="12" t="n">
        <f aca="false">I115-I112</f>
        <v>-9.05673381003626</v>
      </c>
    </row>
    <row r="116" customFormat="false" ht="15" hidden="false" customHeight="false" outlineLevel="0" collapsed="false">
      <c r="A116" s="8" t="s">
        <v>63</v>
      </c>
      <c r="B116" s="8" t="s">
        <v>481</v>
      </c>
      <c r="C116" s="8" t="s">
        <v>476</v>
      </c>
      <c r="D116" s="9" t="n">
        <v>36.4476985266245</v>
      </c>
      <c r="E116" s="9" t="n">
        <v>60.8872520775412</v>
      </c>
      <c r="F116" s="9" t="n">
        <v>217.786025344154</v>
      </c>
      <c r="G116" s="9" t="n">
        <v>258.858321074796</v>
      </c>
      <c r="H116" s="10" t="n">
        <v>125.350959958813</v>
      </c>
      <c r="I116" s="12" t="n">
        <v>68.7426992824029</v>
      </c>
      <c r="J116" s="12" t="n">
        <v>70.5</v>
      </c>
      <c r="K116" s="12" t="n">
        <v>53.5</v>
      </c>
      <c r="L116" s="8" t="s">
        <v>190</v>
      </c>
      <c r="M116" s="10" t="n">
        <f aca="false">H116-H112</f>
        <v>-0.419079404742291</v>
      </c>
      <c r="N116" s="12" t="n">
        <f aca="false">I116-I112</f>
        <v>-0.387018895579232</v>
      </c>
    </row>
    <row r="117" customFormat="false" ht="15" hidden="false" customHeight="false" outlineLevel="0" collapsed="false">
      <c r="A117" s="8" t="s">
        <v>63</v>
      </c>
      <c r="B117" s="8" t="s">
        <v>482</v>
      </c>
      <c r="C117" s="8" t="s">
        <v>476</v>
      </c>
      <c r="D117" s="9" t="n">
        <v>33.4736708886334</v>
      </c>
      <c r="E117" s="9" t="n">
        <v>65.1967632995669</v>
      </c>
      <c r="F117" s="9" t="n">
        <v>220.919252733225</v>
      </c>
      <c r="G117" s="9" t="n">
        <v>253.161888178349</v>
      </c>
      <c r="H117" s="10" t="n">
        <v>126.1302925348</v>
      </c>
      <c r="I117" s="12" t="n">
        <v>69.5518653920005</v>
      </c>
      <c r="J117" s="12" t="n">
        <v>72</v>
      </c>
      <c r="K117" s="12" t="n">
        <v>55</v>
      </c>
      <c r="L117" s="8" t="s">
        <v>190</v>
      </c>
      <c r="M117" s="10" t="n">
        <f aca="false">H117-H112</f>
        <v>0.360253171243997</v>
      </c>
      <c r="N117" s="12" t="n">
        <f aca="false">I117-I112</f>
        <v>0.422147214018409</v>
      </c>
    </row>
    <row r="118" customFormat="false" ht="15" hidden="false" customHeight="false" outlineLevel="0" collapsed="false">
      <c r="A118" s="8" t="s">
        <v>67</v>
      </c>
      <c r="B118" s="8" t="s">
        <v>475</v>
      </c>
      <c r="C118" s="8" t="s">
        <v>476</v>
      </c>
      <c r="D118" s="9" t="n">
        <v>25.9960021969845</v>
      </c>
      <c r="E118" s="9" t="n">
        <v>32.5127262874841</v>
      </c>
      <c r="F118" s="9" t="n">
        <v>198.164187821147</v>
      </c>
      <c r="G118" s="9" t="n">
        <v>214.012726287484</v>
      </c>
      <c r="H118" s="10" t="n">
        <v>110.903443154202</v>
      </c>
      <c r="I118" s="12" t="n">
        <v>63.6532932047838</v>
      </c>
      <c r="J118" s="12" t="n">
        <v>72</v>
      </c>
      <c r="K118" s="12" t="n">
        <v>100</v>
      </c>
      <c r="L118" s="8" t="s">
        <v>193</v>
      </c>
      <c r="M118" s="10" t="n">
        <f aca="false">H118-H118</f>
        <v>0</v>
      </c>
      <c r="N118" s="12" t="n">
        <f aca="false">I118-I118</f>
        <v>0</v>
      </c>
    </row>
    <row r="119" customFormat="false" ht="15" hidden="false" customHeight="false" outlineLevel="0" collapsed="false">
      <c r="A119" s="8" t="s">
        <v>67</v>
      </c>
      <c r="B119" s="8" t="s">
        <v>477</v>
      </c>
      <c r="C119" s="28" t="s">
        <v>189</v>
      </c>
      <c r="D119" s="33" t="s">
        <v>478</v>
      </c>
      <c r="E119" s="33"/>
      <c r="F119" s="33"/>
      <c r="G119" s="33"/>
      <c r="H119" s="33"/>
      <c r="I119" s="33"/>
      <c r="J119" s="33"/>
      <c r="K119" s="33"/>
      <c r="L119" s="33"/>
      <c r="M119" s="33"/>
      <c r="N119" s="33"/>
    </row>
    <row r="120" customFormat="false" ht="15" hidden="false" customHeight="false" outlineLevel="0" collapsed="false">
      <c r="A120" s="8" t="s">
        <v>67</v>
      </c>
      <c r="B120" s="8" t="s">
        <v>479</v>
      </c>
      <c r="C120" s="8" t="s">
        <v>476</v>
      </c>
      <c r="D120" s="9" t="n">
        <v>30.9637378428951</v>
      </c>
      <c r="E120" s="9" t="n">
        <v>30.0487323347018</v>
      </c>
      <c r="F120" s="9" t="n">
        <v>197.093732476606</v>
      </c>
      <c r="G120" s="9" t="n">
        <v>228.042923575774</v>
      </c>
      <c r="H120" s="10" t="n">
        <v>111.601972865103</v>
      </c>
      <c r="I120" s="12" t="n">
        <v>65.3456107422212</v>
      </c>
      <c r="J120" s="12" t="n">
        <v>63</v>
      </c>
      <c r="K120" s="12" t="n">
        <v>97.933931034778</v>
      </c>
      <c r="L120" s="8" t="s">
        <v>190</v>
      </c>
      <c r="M120" s="10" t="n">
        <f aca="false">H120-H118</f>
        <v>0.6985297109008</v>
      </c>
      <c r="N120" s="12" t="n">
        <f aca="false">I120-I118</f>
        <v>1.6923175374374</v>
      </c>
    </row>
    <row r="121" customFormat="false" ht="15" hidden="false" customHeight="false" outlineLevel="0" collapsed="false">
      <c r="A121" s="8" t="s">
        <v>67</v>
      </c>
      <c r="B121" s="8" t="s">
        <v>480</v>
      </c>
      <c r="C121" s="8" t="s">
        <v>476</v>
      </c>
      <c r="D121" s="9" t="n">
        <v>41.6119085768656</v>
      </c>
      <c r="E121" s="9" t="n">
        <v>56.8981712662612</v>
      </c>
      <c r="F121" s="9" t="n">
        <v>195.436771802358</v>
      </c>
      <c r="G121" s="9" t="n">
        <v>258.60232179404</v>
      </c>
      <c r="H121" s="10" t="n">
        <v>126.904184601468</v>
      </c>
      <c r="I121" s="12" t="n">
        <v>61.8355347161166</v>
      </c>
      <c r="J121" s="12" t="n">
        <v>52</v>
      </c>
      <c r="K121" s="12" t="n">
        <v>88.8507972692494</v>
      </c>
      <c r="L121" s="8" t="s">
        <v>193</v>
      </c>
      <c r="M121" s="10" t="n">
        <f aca="false">H121-H118</f>
        <v>16.0007414472667</v>
      </c>
      <c r="N121" s="12" t="n">
        <f aca="false">I121-I118</f>
        <v>-1.81775848866723</v>
      </c>
    </row>
    <row r="122" customFormat="false" ht="15" hidden="false" customHeight="false" outlineLevel="0" collapsed="false">
      <c r="A122" s="8" t="s">
        <v>67</v>
      </c>
      <c r="B122" s="8" t="s">
        <v>481</v>
      </c>
      <c r="C122" s="28" t="s">
        <v>189</v>
      </c>
      <c r="D122" s="33" t="s">
        <v>478</v>
      </c>
      <c r="E122" s="33"/>
      <c r="F122" s="33"/>
      <c r="G122" s="33"/>
      <c r="H122" s="33"/>
      <c r="I122" s="33"/>
      <c r="J122" s="33"/>
      <c r="K122" s="33"/>
      <c r="L122" s="33"/>
      <c r="M122" s="33"/>
      <c r="N122" s="33"/>
    </row>
    <row r="123" customFormat="false" ht="15" hidden="false" customHeight="false" outlineLevel="0" collapsed="false">
      <c r="A123" s="8" t="s">
        <v>67</v>
      </c>
      <c r="B123" s="8" t="s">
        <v>482</v>
      </c>
      <c r="C123" s="8" t="s">
        <v>476</v>
      </c>
      <c r="D123" s="9" t="n">
        <v>25.9676529427857</v>
      </c>
      <c r="E123" s="9" t="n">
        <v>32.5874231320014</v>
      </c>
      <c r="F123" s="9" t="n">
        <v>197.905952801286</v>
      </c>
      <c r="G123" s="9" t="n">
        <v>214.087423132001</v>
      </c>
      <c r="H123" s="10" t="n">
        <v>110.433670523611</v>
      </c>
      <c r="I123" s="12" t="n">
        <v>66.1958974138414</v>
      </c>
      <c r="J123" s="12" t="n">
        <v>72</v>
      </c>
      <c r="K123" s="12" t="n">
        <v>100</v>
      </c>
      <c r="L123" s="8" t="s">
        <v>190</v>
      </c>
      <c r="M123" s="10" t="n">
        <f aca="false">H123-H118</f>
        <v>-0.469772630590796</v>
      </c>
      <c r="N123" s="12" t="n">
        <f aca="false">I123-I118</f>
        <v>2.54260420905754</v>
      </c>
    </row>
    <row r="124" customFormat="false" ht="15" hidden="false" customHeight="false" outlineLevel="0" collapsed="false">
      <c r="A124" s="8" t="s">
        <v>72</v>
      </c>
      <c r="B124" s="8" t="s">
        <v>475</v>
      </c>
      <c r="C124" s="8" t="s">
        <v>476</v>
      </c>
      <c r="D124" s="9" t="n">
        <v>26.1970752266983</v>
      </c>
      <c r="E124" s="9" t="n">
        <v>181.792728635035</v>
      </c>
      <c r="F124" s="9" t="n">
        <v>196.44904929086</v>
      </c>
      <c r="G124" s="9" t="n">
        <v>218.102569904876</v>
      </c>
      <c r="H124" s="10" t="n">
        <v>101.555476890833</v>
      </c>
      <c r="I124" s="12" t="n">
        <v>64.5620087801864</v>
      </c>
      <c r="J124" s="12" t="n">
        <v>71.0389714285714</v>
      </c>
      <c r="K124" s="12" t="n">
        <v>55</v>
      </c>
      <c r="L124" s="8" t="s">
        <v>190</v>
      </c>
      <c r="M124" s="10" t="n">
        <f aca="false">H124-H124</f>
        <v>0</v>
      </c>
      <c r="N124" s="12" t="n">
        <f aca="false">I124-I124</f>
        <v>0</v>
      </c>
    </row>
    <row r="125" customFormat="false" ht="15" hidden="false" customHeight="false" outlineLevel="0" collapsed="false">
      <c r="A125" s="8" t="s">
        <v>72</v>
      </c>
      <c r="B125" s="8" t="s">
        <v>477</v>
      </c>
      <c r="C125" s="8" t="s">
        <v>476</v>
      </c>
      <c r="D125" s="9" t="n">
        <v>27.9176459867121</v>
      </c>
      <c r="E125" s="9" t="n">
        <v>186.793796927354</v>
      </c>
      <c r="F125" s="9" t="n">
        <v>196.351794110749</v>
      </c>
      <c r="G125" s="9" t="n">
        <v>223.165781054338</v>
      </c>
      <c r="H125" s="10" t="n">
        <v>102.814591851321</v>
      </c>
      <c r="I125" s="12" t="n">
        <v>64.4334498341436</v>
      </c>
      <c r="J125" s="12" t="n">
        <v>69.5240571428572</v>
      </c>
      <c r="K125" s="12" t="n">
        <v>53.5</v>
      </c>
      <c r="L125" s="8" t="s">
        <v>190</v>
      </c>
      <c r="M125" s="10" t="n">
        <f aca="false">H125-H124</f>
        <v>1.2591149604882</v>
      </c>
      <c r="N125" s="12" t="n">
        <f aca="false">I125-I124</f>
        <v>-0.12855894604283</v>
      </c>
    </row>
    <row r="126" customFormat="false" ht="15" hidden="false" customHeight="false" outlineLevel="0" collapsed="false">
      <c r="A126" s="8" t="s">
        <v>72</v>
      </c>
      <c r="B126" s="8" t="s">
        <v>479</v>
      </c>
      <c r="C126" s="8" t="s">
        <v>476</v>
      </c>
      <c r="D126" s="9" t="n">
        <v>31.0905077250133</v>
      </c>
      <c r="E126" s="9" t="n">
        <v>198.529883631465</v>
      </c>
      <c r="F126" s="9" t="n">
        <v>194.639920385092</v>
      </c>
      <c r="G126" s="9" t="n">
        <v>231.178813636394</v>
      </c>
      <c r="H126" s="10" t="n">
        <v>102.348289527988</v>
      </c>
      <c r="I126" s="12" t="n">
        <v>58.0746789905618</v>
      </c>
      <c r="J126" s="12" t="n">
        <v>61.9428587334725</v>
      </c>
      <c r="K126" s="12" t="n">
        <v>47</v>
      </c>
      <c r="L126" s="8" t="s">
        <v>193</v>
      </c>
      <c r="M126" s="10" t="n">
        <f aca="false">H126-H124</f>
        <v>0.792812637155407</v>
      </c>
      <c r="N126" s="12" t="n">
        <f aca="false">I126-I124</f>
        <v>-6.4873297896246</v>
      </c>
    </row>
    <row r="127" customFormat="false" ht="15" hidden="false" customHeight="false" outlineLevel="0" collapsed="false">
      <c r="A127" s="8" t="s">
        <v>72</v>
      </c>
      <c r="B127" s="8" t="s">
        <v>480</v>
      </c>
      <c r="C127" s="8" t="s">
        <v>476</v>
      </c>
      <c r="D127" s="9" t="n">
        <v>41.4126724379632</v>
      </c>
      <c r="E127" s="9" t="n">
        <v>212.072159355731</v>
      </c>
      <c r="F127" s="9" t="n">
        <v>190.975138829211</v>
      </c>
      <c r="G127" s="9" t="n">
        <v>258.838117483029</v>
      </c>
      <c r="H127" s="10" t="n">
        <v>105.064804767548</v>
      </c>
      <c r="I127" s="12" t="n">
        <v>54.0932713466959</v>
      </c>
      <c r="J127" s="12" t="n">
        <v>50.8451538461539</v>
      </c>
      <c r="K127" s="12" t="n">
        <v>38</v>
      </c>
      <c r="L127" s="8" t="s">
        <v>193</v>
      </c>
      <c r="M127" s="10" t="n">
        <f aca="false">H127-H124</f>
        <v>3.5093278767155</v>
      </c>
      <c r="N127" s="12" t="n">
        <f aca="false">I127-I124</f>
        <v>-10.4687374334905</v>
      </c>
    </row>
    <row r="128" customFormat="false" ht="15" hidden="false" customHeight="false" outlineLevel="0" collapsed="false">
      <c r="A128" s="8" t="s">
        <v>72</v>
      </c>
      <c r="B128" s="8" t="s">
        <v>481</v>
      </c>
      <c r="C128" s="8" t="s">
        <v>476</v>
      </c>
      <c r="D128" s="9" t="n">
        <v>28.6655540298505</v>
      </c>
      <c r="E128" s="9" t="n">
        <v>186.870100596279</v>
      </c>
      <c r="F128" s="9" t="n">
        <v>192.945428440549</v>
      </c>
      <c r="G128" s="9" t="n">
        <v>223.242084723264</v>
      </c>
      <c r="H128" s="10" t="n">
        <v>100.311769229798</v>
      </c>
      <c r="I128" s="12" t="n">
        <v>63.9076389208666</v>
      </c>
      <c r="J128" s="12" t="n">
        <v>69.5240571428572</v>
      </c>
      <c r="K128" s="12" t="n">
        <v>53.5</v>
      </c>
      <c r="L128" s="8" t="s">
        <v>190</v>
      </c>
      <c r="M128" s="10" t="n">
        <f aca="false">H128-H124</f>
        <v>-1.24370766103449</v>
      </c>
      <c r="N128" s="12" t="n">
        <f aca="false">I128-I124</f>
        <v>-0.6543698593198</v>
      </c>
    </row>
    <row r="129" customFormat="false" ht="15" hidden="false" customHeight="false" outlineLevel="0" collapsed="false">
      <c r="A129" s="8" t="s">
        <v>72</v>
      </c>
      <c r="B129" s="8" t="s">
        <v>482</v>
      </c>
      <c r="C129" s="8" t="s">
        <v>476</v>
      </c>
      <c r="D129" s="9" t="n">
        <v>26.0850612524538</v>
      </c>
      <c r="E129" s="9" t="n">
        <v>191.318988897463</v>
      </c>
      <c r="F129" s="9" t="n">
        <v>195.279090453843</v>
      </c>
      <c r="G129" s="9" t="n">
        <v>217.295496833971</v>
      </c>
      <c r="H129" s="10" t="n">
        <v>98.826511484575</v>
      </c>
      <c r="I129" s="12" t="n">
        <v>63.4079304967735</v>
      </c>
      <c r="J129" s="12" t="n">
        <v>71.1189714285714</v>
      </c>
      <c r="K129" s="12" t="n">
        <v>55</v>
      </c>
      <c r="L129" s="8" t="s">
        <v>190</v>
      </c>
      <c r="M129" s="10" t="n">
        <f aca="false">H129-H124</f>
        <v>-2.72896540625781</v>
      </c>
      <c r="N129" s="12" t="n">
        <f aca="false">I129-I124</f>
        <v>-1.1540782834129</v>
      </c>
    </row>
    <row r="130" customFormat="false" ht="15" hidden="false" customHeight="false" outlineLevel="0" collapsed="false">
      <c r="A130" s="8" t="s">
        <v>77</v>
      </c>
      <c r="B130" s="8" t="s">
        <v>475</v>
      </c>
      <c r="C130" s="8" t="s">
        <v>476</v>
      </c>
      <c r="D130" s="9" t="n">
        <v>32.5934251218716</v>
      </c>
      <c r="E130" s="9" t="n">
        <v>80.9044195188667</v>
      </c>
      <c r="F130" s="9" t="n">
        <v>233.349231609353</v>
      </c>
      <c r="G130" s="9" t="n">
        <v>262.124995596988</v>
      </c>
      <c r="H130" s="10" t="n">
        <v>148.821126742347</v>
      </c>
      <c r="I130" s="12" t="n">
        <v>80.3311388707526</v>
      </c>
      <c r="J130" s="12" t="n">
        <v>72</v>
      </c>
      <c r="K130" s="12" t="n">
        <v>81.1694854075822</v>
      </c>
      <c r="L130" s="8" t="s">
        <v>190</v>
      </c>
      <c r="M130" s="10" t="n">
        <f aca="false">H130-H130</f>
        <v>0</v>
      </c>
      <c r="N130" s="12" t="n">
        <f aca="false">I130-I130</f>
        <v>0</v>
      </c>
    </row>
    <row r="131" customFormat="false" ht="15" hidden="false" customHeight="false" outlineLevel="0" collapsed="false">
      <c r="A131" s="8" t="s">
        <v>77</v>
      </c>
      <c r="B131" s="8" t="s">
        <v>477</v>
      </c>
      <c r="C131" s="28" t="s">
        <v>189</v>
      </c>
      <c r="D131" s="33" t="s">
        <v>478</v>
      </c>
      <c r="E131" s="33"/>
      <c r="F131" s="33"/>
      <c r="G131" s="33"/>
      <c r="H131" s="33"/>
      <c r="I131" s="33"/>
      <c r="J131" s="33"/>
      <c r="K131" s="33"/>
      <c r="L131" s="33"/>
      <c r="M131" s="33"/>
      <c r="N131" s="33"/>
    </row>
    <row r="132" customFormat="false" ht="15" hidden="false" customHeight="false" outlineLevel="0" collapsed="false">
      <c r="A132" s="8" t="s">
        <v>77</v>
      </c>
      <c r="B132" s="8" t="s">
        <v>479</v>
      </c>
      <c r="C132" s="8" t="s">
        <v>476</v>
      </c>
      <c r="D132" s="9" t="n">
        <v>37.2436524340045</v>
      </c>
      <c r="E132" s="9" t="n">
        <v>85.1067708694877</v>
      </c>
      <c r="F132" s="9" t="n">
        <v>230.208456400889</v>
      </c>
      <c r="G132" s="9" t="n">
        <v>273.484284098592</v>
      </c>
      <c r="H132" s="10" t="n">
        <v>147.969707405013</v>
      </c>
      <c r="I132" s="12" t="n">
        <v>77.3531329784359</v>
      </c>
      <c r="J132" s="12" t="n">
        <v>63</v>
      </c>
      <c r="K132" s="12" t="n">
        <v>72.7230032907388</v>
      </c>
      <c r="L132" s="8" t="s">
        <v>190</v>
      </c>
      <c r="M132" s="10" t="n">
        <f aca="false">H132-H130</f>
        <v>-0.851419337334079</v>
      </c>
      <c r="N132" s="12" t="n">
        <f aca="false">I132-I130</f>
        <v>-2.97800589231669</v>
      </c>
    </row>
    <row r="133" customFormat="false" ht="15" hidden="false" customHeight="false" outlineLevel="0" collapsed="false">
      <c r="A133" s="8" t="s">
        <v>77</v>
      </c>
      <c r="B133" s="8" t="s">
        <v>480</v>
      </c>
      <c r="C133" s="8" t="s">
        <v>476</v>
      </c>
      <c r="D133" s="9" t="n">
        <v>47.0395807279322</v>
      </c>
      <c r="E133" s="9" t="n">
        <v>104.87753432871</v>
      </c>
      <c r="F133" s="9" t="n">
        <v>223.461807625898</v>
      </c>
      <c r="G133" s="9" t="n">
        <v>297.260457840151</v>
      </c>
      <c r="H133" s="10" t="n">
        <v>145.213198656456</v>
      </c>
      <c r="I133" s="12" t="n">
        <v>69.8275991218647</v>
      </c>
      <c r="J133" s="12" t="n">
        <v>52</v>
      </c>
      <c r="K133" s="12" t="n">
        <v>63.163215795412</v>
      </c>
      <c r="L133" s="8" t="s">
        <v>193</v>
      </c>
      <c r="M133" s="10" t="n">
        <f aca="false">H133-H130</f>
        <v>-3.60792808589071</v>
      </c>
      <c r="N133" s="12" t="n">
        <f aca="false">I133-I130</f>
        <v>-10.5035397488879</v>
      </c>
    </row>
    <row r="134" customFormat="false" ht="15" hidden="false" customHeight="false" outlineLevel="0" collapsed="false">
      <c r="A134" s="8" t="s">
        <v>77</v>
      </c>
      <c r="B134" s="8" t="s">
        <v>481</v>
      </c>
      <c r="C134" s="28" t="s">
        <v>189</v>
      </c>
      <c r="D134" s="33" t="s">
        <v>478</v>
      </c>
      <c r="E134" s="33"/>
      <c r="F134" s="33"/>
      <c r="G134" s="33"/>
      <c r="H134" s="33"/>
      <c r="I134" s="33"/>
      <c r="J134" s="33"/>
      <c r="K134" s="33"/>
      <c r="L134" s="33"/>
      <c r="M134" s="33"/>
      <c r="N134" s="33"/>
    </row>
    <row r="135" customFormat="false" ht="15" hidden="false" customHeight="false" outlineLevel="0" collapsed="false">
      <c r="A135" s="8" t="s">
        <v>77</v>
      </c>
      <c r="B135" s="8" t="s">
        <v>482</v>
      </c>
      <c r="C135" s="8" t="s">
        <v>476</v>
      </c>
      <c r="D135" s="9" t="n">
        <v>32.4912884436607</v>
      </c>
      <c r="E135" s="9" t="n">
        <v>90.4650094253601</v>
      </c>
      <c r="F135" s="9" t="n">
        <v>232.532408881202</v>
      </c>
      <c r="G135" s="9" t="n">
        <v>261.741285950641</v>
      </c>
      <c r="H135" s="10" t="n">
        <v>147.227657567195</v>
      </c>
      <c r="I135" s="12" t="n">
        <v>80.0476603081215</v>
      </c>
      <c r="J135" s="12" t="n">
        <v>72</v>
      </c>
      <c r="K135" s="12" t="n">
        <v>79.9218020103458</v>
      </c>
      <c r="L135" s="8" t="s">
        <v>190</v>
      </c>
      <c r="M135" s="10" t="n">
        <f aca="false">H135-H130</f>
        <v>-1.5934691751514</v>
      </c>
      <c r="N135" s="12" t="n">
        <f aca="false">I135-I130</f>
        <v>-0.283478562631103</v>
      </c>
    </row>
    <row r="137" customFormat="false" ht="15" hidden="false" customHeight="false" outlineLevel="0" collapsed="false">
      <c r="A137" s="3" t="s">
        <v>484</v>
      </c>
    </row>
    <row r="138" customFormat="false" ht="30" hidden="false" customHeight="true" outlineLevel="0" collapsed="false">
      <c r="A138" s="6" t="s">
        <v>485</v>
      </c>
      <c r="B138" s="6"/>
      <c r="C138" s="6"/>
      <c r="D138" s="6"/>
      <c r="E138" s="6"/>
      <c r="F138" s="6"/>
      <c r="G138" s="6"/>
      <c r="H138" s="6"/>
      <c r="I138" s="6"/>
      <c r="J138" s="6"/>
      <c r="K138" s="6"/>
      <c r="L138" s="6"/>
      <c r="M138" s="6"/>
      <c r="N138" s="6"/>
    </row>
    <row r="139" customFormat="false" ht="30" hidden="false" customHeight="true" outlineLevel="0" collapsed="false">
      <c r="A139" s="6" t="s">
        <v>486</v>
      </c>
      <c r="B139" s="6"/>
      <c r="C139" s="6"/>
      <c r="D139" s="6"/>
      <c r="E139" s="6"/>
      <c r="F139" s="6"/>
      <c r="G139" s="6"/>
      <c r="H139" s="6"/>
      <c r="I139" s="6"/>
      <c r="J139" s="6"/>
      <c r="K139" s="6"/>
      <c r="L139" s="6"/>
      <c r="M139" s="6"/>
      <c r="N139" s="6"/>
    </row>
    <row r="140" customFormat="false" ht="30" hidden="false" customHeight="true" outlineLevel="0" collapsed="false">
      <c r="A140" s="6" t="s">
        <v>487</v>
      </c>
      <c r="B140" s="6"/>
      <c r="C140" s="6"/>
      <c r="D140" s="6"/>
      <c r="E140" s="6"/>
      <c r="F140" s="6"/>
      <c r="G140" s="6"/>
      <c r="H140" s="6"/>
      <c r="I140" s="6"/>
      <c r="J140" s="6"/>
      <c r="K140" s="6"/>
      <c r="L140" s="6"/>
      <c r="M140" s="6"/>
      <c r="N140" s="6"/>
    </row>
    <row r="141" customFormat="false" ht="30" hidden="false" customHeight="true" outlineLevel="0" collapsed="false">
      <c r="A141" s="6" t="s">
        <v>488</v>
      </c>
      <c r="B141" s="6"/>
      <c r="C141" s="6"/>
      <c r="D141" s="6"/>
      <c r="E141" s="6"/>
      <c r="F141" s="6"/>
      <c r="G141" s="6"/>
      <c r="H141" s="6"/>
      <c r="I141" s="6"/>
      <c r="J141" s="6"/>
      <c r="K141" s="6"/>
      <c r="L141" s="6"/>
      <c r="M141" s="6"/>
      <c r="N141" s="6"/>
    </row>
  </sheetData>
  <mergeCells count="18">
    <mergeCell ref="B6:H6"/>
    <mergeCell ref="B7:H7"/>
    <mergeCell ref="B8:H8"/>
    <mergeCell ref="B9:H9"/>
    <mergeCell ref="D77:N77"/>
    <mergeCell ref="D80:N80"/>
    <mergeCell ref="D83:N83"/>
    <mergeCell ref="D86:N86"/>
    <mergeCell ref="D89:N89"/>
    <mergeCell ref="D92:N92"/>
    <mergeCell ref="D119:N119"/>
    <mergeCell ref="D122:N122"/>
    <mergeCell ref="D131:N131"/>
    <mergeCell ref="D134:N134"/>
    <mergeCell ref="A138:N138"/>
    <mergeCell ref="A139:N139"/>
    <mergeCell ref="A140:N140"/>
    <mergeCell ref="A141:N14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93F3B"/>
    <pageSetUpPr fitToPage="true"/>
  </sheetPr>
  <dimension ref="A1:M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13" min="3" style="0" width="13"/>
  </cols>
  <sheetData>
    <row r="1" customFormat="false" ht="17.35" hidden="false" customHeight="false" outlineLevel="0" collapsed="false">
      <c r="A1" s="1" t="s">
        <v>489</v>
      </c>
    </row>
    <row r="2" customFormat="false" ht="15" hidden="false" customHeight="false" outlineLevel="0" collapsed="false">
      <c r="A2" s="2" t="s">
        <v>490</v>
      </c>
    </row>
    <row r="4" customFormat="false" ht="15" hidden="false" customHeight="false" outlineLevel="0" collapsed="false">
      <c r="A4" s="3" t="s">
        <v>491</v>
      </c>
    </row>
    <row r="5" customFormat="false" ht="69.75" hidden="false" customHeight="true" outlineLevel="0" collapsed="false">
      <c r="A5" s="34" t="s">
        <v>492</v>
      </c>
      <c r="B5" s="5" t="s">
        <v>493</v>
      </c>
      <c r="C5" s="5"/>
      <c r="D5" s="5"/>
      <c r="E5" s="5"/>
      <c r="F5" s="5"/>
      <c r="G5" s="5"/>
      <c r="H5" s="5"/>
      <c r="I5" s="5"/>
      <c r="J5" s="5"/>
      <c r="K5" s="5"/>
      <c r="L5" s="5"/>
      <c r="M5" s="5"/>
    </row>
    <row r="6" customFormat="false" ht="45" hidden="false" customHeight="true" outlineLevel="0" collapsed="false">
      <c r="A6" s="34" t="s">
        <v>494</v>
      </c>
      <c r="B6" s="5" t="s">
        <v>495</v>
      </c>
      <c r="C6" s="5"/>
      <c r="D6" s="5"/>
      <c r="E6" s="5"/>
      <c r="F6" s="5"/>
      <c r="G6" s="5"/>
      <c r="H6" s="5"/>
      <c r="I6" s="5"/>
      <c r="J6" s="5"/>
      <c r="K6" s="5"/>
      <c r="L6" s="5"/>
      <c r="M6" s="5"/>
    </row>
    <row r="7" customFormat="false" ht="84" hidden="false" customHeight="true" outlineLevel="0" collapsed="false">
      <c r="A7" s="34" t="s">
        <v>496</v>
      </c>
      <c r="B7" s="5" t="s">
        <v>497</v>
      </c>
      <c r="C7" s="5"/>
      <c r="D7" s="5"/>
      <c r="E7" s="5"/>
      <c r="F7" s="5"/>
      <c r="G7" s="5"/>
      <c r="H7" s="5"/>
      <c r="I7" s="5"/>
      <c r="J7" s="5"/>
      <c r="K7" s="5"/>
      <c r="L7" s="5"/>
      <c r="M7" s="5"/>
    </row>
    <row r="8" customFormat="false" ht="69.75" hidden="false" customHeight="true" outlineLevel="0" collapsed="false">
      <c r="A8" s="34" t="s">
        <v>498</v>
      </c>
      <c r="B8" s="5" t="s">
        <v>499</v>
      </c>
      <c r="C8" s="5"/>
      <c r="D8" s="5"/>
      <c r="E8" s="5"/>
      <c r="F8" s="5"/>
      <c r="G8" s="5"/>
      <c r="H8" s="5"/>
      <c r="I8" s="5"/>
      <c r="J8" s="5"/>
      <c r="K8" s="5"/>
      <c r="L8" s="5"/>
      <c r="M8" s="5"/>
    </row>
    <row r="9" customFormat="false" ht="111.75" hidden="false" customHeight="true" outlineLevel="0" collapsed="false">
      <c r="A9" s="34" t="s">
        <v>500</v>
      </c>
      <c r="B9" s="5" t="s">
        <v>501</v>
      </c>
      <c r="C9" s="5"/>
      <c r="D9" s="5"/>
      <c r="E9" s="5"/>
      <c r="F9" s="5"/>
      <c r="G9" s="5"/>
      <c r="H9" s="5"/>
      <c r="I9" s="5"/>
      <c r="J9" s="5"/>
      <c r="K9" s="5"/>
      <c r="L9" s="5"/>
      <c r="M9" s="5"/>
    </row>
    <row r="10" customFormat="false" ht="55.5" hidden="false" customHeight="true" outlineLevel="0" collapsed="false">
      <c r="A10" s="34" t="s">
        <v>502</v>
      </c>
      <c r="B10" s="5" t="s">
        <v>503</v>
      </c>
      <c r="C10" s="5"/>
      <c r="D10" s="5"/>
      <c r="E10" s="5"/>
      <c r="F10" s="5"/>
      <c r="G10" s="5"/>
      <c r="H10" s="5"/>
      <c r="I10" s="5"/>
      <c r="J10" s="5"/>
      <c r="K10" s="5"/>
      <c r="L10" s="5"/>
      <c r="M10" s="5"/>
    </row>
    <row r="12" customFormat="false" ht="15" hidden="false" customHeight="false" outlineLevel="0" collapsed="false">
      <c r="A12" s="3" t="s">
        <v>504</v>
      </c>
    </row>
    <row r="13" customFormat="false" ht="30" hidden="false" customHeight="true" outlineLevel="0" collapsed="false">
      <c r="A13" s="7" t="s">
        <v>505</v>
      </c>
      <c r="B13" s="7" t="s">
        <v>506</v>
      </c>
      <c r="C13" s="7" t="s">
        <v>507</v>
      </c>
      <c r="D13" s="7" t="s">
        <v>508</v>
      </c>
      <c r="E13" s="7" t="s">
        <v>509</v>
      </c>
    </row>
    <row r="14" customFormat="false" ht="30" hidden="false" customHeight="true" outlineLevel="0" collapsed="false">
      <c r="A14" s="34" t="s">
        <v>510</v>
      </c>
      <c r="B14" s="5" t="s">
        <v>511</v>
      </c>
      <c r="C14" s="8" t="n">
        <v>0.08</v>
      </c>
      <c r="D14" s="35" t="n">
        <v>0.05</v>
      </c>
      <c r="E14" s="5" t="s">
        <v>512</v>
      </c>
      <c r="F14" s="5"/>
      <c r="G14" s="5"/>
      <c r="H14" s="5"/>
      <c r="I14" s="5"/>
      <c r="J14" s="5"/>
      <c r="K14" s="5"/>
      <c r="L14" s="5"/>
      <c r="M14" s="5"/>
    </row>
    <row r="15" customFormat="false" ht="30" hidden="false" customHeight="true" outlineLevel="0" collapsed="false">
      <c r="A15" s="34" t="s">
        <v>513</v>
      </c>
      <c r="B15" s="5" t="s">
        <v>514</v>
      </c>
      <c r="C15" s="8" t="n">
        <v>0.08</v>
      </c>
      <c r="D15" s="35" t="n">
        <v>0.3</v>
      </c>
      <c r="E15" s="5" t="s">
        <v>515</v>
      </c>
      <c r="F15" s="5"/>
      <c r="G15" s="5"/>
      <c r="H15" s="5"/>
      <c r="I15" s="5"/>
      <c r="J15" s="5"/>
      <c r="K15" s="5"/>
      <c r="L15" s="5"/>
      <c r="M15" s="5"/>
    </row>
    <row r="16" customFormat="false" ht="30" hidden="false" customHeight="true" outlineLevel="0" collapsed="false">
      <c r="A16" s="5"/>
      <c r="B16" s="5" t="s">
        <v>516</v>
      </c>
      <c r="C16" s="8" t="n">
        <v>1.2</v>
      </c>
      <c r="D16" s="35" t="n">
        <v>3</v>
      </c>
      <c r="E16" s="5"/>
      <c r="F16" s="5"/>
      <c r="G16" s="5"/>
      <c r="H16" s="5"/>
      <c r="I16" s="5"/>
      <c r="J16" s="5"/>
      <c r="K16" s="5"/>
      <c r="L16" s="5"/>
      <c r="M16" s="5"/>
    </row>
    <row r="17" customFormat="false" ht="30" hidden="false" customHeight="true" outlineLevel="0" collapsed="false">
      <c r="A17" s="34" t="s">
        <v>517</v>
      </c>
      <c r="B17" s="5" t="s">
        <v>518</v>
      </c>
      <c r="C17" s="8" t="s">
        <v>519</v>
      </c>
      <c r="D17" s="35" t="s">
        <v>520</v>
      </c>
      <c r="E17" s="5" t="s">
        <v>521</v>
      </c>
      <c r="F17" s="5"/>
      <c r="G17" s="5"/>
      <c r="H17" s="5"/>
      <c r="I17" s="5"/>
      <c r="J17" s="5"/>
      <c r="K17" s="5"/>
      <c r="L17" s="5"/>
      <c r="M17" s="5"/>
    </row>
    <row r="18" customFormat="false" ht="30" hidden="false" customHeight="true" outlineLevel="0" collapsed="false">
      <c r="A18" s="34" t="s">
        <v>522</v>
      </c>
      <c r="B18" s="5" t="s">
        <v>523</v>
      </c>
      <c r="C18" s="8" t="n">
        <v>0.04</v>
      </c>
      <c r="D18" s="35" t="n">
        <v>0.02</v>
      </c>
      <c r="E18" s="5" t="s">
        <v>524</v>
      </c>
      <c r="F18" s="5"/>
      <c r="G18" s="5"/>
      <c r="H18" s="5"/>
      <c r="I18" s="5"/>
      <c r="J18" s="5"/>
      <c r="K18" s="5"/>
      <c r="L18" s="5"/>
      <c r="M18" s="5"/>
    </row>
    <row r="19" customFormat="false" ht="30" hidden="false" customHeight="true" outlineLevel="0" collapsed="false">
      <c r="A19" s="34" t="s">
        <v>525</v>
      </c>
      <c r="B19" s="5" t="s">
        <v>526</v>
      </c>
      <c r="C19" s="8" t="n">
        <v>0.8</v>
      </c>
      <c r="D19" s="35" t="n">
        <v>4</v>
      </c>
      <c r="E19" s="5" t="s">
        <v>527</v>
      </c>
      <c r="F19" s="5"/>
      <c r="G19" s="5"/>
      <c r="H19" s="5"/>
      <c r="I19" s="5"/>
      <c r="J19" s="5"/>
      <c r="K19" s="5"/>
      <c r="L19" s="5"/>
      <c r="M19" s="5"/>
    </row>
    <row r="20" customFormat="false" ht="30" hidden="false" customHeight="true" outlineLevel="0" collapsed="false">
      <c r="A20" s="5"/>
      <c r="B20" s="5" t="s">
        <v>528</v>
      </c>
      <c r="C20" s="8" t="n">
        <v>0.2</v>
      </c>
      <c r="D20" s="35" t="n">
        <v>0.4</v>
      </c>
      <c r="E20" s="5"/>
      <c r="F20" s="5"/>
      <c r="G20" s="5"/>
      <c r="H20" s="5"/>
      <c r="I20" s="5"/>
      <c r="J20" s="5"/>
      <c r="K20" s="5"/>
      <c r="L20" s="5"/>
      <c r="M20" s="5"/>
    </row>
    <row r="21" customFormat="false" ht="30" hidden="false" customHeight="true" outlineLevel="0" collapsed="false">
      <c r="A21" s="34" t="s">
        <v>529</v>
      </c>
      <c r="B21" s="5" t="s">
        <v>530</v>
      </c>
      <c r="C21" s="8" t="s">
        <v>531</v>
      </c>
      <c r="D21" s="35" t="s">
        <v>532</v>
      </c>
      <c r="E21" s="5" t="s">
        <v>533</v>
      </c>
      <c r="F21" s="5"/>
      <c r="G21" s="5"/>
      <c r="H21" s="5"/>
      <c r="I21" s="5"/>
      <c r="J21" s="5"/>
      <c r="K21" s="5"/>
      <c r="L21" s="5"/>
      <c r="M21" s="5"/>
    </row>
    <row r="23" customFormat="false" ht="15" hidden="false" customHeight="false" outlineLevel="0" collapsed="false">
      <c r="A23" s="3" t="s">
        <v>534</v>
      </c>
    </row>
    <row r="24" customFormat="false" ht="15" hidden="false" customHeight="false" outlineLevel="0" collapsed="false">
      <c r="A24" s="2" t="s">
        <v>535</v>
      </c>
    </row>
    <row r="25" customFormat="false" ht="30" hidden="false" customHeight="true" outlineLevel="0" collapsed="false">
      <c r="A25" s="7" t="s">
        <v>536</v>
      </c>
      <c r="B25" s="7" t="s">
        <v>537</v>
      </c>
      <c r="C25" s="7" t="s">
        <v>538</v>
      </c>
      <c r="D25" s="7" t="s">
        <v>539</v>
      </c>
      <c r="E25" s="7" t="s">
        <v>540</v>
      </c>
      <c r="F25" s="7" t="s">
        <v>541</v>
      </c>
      <c r="G25" s="7" t="s">
        <v>542</v>
      </c>
      <c r="H25" s="7" t="s">
        <v>543</v>
      </c>
      <c r="I25" s="7" t="s">
        <v>544</v>
      </c>
      <c r="J25" s="7" t="s">
        <v>545</v>
      </c>
      <c r="K25" s="7" t="s">
        <v>546</v>
      </c>
      <c r="L25" s="7" t="s">
        <v>547</v>
      </c>
    </row>
    <row r="26" customFormat="false" ht="25.5" hidden="false" customHeight="true" outlineLevel="0" collapsed="false">
      <c r="A26" s="4" t="s">
        <v>548</v>
      </c>
      <c r="B26" s="5" t="s">
        <v>549</v>
      </c>
      <c r="C26" s="8" t="s">
        <v>97</v>
      </c>
      <c r="D26" s="10" t="n">
        <f aca="false">MIN(SUMIFS('Proposal tests'!$K$5:$K$784,'Proposal tests'!$A$5:$A$784,$A26,'Proposal tests'!$B$5:$B$784,$C26,'Proposal tests'!$C$5:$C$784,"Consumer-led"),SUMIFS('Proposal tests'!$K$5:$K$784,'Proposal tests'!$A$5:$A$784,$A26,'Proposal tests'!$B$5:$B$784,$C26,'Proposal tests'!$C$5:$C$784,"Enterprise-led"),SUMIFS('Proposal tests'!$K$5:$K$784,'Proposal tests'!$A$5:$A$784,$A26,'Proposal tests'!$B$5:$B$784,$C26,'Proposal tests'!$C$5:$C$784,"AI-led"),SUMIFS('Proposal tests'!$K$5:$K$784,'Proposal tests'!$A$5:$A$784,$A26,'Proposal tests'!$B$5:$B$784,$C26,'Proposal tests'!$C$5:$C$784,"University-led"))</f>
        <v>81.785812560389</v>
      </c>
      <c r="E26" s="10" t="n">
        <f aca="false">MAX(SUMIFS('Proposal tests'!$K$5:$K$784,'Proposal tests'!$A$5:$A$784,$A26,'Proposal tests'!$B$5:$B$784,$C26,'Proposal tests'!$C$5:$C$784,"Consumer-led"),SUMIFS('Proposal tests'!$K$5:$K$784,'Proposal tests'!$A$5:$A$784,$A26,'Proposal tests'!$B$5:$B$784,$C26,'Proposal tests'!$C$5:$C$784,"Enterprise-led"),SUMIFS('Proposal tests'!$K$5:$K$784,'Proposal tests'!$A$5:$A$784,$A26,'Proposal tests'!$B$5:$B$784,$C26,'Proposal tests'!$C$5:$C$784,"AI-led"),SUMIFS('Proposal tests'!$K$5:$K$784,'Proposal tests'!$A$5:$A$784,$A26,'Proposal tests'!$B$5:$B$784,$C26,'Proposal tests'!$C$5:$C$784,"University-led"))</f>
        <v>148.513018511566</v>
      </c>
      <c r="F26" s="16" t="n">
        <f aca="false">E26-D26</f>
        <v>66.7272059511765</v>
      </c>
      <c r="G26" s="10" t="n">
        <f aca="false">SUMIFS('Proposal tests'!$K$5:$K$784,'Proposal tests'!$A$5:$A$784,$A26,'Proposal tests'!$B$5:$B$784,$C26,'Proposal tests'!$C$5:$C$784,"Enterprise-led")</f>
        <v>81.785812560389</v>
      </c>
      <c r="H26" s="10" t="n">
        <f aca="false">SUMIFS('Proposal tests'!$K$5:$K$784,'Proposal tests'!$A$5:$A$784,$A26,'Proposal tests'!$B$5:$B$784,$C26,'Proposal tests'!$C$5:$C$784,"University-led")</f>
        <v>110.903443154202</v>
      </c>
      <c r="I26" s="10" t="n">
        <f aca="false">SUMIFS('Proposal tests'!$K$5:$K$784,'Proposal tests'!$A$5:$A$784,$A26,'Proposal tests'!$B$5:$B$784,$C26,'Proposal tests'!$C$5:$C$784,"Consumer-only")</f>
        <v>109.882212011446</v>
      </c>
      <c r="J26" s="10" t="n">
        <f aca="false">SUMIFS('Proposal tests'!$K$5:$K$784,'Proposal tests'!$A$5:$A$784,$A26,'Proposal tests'!$B$5:$B$784,$C26,'Proposal tests'!$C$5:$C$784,"AI-only")</f>
        <v>127.259220008078</v>
      </c>
      <c r="K26" s="10" t="n">
        <f aca="false">_xlfn.MAXIFS('Proposal tests'!$K$5:$K$784,'Proposal tests'!$A$5:$A$784,$A26,'Proposal tests'!$B$5:$B$784,$C26)</f>
        <v>148.821126742347</v>
      </c>
      <c r="L26" s="10" t="n">
        <f aca="false">_xlfn.MINIFS('Proposal tests'!$K$5:$K$784,'Proposal tests'!$A$5:$A$784,$A26,'Proposal tests'!$B$5:$B$784,$C26)</f>
        <v>74.7460254168548</v>
      </c>
    </row>
    <row r="27" customFormat="false" ht="25.5" hidden="false" customHeight="true" outlineLevel="0" collapsed="false">
      <c r="A27" s="4" t="s">
        <v>548</v>
      </c>
      <c r="B27" s="5" t="s">
        <v>549</v>
      </c>
      <c r="C27" s="8" t="s">
        <v>100</v>
      </c>
      <c r="D27" s="10" t="n">
        <f aca="false">MIN(SUMIFS('Proposal tests'!$K$5:$K$784,'Proposal tests'!$A$5:$A$784,$A27,'Proposal tests'!$B$5:$B$784,$C27,'Proposal tests'!$C$5:$C$784,"Consumer-led"),SUMIFS('Proposal tests'!$K$5:$K$784,'Proposal tests'!$A$5:$A$784,$A27,'Proposal tests'!$B$5:$B$784,$C27,'Proposal tests'!$C$5:$C$784,"Enterprise-led"),SUMIFS('Proposal tests'!$K$5:$K$784,'Proposal tests'!$A$5:$A$784,$A27,'Proposal tests'!$B$5:$B$784,$C27,'Proposal tests'!$C$5:$C$784,"AI-led"),SUMIFS('Proposal tests'!$K$5:$K$784,'Proposal tests'!$A$5:$A$784,$A27,'Proposal tests'!$B$5:$B$784,$C27,'Proposal tests'!$C$5:$C$784,"University-led"))</f>
        <v>71.5753020320829</v>
      </c>
      <c r="E27" s="10" t="n">
        <f aca="false">MAX(SUMIFS('Proposal tests'!$K$5:$K$784,'Proposal tests'!$A$5:$A$784,$A27,'Proposal tests'!$B$5:$B$784,$C27,'Proposal tests'!$C$5:$C$784,"Consumer-led"),SUMIFS('Proposal tests'!$K$5:$K$784,'Proposal tests'!$A$5:$A$784,$A27,'Proposal tests'!$B$5:$B$784,$C27,'Proposal tests'!$C$5:$C$784,"Enterprise-led"),SUMIFS('Proposal tests'!$K$5:$K$784,'Proposal tests'!$A$5:$A$784,$A27,'Proposal tests'!$B$5:$B$784,$C27,'Proposal tests'!$C$5:$C$784,"AI-led"),SUMIFS('Proposal tests'!$K$5:$K$784,'Proposal tests'!$A$5:$A$784,$A27,'Proposal tests'!$B$5:$B$784,$C27,'Proposal tests'!$C$5:$C$784,"University-led"))</f>
        <v>142.522391223537</v>
      </c>
      <c r="F27" s="16" t="n">
        <f aca="false">E27-D27</f>
        <v>70.9470891914541</v>
      </c>
      <c r="G27" s="10" t="n">
        <f aca="false">SUMIFS('Proposal tests'!$K$5:$K$784,'Proposal tests'!$A$5:$A$784,$A27,'Proposal tests'!$B$5:$B$784,$C27,'Proposal tests'!$C$5:$C$784,"Enterprise-led")</f>
        <v>71.5753020320829</v>
      </c>
      <c r="H27" s="10" t="n">
        <f aca="false">SUMIFS('Proposal tests'!$K$5:$K$784,'Proposal tests'!$A$5:$A$784,$A27,'Proposal tests'!$B$5:$B$784,$C27,'Proposal tests'!$C$5:$C$784,"University-led")</f>
        <v>94.9707821822824</v>
      </c>
      <c r="I27" s="10" t="n">
        <f aca="false">SUMIFS('Proposal tests'!$K$5:$K$784,'Proposal tests'!$A$5:$A$784,$A27,'Proposal tests'!$B$5:$B$784,$C27,'Proposal tests'!$C$5:$C$784,"Consumer-only")</f>
        <v>95.5586654226419</v>
      </c>
      <c r="J27" s="10" t="n">
        <f aca="false">SUMIFS('Proposal tests'!$K$5:$K$784,'Proposal tests'!$A$5:$A$784,$A27,'Proposal tests'!$B$5:$B$784,$C27,'Proposal tests'!$C$5:$C$784,"AI-only")</f>
        <v>120.91943393123</v>
      </c>
      <c r="K27" s="10" t="n">
        <f aca="false">_xlfn.MAXIFS('Proposal tests'!$K$5:$K$784,'Proposal tests'!$A$5:$A$784,$A27,'Proposal tests'!$B$5:$B$784,$C27)</f>
        <v>142.522391223537</v>
      </c>
      <c r="L27" s="10" t="n">
        <f aca="false">_xlfn.MINIFS('Proposal tests'!$K$5:$K$784,'Proposal tests'!$A$5:$A$784,$A27,'Proposal tests'!$B$5:$B$784,$C27)</f>
        <v>63.7172046991819</v>
      </c>
    </row>
    <row r="28" customFormat="false" ht="25.5" hidden="false" customHeight="true" outlineLevel="0" collapsed="false">
      <c r="A28" s="4" t="s">
        <v>548</v>
      </c>
      <c r="B28" s="5" t="s">
        <v>549</v>
      </c>
      <c r="C28" s="8" t="s">
        <v>106</v>
      </c>
      <c r="D28" s="10" t="n">
        <f aca="false">MIN(SUMIFS('Proposal tests'!$K$5:$K$784,'Proposal tests'!$A$5:$A$784,$A28,'Proposal tests'!$B$5:$B$784,$C28,'Proposal tests'!$C$5:$C$784,"Consumer-led"),SUMIFS('Proposal tests'!$K$5:$K$784,'Proposal tests'!$A$5:$A$784,$A28,'Proposal tests'!$B$5:$B$784,$C28,'Proposal tests'!$C$5:$C$784,"Enterprise-led"),SUMIFS('Proposal tests'!$K$5:$K$784,'Proposal tests'!$A$5:$A$784,$A28,'Proposal tests'!$B$5:$B$784,$C28,'Proposal tests'!$C$5:$C$784,"AI-led"),SUMIFS('Proposal tests'!$K$5:$K$784,'Proposal tests'!$A$5:$A$784,$A28,'Proposal tests'!$B$5:$B$784,$C28,'Proposal tests'!$C$5:$C$784,"University-led"))</f>
        <v>84.9326139905197</v>
      </c>
      <c r="E28" s="10" t="n">
        <f aca="false">MAX(SUMIFS('Proposal tests'!$K$5:$K$784,'Proposal tests'!$A$5:$A$784,$A28,'Proposal tests'!$B$5:$B$784,$C28,'Proposal tests'!$C$5:$C$784,"Consumer-led"),SUMIFS('Proposal tests'!$K$5:$K$784,'Proposal tests'!$A$5:$A$784,$A28,'Proposal tests'!$B$5:$B$784,$C28,'Proposal tests'!$C$5:$C$784,"Enterprise-led"),SUMIFS('Proposal tests'!$K$5:$K$784,'Proposal tests'!$A$5:$A$784,$A28,'Proposal tests'!$B$5:$B$784,$C28,'Proposal tests'!$C$5:$C$784,"AI-led"),SUMIFS('Proposal tests'!$K$5:$K$784,'Proposal tests'!$A$5:$A$784,$A28,'Proposal tests'!$B$5:$B$784,$C28,'Proposal tests'!$C$5:$C$784,"University-led"))</f>
        <v>150.248520200989</v>
      </c>
      <c r="F28" s="16" t="n">
        <f aca="false">E28-D28</f>
        <v>65.315906210469</v>
      </c>
      <c r="G28" s="10" t="n">
        <f aca="false">SUMIFS('Proposal tests'!$K$5:$K$784,'Proposal tests'!$A$5:$A$784,$A28,'Proposal tests'!$B$5:$B$784,$C28,'Proposal tests'!$C$5:$C$784,"Enterprise-led")</f>
        <v>84.9326139905197</v>
      </c>
      <c r="H28" s="10" t="n">
        <f aca="false">SUMIFS('Proposal tests'!$K$5:$K$784,'Proposal tests'!$A$5:$A$784,$A28,'Proposal tests'!$B$5:$B$784,$C28,'Proposal tests'!$C$5:$C$784,"University-led")</f>
        <v>113.982206931249</v>
      </c>
      <c r="I28" s="10" t="n">
        <f aca="false">SUMIFS('Proposal tests'!$K$5:$K$784,'Proposal tests'!$A$5:$A$784,$A28,'Proposal tests'!$B$5:$B$784,$C28,'Proposal tests'!$C$5:$C$784,"Consumer-only")</f>
        <v>111.385717544233</v>
      </c>
      <c r="J28" s="10" t="n">
        <f aca="false">SUMIFS('Proposal tests'!$K$5:$K$784,'Proposal tests'!$A$5:$A$784,$A28,'Proposal tests'!$B$5:$B$784,$C28,'Proposal tests'!$C$5:$C$784,"AI-only")</f>
        <v>129.005723571735</v>
      </c>
      <c r="K28" s="10" t="n">
        <f aca="false">_xlfn.MAXIFS('Proposal tests'!$K$5:$K$784,'Proposal tests'!$A$5:$A$784,$A28,'Proposal tests'!$B$5:$B$784,$C28)</f>
        <v>151.319988340492</v>
      </c>
      <c r="L28" s="10" t="n">
        <f aca="false">_xlfn.MINIFS('Proposal tests'!$K$5:$K$784,'Proposal tests'!$A$5:$A$784,$A28,'Proposal tests'!$B$5:$B$784,$C28)</f>
        <v>78.4230170542657</v>
      </c>
    </row>
    <row r="29" customFormat="false" ht="25.5" hidden="false" customHeight="true" outlineLevel="0" collapsed="false">
      <c r="A29" s="4" t="s">
        <v>548</v>
      </c>
      <c r="B29" s="5" t="s">
        <v>549</v>
      </c>
      <c r="C29" s="8" t="s">
        <v>112</v>
      </c>
      <c r="D29" s="10" t="n">
        <f aca="false">MIN(SUMIFS('Proposal tests'!$K$5:$K$784,'Proposal tests'!$A$5:$A$784,$A29,'Proposal tests'!$B$5:$B$784,$C29,'Proposal tests'!$C$5:$C$784,"Consumer-led"),SUMIFS('Proposal tests'!$K$5:$K$784,'Proposal tests'!$A$5:$A$784,$A29,'Proposal tests'!$B$5:$B$784,$C29,'Proposal tests'!$C$5:$C$784,"Enterprise-led"),SUMIFS('Proposal tests'!$K$5:$K$784,'Proposal tests'!$A$5:$A$784,$A29,'Proposal tests'!$B$5:$B$784,$C29,'Proposal tests'!$C$5:$C$784,"AI-led"),SUMIFS('Proposal tests'!$K$5:$K$784,'Proposal tests'!$A$5:$A$784,$A29,'Proposal tests'!$B$5:$B$784,$C29,'Proposal tests'!$C$5:$C$784,"University-led"))</f>
        <v>82.7969712973782</v>
      </c>
      <c r="E29" s="10" t="n">
        <f aca="false">MAX(SUMIFS('Proposal tests'!$K$5:$K$784,'Proposal tests'!$A$5:$A$784,$A29,'Proposal tests'!$B$5:$B$784,$C29,'Proposal tests'!$C$5:$C$784,"Consumer-led"),SUMIFS('Proposal tests'!$K$5:$K$784,'Proposal tests'!$A$5:$A$784,$A29,'Proposal tests'!$B$5:$B$784,$C29,'Proposal tests'!$C$5:$C$784,"Enterprise-led"),SUMIFS('Proposal tests'!$K$5:$K$784,'Proposal tests'!$A$5:$A$784,$A29,'Proposal tests'!$B$5:$B$784,$C29,'Proposal tests'!$C$5:$C$784,"AI-led"),SUMIFS('Proposal tests'!$K$5:$K$784,'Proposal tests'!$A$5:$A$784,$A29,'Proposal tests'!$B$5:$B$784,$C29,'Proposal tests'!$C$5:$C$784,"University-led"))</f>
        <v>164.088487624852</v>
      </c>
      <c r="F29" s="16" t="n">
        <f aca="false">E29-D29</f>
        <v>81.2915163274735</v>
      </c>
      <c r="G29" s="10" t="n">
        <f aca="false">SUMIFS('Proposal tests'!$K$5:$K$784,'Proposal tests'!$A$5:$A$784,$A29,'Proposal tests'!$B$5:$B$784,$C29,'Proposal tests'!$C$5:$C$784,"Enterprise-led")</f>
        <v>82.7969712973782</v>
      </c>
      <c r="H29" s="10" t="n">
        <f aca="false">SUMIFS('Proposal tests'!$K$5:$K$784,'Proposal tests'!$A$5:$A$784,$A29,'Proposal tests'!$B$5:$B$784,$C29,'Proposal tests'!$C$5:$C$784,"University-led")</f>
        <v>106.408923008225</v>
      </c>
      <c r="I29" s="10" t="n">
        <f aca="false">SUMIFS('Proposal tests'!$K$5:$K$784,'Proposal tests'!$A$5:$A$784,$A29,'Proposal tests'!$B$5:$B$784,$C29,'Proposal tests'!$C$5:$C$784,"Consumer-only")</f>
        <v>110.746166773557</v>
      </c>
      <c r="J29" s="10" t="n">
        <f aca="false">SUMIFS('Proposal tests'!$K$5:$K$784,'Proposal tests'!$A$5:$A$784,$A29,'Proposal tests'!$B$5:$B$784,$C29,'Proposal tests'!$C$5:$C$784,"AI-only")</f>
        <v>144.501626669295</v>
      </c>
      <c r="K29" s="10" t="n">
        <f aca="false">_xlfn.MAXIFS('Proposal tests'!$K$5:$K$784,'Proposal tests'!$A$5:$A$784,$A29,'Proposal tests'!$B$5:$B$784,$C29)</f>
        <v>164.088487624852</v>
      </c>
      <c r="L29" s="10" t="n">
        <f aca="false">_xlfn.MINIFS('Proposal tests'!$K$5:$K$784,'Proposal tests'!$A$5:$A$784,$A29,'Proposal tests'!$B$5:$B$784,$C29)</f>
        <v>76.1656605581922</v>
      </c>
    </row>
    <row r="30" customFormat="false" ht="25.5" hidden="false" customHeight="true" outlineLevel="0" collapsed="false">
      <c r="A30" s="4" t="s">
        <v>548</v>
      </c>
      <c r="B30" s="5" t="s">
        <v>549</v>
      </c>
      <c r="C30" s="8" t="s">
        <v>118</v>
      </c>
      <c r="D30" s="10" t="n">
        <f aca="false">MIN(SUMIFS('Proposal tests'!$K$5:$K$784,'Proposal tests'!$A$5:$A$784,$A30,'Proposal tests'!$B$5:$B$784,$C30,'Proposal tests'!$C$5:$C$784,"Consumer-led"),SUMIFS('Proposal tests'!$K$5:$K$784,'Proposal tests'!$A$5:$A$784,$A30,'Proposal tests'!$B$5:$B$784,$C30,'Proposal tests'!$C$5:$C$784,"Enterprise-led"),SUMIFS('Proposal tests'!$K$5:$K$784,'Proposal tests'!$A$5:$A$784,$A30,'Proposal tests'!$B$5:$B$784,$C30,'Proposal tests'!$C$5:$C$784,"AI-led"),SUMIFS('Proposal tests'!$K$5:$K$784,'Proposal tests'!$A$5:$A$784,$A30,'Proposal tests'!$B$5:$B$784,$C30,'Proposal tests'!$C$5:$C$784,"University-led"))</f>
        <v>111.092055491729</v>
      </c>
      <c r="E30" s="10" t="n">
        <f aca="false">MAX(SUMIFS('Proposal tests'!$K$5:$K$784,'Proposal tests'!$A$5:$A$784,$A30,'Proposal tests'!$B$5:$B$784,$C30,'Proposal tests'!$C$5:$C$784,"Consumer-led"),SUMIFS('Proposal tests'!$K$5:$K$784,'Proposal tests'!$A$5:$A$784,$A30,'Proposal tests'!$B$5:$B$784,$C30,'Proposal tests'!$C$5:$C$784,"Enterprise-led"),SUMIFS('Proposal tests'!$K$5:$K$784,'Proposal tests'!$A$5:$A$784,$A30,'Proposal tests'!$B$5:$B$784,$C30,'Proposal tests'!$C$5:$C$784,"AI-led"),SUMIFS('Proposal tests'!$K$5:$K$784,'Proposal tests'!$A$5:$A$784,$A30,'Proposal tests'!$B$5:$B$784,$C30,'Proposal tests'!$C$5:$C$784,"University-led"))</f>
        <v>142.054117296697</v>
      </c>
      <c r="F30" s="16" t="n">
        <f aca="false">E30-D30</f>
        <v>30.9620618049681</v>
      </c>
      <c r="G30" s="10" t="n">
        <f aca="false">SUMIFS('Proposal tests'!$K$5:$K$784,'Proposal tests'!$A$5:$A$784,$A30,'Proposal tests'!$B$5:$B$784,$C30,'Proposal tests'!$C$5:$C$784,"Enterprise-led")</f>
        <v>111.092055491729</v>
      </c>
      <c r="H30" s="10" t="n">
        <f aca="false">SUMIFS('Proposal tests'!$K$5:$K$784,'Proposal tests'!$A$5:$A$784,$A30,'Proposal tests'!$B$5:$B$784,$C30,'Proposal tests'!$C$5:$C$784,"University-led")</f>
        <v>131.203829261028</v>
      </c>
      <c r="I30" s="10" t="n">
        <f aca="false">SUMIFS('Proposal tests'!$K$5:$K$784,'Proposal tests'!$A$5:$A$784,$A30,'Proposal tests'!$B$5:$B$784,$C30,'Proposal tests'!$C$5:$C$784,"Consumer-only")</f>
        <v>125.957022753601</v>
      </c>
      <c r="J30" s="10" t="n">
        <f aca="false">SUMIFS('Proposal tests'!$K$5:$K$784,'Proposal tests'!$A$5:$A$784,$A30,'Proposal tests'!$B$5:$B$784,$C30,'Proposal tests'!$C$5:$C$784,"AI-only")</f>
        <v>120.478047631515</v>
      </c>
      <c r="K30" s="10" t="n">
        <f aca="false">_xlfn.MAXIFS('Proposal tests'!$K$5:$K$784,'Proposal tests'!$A$5:$A$784,$A30,'Proposal tests'!$B$5:$B$784,$C30)</f>
        <v>149.556906190789</v>
      </c>
      <c r="L30" s="10" t="n">
        <f aca="false">_xlfn.MINIFS('Proposal tests'!$K$5:$K$784,'Proposal tests'!$A$5:$A$784,$A30,'Proposal tests'!$B$5:$B$784,$C30)</f>
        <v>96.1436500685595</v>
      </c>
    </row>
    <row r="31" customFormat="false" ht="25.5" hidden="false" customHeight="true" outlineLevel="0" collapsed="false">
      <c r="A31" s="4" t="s">
        <v>548</v>
      </c>
      <c r="B31" s="5" t="s">
        <v>549</v>
      </c>
      <c r="C31" s="8" t="s">
        <v>121</v>
      </c>
      <c r="D31" s="10" t="n">
        <f aca="false">MIN(SUMIFS('Proposal tests'!$K$5:$K$784,'Proposal tests'!$A$5:$A$784,$A31,'Proposal tests'!$B$5:$B$784,$C31,'Proposal tests'!$C$5:$C$784,"Consumer-led"),SUMIFS('Proposal tests'!$K$5:$K$784,'Proposal tests'!$A$5:$A$784,$A31,'Proposal tests'!$B$5:$B$784,$C31,'Proposal tests'!$C$5:$C$784,"Enterprise-led"),SUMIFS('Proposal tests'!$K$5:$K$784,'Proposal tests'!$A$5:$A$784,$A31,'Proposal tests'!$B$5:$B$784,$C31,'Proposal tests'!$C$5:$C$784,"AI-led"),SUMIFS('Proposal tests'!$K$5:$K$784,'Proposal tests'!$A$5:$A$784,$A31,'Proposal tests'!$B$5:$B$784,$C31,'Proposal tests'!$C$5:$C$784,"University-led"))</f>
        <v>75.8499839497872</v>
      </c>
      <c r="E31" s="10" t="n">
        <f aca="false">MAX(SUMIFS('Proposal tests'!$K$5:$K$784,'Proposal tests'!$A$5:$A$784,$A31,'Proposal tests'!$B$5:$B$784,$C31,'Proposal tests'!$C$5:$C$784,"Consumer-led"),SUMIFS('Proposal tests'!$K$5:$K$784,'Proposal tests'!$A$5:$A$784,$A31,'Proposal tests'!$B$5:$B$784,$C31,'Proposal tests'!$C$5:$C$784,"Enterprise-led"),SUMIFS('Proposal tests'!$K$5:$K$784,'Proposal tests'!$A$5:$A$784,$A31,'Proposal tests'!$B$5:$B$784,$C31,'Proposal tests'!$C$5:$C$784,"AI-led"),SUMIFS('Proposal tests'!$K$5:$K$784,'Proposal tests'!$A$5:$A$784,$A31,'Proposal tests'!$B$5:$B$784,$C31,'Proposal tests'!$C$5:$C$784,"University-led"))</f>
        <v>140.910608135946</v>
      </c>
      <c r="F31" s="16" t="n">
        <f aca="false">E31-D31</f>
        <v>65.0606241861589</v>
      </c>
      <c r="G31" s="10" t="n">
        <f aca="false">SUMIFS('Proposal tests'!$K$5:$K$784,'Proposal tests'!$A$5:$A$784,$A31,'Proposal tests'!$B$5:$B$784,$C31,'Proposal tests'!$C$5:$C$784,"Enterprise-led")</f>
        <v>75.8499839497872</v>
      </c>
      <c r="H31" s="10" t="n">
        <f aca="false">SUMIFS('Proposal tests'!$K$5:$K$784,'Proposal tests'!$A$5:$A$784,$A31,'Proposal tests'!$B$5:$B$784,$C31,'Proposal tests'!$C$5:$C$784,"University-led")</f>
        <v>101.213174818428</v>
      </c>
      <c r="I31" s="10" t="n">
        <f aca="false">SUMIFS('Proposal tests'!$K$5:$K$784,'Proposal tests'!$A$5:$A$784,$A31,'Proposal tests'!$B$5:$B$784,$C31,'Proposal tests'!$C$5:$C$784,"Consumer-only")</f>
        <v>104.126481893975</v>
      </c>
      <c r="J31" s="10" t="n">
        <f aca="false">SUMIFS('Proposal tests'!$K$5:$K$784,'Proposal tests'!$A$5:$A$784,$A31,'Proposal tests'!$B$5:$B$784,$C31,'Proposal tests'!$C$5:$C$784,"AI-only")</f>
        <v>119.53931414637</v>
      </c>
      <c r="K31" s="10" t="n">
        <f aca="false">_xlfn.MAXIFS('Proposal tests'!$K$5:$K$784,'Proposal tests'!$A$5:$A$784,$A31,'Proposal tests'!$B$5:$B$784,$C31)</f>
        <v>141.569561026419</v>
      </c>
      <c r="L31" s="10" t="n">
        <f aca="false">_xlfn.MINIFS('Proposal tests'!$K$5:$K$784,'Proposal tests'!$A$5:$A$784,$A31,'Proposal tests'!$B$5:$B$784,$C31)</f>
        <v>68.4743516170038</v>
      </c>
    </row>
    <row r="32" customFormat="false" ht="25.5" hidden="false" customHeight="true" outlineLevel="0" collapsed="false">
      <c r="A32" s="4" t="s">
        <v>550</v>
      </c>
      <c r="B32" s="5" t="s">
        <v>551</v>
      </c>
      <c r="C32" s="8" t="s">
        <v>97</v>
      </c>
      <c r="D32" s="10" t="n">
        <f aca="false">MIN(SUMIFS('Proposal tests'!$K$5:$K$784,'Proposal tests'!$A$5:$A$784,$A32,'Proposal tests'!$B$5:$B$784,$C32,'Proposal tests'!$C$5:$C$784,"Consumer-led"),SUMIFS('Proposal tests'!$K$5:$K$784,'Proposal tests'!$A$5:$A$784,$A32,'Proposal tests'!$B$5:$B$784,$C32,'Proposal tests'!$C$5:$C$784,"Enterprise-led"),SUMIFS('Proposal tests'!$K$5:$K$784,'Proposal tests'!$A$5:$A$784,$A32,'Proposal tests'!$B$5:$B$784,$C32,'Proposal tests'!$C$5:$C$784,"AI-led"),SUMIFS('Proposal tests'!$K$5:$K$784,'Proposal tests'!$A$5:$A$784,$A32,'Proposal tests'!$B$5:$B$784,$C32,'Proposal tests'!$C$5:$C$784,"University-led"))</f>
        <v>81.785812560389</v>
      </c>
      <c r="E32" s="10" t="n">
        <f aca="false">MAX(SUMIFS('Proposal tests'!$K$5:$K$784,'Proposal tests'!$A$5:$A$784,$A32,'Proposal tests'!$B$5:$B$784,$C32,'Proposal tests'!$C$5:$C$784,"Consumer-led"),SUMIFS('Proposal tests'!$K$5:$K$784,'Proposal tests'!$A$5:$A$784,$A32,'Proposal tests'!$B$5:$B$784,$C32,'Proposal tests'!$C$5:$C$784,"Enterprise-led"),SUMIFS('Proposal tests'!$K$5:$K$784,'Proposal tests'!$A$5:$A$784,$A32,'Proposal tests'!$B$5:$B$784,$C32,'Proposal tests'!$C$5:$C$784,"AI-led"),SUMIFS('Proposal tests'!$K$5:$K$784,'Proposal tests'!$A$5:$A$784,$A32,'Proposal tests'!$B$5:$B$784,$C32,'Proposal tests'!$C$5:$C$784,"University-led"))</f>
        <v>137.282860869916</v>
      </c>
      <c r="F32" s="16" t="n">
        <f aca="false">E32-D32</f>
        <v>55.4970483095272</v>
      </c>
      <c r="G32" s="10" t="n">
        <f aca="false">SUMIFS('Proposal tests'!$K$5:$K$784,'Proposal tests'!$A$5:$A$784,$A32,'Proposal tests'!$B$5:$B$784,$C32,'Proposal tests'!$C$5:$C$784,"Enterprise-led")</f>
        <v>81.785812560389</v>
      </c>
      <c r="H32" s="10" t="n">
        <f aca="false">SUMIFS('Proposal tests'!$K$5:$K$784,'Proposal tests'!$A$5:$A$784,$A32,'Proposal tests'!$B$5:$B$784,$C32,'Proposal tests'!$C$5:$C$784,"University-led")</f>
        <v>110.903443154202</v>
      </c>
      <c r="I32" s="10" t="n">
        <f aca="false">SUMIFS('Proposal tests'!$K$5:$K$784,'Proposal tests'!$A$5:$A$784,$A32,'Proposal tests'!$B$5:$B$784,$C32,'Proposal tests'!$C$5:$C$784,"Consumer-only")</f>
        <v>109.882212011446</v>
      </c>
      <c r="J32" s="10" t="n">
        <f aca="false">SUMIFS('Proposal tests'!$K$5:$K$784,'Proposal tests'!$A$5:$A$784,$A32,'Proposal tests'!$B$5:$B$784,$C32,'Proposal tests'!$C$5:$C$784,"AI-only")</f>
        <v>112.106318350142</v>
      </c>
      <c r="K32" s="10" t="n">
        <f aca="false">_xlfn.MAXIFS('Proposal tests'!$K$5:$K$784,'Proposal tests'!$A$5:$A$784,$A32,'Proposal tests'!$B$5:$B$784,$C32)</f>
        <v>142.125580137375</v>
      </c>
      <c r="L32" s="10" t="n">
        <f aca="false">_xlfn.MINIFS('Proposal tests'!$K$5:$K$784,'Proposal tests'!$A$5:$A$784,$A32,'Proposal tests'!$B$5:$B$784,$C32)</f>
        <v>74.7460254168548</v>
      </c>
    </row>
    <row r="33" customFormat="false" ht="25.5" hidden="false" customHeight="true" outlineLevel="0" collapsed="false">
      <c r="A33" s="4" t="s">
        <v>550</v>
      </c>
      <c r="B33" s="5" t="s">
        <v>551</v>
      </c>
      <c r="C33" s="8" t="s">
        <v>100</v>
      </c>
      <c r="D33" s="10" t="n">
        <f aca="false">MIN(SUMIFS('Proposal tests'!$K$5:$K$784,'Proposal tests'!$A$5:$A$784,$A33,'Proposal tests'!$B$5:$B$784,$C33,'Proposal tests'!$C$5:$C$784,"Consumer-led"),SUMIFS('Proposal tests'!$K$5:$K$784,'Proposal tests'!$A$5:$A$784,$A33,'Proposal tests'!$B$5:$B$784,$C33,'Proposal tests'!$C$5:$C$784,"Enterprise-led"),SUMIFS('Proposal tests'!$K$5:$K$784,'Proposal tests'!$A$5:$A$784,$A33,'Proposal tests'!$B$5:$B$784,$C33,'Proposal tests'!$C$5:$C$784,"AI-led"),SUMIFS('Proposal tests'!$K$5:$K$784,'Proposal tests'!$A$5:$A$784,$A33,'Proposal tests'!$B$5:$B$784,$C33,'Proposal tests'!$C$5:$C$784,"University-led"))</f>
        <v>71.5753020320829</v>
      </c>
      <c r="E33" s="10" t="n">
        <f aca="false">MAX(SUMIFS('Proposal tests'!$K$5:$K$784,'Proposal tests'!$A$5:$A$784,$A33,'Proposal tests'!$B$5:$B$784,$C33,'Proposal tests'!$C$5:$C$784,"Consumer-led"),SUMIFS('Proposal tests'!$K$5:$K$784,'Proposal tests'!$A$5:$A$784,$A33,'Proposal tests'!$B$5:$B$784,$C33,'Proposal tests'!$C$5:$C$784,"Enterprise-led"),SUMIFS('Proposal tests'!$K$5:$K$784,'Proposal tests'!$A$5:$A$784,$A33,'Proposal tests'!$B$5:$B$784,$C33,'Proposal tests'!$C$5:$C$784,"AI-led"),SUMIFS('Proposal tests'!$K$5:$K$784,'Proposal tests'!$A$5:$A$784,$A33,'Proposal tests'!$B$5:$B$784,$C33,'Proposal tests'!$C$5:$C$784,"University-led"))</f>
        <v>130.973390284643</v>
      </c>
      <c r="F33" s="16" t="n">
        <f aca="false">E33-D33</f>
        <v>59.3980882525597</v>
      </c>
      <c r="G33" s="10" t="n">
        <f aca="false">SUMIFS('Proposal tests'!$K$5:$K$784,'Proposal tests'!$A$5:$A$784,$A33,'Proposal tests'!$B$5:$B$784,$C33,'Proposal tests'!$C$5:$C$784,"Enterprise-led")</f>
        <v>71.5753020320829</v>
      </c>
      <c r="H33" s="10" t="n">
        <f aca="false">SUMIFS('Proposal tests'!$K$5:$K$784,'Proposal tests'!$A$5:$A$784,$A33,'Proposal tests'!$B$5:$B$784,$C33,'Proposal tests'!$C$5:$C$784,"University-led")</f>
        <v>94.9707821822824</v>
      </c>
      <c r="I33" s="10" t="n">
        <f aca="false">SUMIFS('Proposal tests'!$K$5:$K$784,'Proposal tests'!$A$5:$A$784,$A33,'Proposal tests'!$B$5:$B$784,$C33,'Proposal tests'!$C$5:$C$784,"Consumer-only")</f>
        <v>95.5586654226419</v>
      </c>
      <c r="J33" s="10" t="n">
        <f aca="false">SUMIFS('Proposal tests'!$K$5:$K$784,'Proposal tests'!$A$5:$A$784,$A33,'Proposal tests'!$B$5:$B$784,$C33,'Proposal tests'!$C$5:$C$784,"AI-only")</f>
        <v>94.1459883568684</v>
      </c>
      <c r="K33" s="10" t="n">
        <f aca="false">_xlfn.MAXIFS('Proposal tests'!$K$5:$K$784,'Proposal tests'!$A$5:$A$784,$A33,'Proposal tests'!$B$5:$B$784,$C33)</f>
        <v>135.005707579352</v>
      </c>
      <c r="L33" s="10" t="n">
        <f aca="false">_xlfn.MINIFS('Proposal tests'!$K$5:$K$784,'Proposal tests'!$A$5:$A$784,$A33,'Proposal tests'!$B$5:$B$784,$C33)</f>
        <v>63.7172046991819</v>
      </c>
    </row>
    <row r="34" customFormat="false" ht="25.5" hidden="false" customHeight="true" outlineLevel="0" collapsed="false">
      <c r="A34" s="4" t="s">
        <v>550</v>
      </c>
      <c r="B34" s="5" t="s">
        <v>551</v>
      </c>
      <c r="C34" s="8" t="s">
        <v>106</v>
      </c>
      <c r="D34" s="10" t="n">
        <f aca="false">MIN(SUMIFS('Proposal tests'!$K$5:$K$784,'Proposal tests'!$A$5:$A$784,$A34,'Proposal tests'!$B$5:$B$784,$C34,'Proposal tests'!$C$5:$C$784,"Consumer-led"),SUMIFS('Proposal tests'!$K$5:$K$784,'Proposal tests'!$A$5:$A$784,$A34,'Proposal tests'!$B$5:$B$784,$C34,'Proposal tests'!$C$5:$C$784,"Enterprise-led"),SUMIFS('Proposal tests'!$K$5:$K$784,'Proposal tests'!$A$5:$A$784,$A34,'Proposal tests'!$B$5:$B$784,$C34,'Proposal tests'!$C$5:$C$784,"AI-led"),SUMIFS('Proposal tests'!$K$5:$K$784,'Proposal tests'!$A$5:$A$784,$A34,'Proposal tests'!$B$5:$B$784,$C34,'Proposal tests'!$C$5:$C$784,"University-led"))</f>
        <v>84.9326139905197</v>
      </c>
      <c r="E34" s="10" t="n">
        <f aca="false">MAX(SUMIFS('Proposal tests'!$K$5:$K$784,'Proposal tests'!$A$5:$A$784,$A34,'Proposal tests'!$B$5:$B$784,$C34,'Proposal tests'!$C$5:$C$784,"Consumer-led"),SUMIFS('Proposal tests'!$K$5:$K$784,'Proposal tests'!$A$5:$A$784,$A34,'Proposal tests'!$B$5:$B$784,$C34,'Proposal tests'!$C$5:$C$784,"Enterprise-led"),SUMIFS('Proposal tests'!$K$5:$K$784,'Proposal tests'!$A$5:$A$784,$A34,'Proposal tests'!$B$5:$B$784,$C34,'Proposal tests'!$C$5:$C$784,"AI-led"),SUMIFS('Proposal tests'!$K$5:$K$784,'Proposal tests'!$A$5:$A$784,$A34,'Proposal tests'!$B$5:$B$784,$C34,'Proposal tests'!$C$5:$C$784,"University-led"))</f>
        <v>139.072961386038</v>
      </c>
      <c r="F34" s="16" t="n">
        <f aca="false">E34-D34</f>
        <v>54.1403473955186</v>
      </c>
      <c r="G34" s="10" t="n">
        <f aca="false">SUMIFS('Proposal tests'!$K$5:$K$784,'Proposal tests'!$A$5:$A$784,$A34,'Proposal tests'!$B$5:$B$784,$C34,'Proposal tests'!$C$5:$C$784,"Enterprise-led")</f>
        <v>84.9326139905197</v>
      </c>
      <c r="H34" s="10" t="n">
        <f aca="false">SUMIFS('Proposal tests'!$K$5:$K$784,'Proposal tests'!$A$5:$A$784,$A34,'Proposal tests'!$B$5:$B$784,$C34,'Proposal tests'!$C$5:$C$784,"University-led")</f>
        <v>113.982206931249</v>
      </c>
      <c r="I34" s="10" t="n">
        <f aca="false">SUMIFS('Proposal tests'!$K$5:$K$784,'Proposal tests'!$A$5:$A$784,$A34,'Proposal tests'!$B$5:$B$784,$C34,'Proposal tests'!$C$5:$C$784,"Consumer-only")</f>
        <v>111.385717544233</v>
      </c>
      <c r="J34" s="10" t="n">
        <f aca="false">SUMIFS('Proposal tests'!$K$5:$K$784,'Proposal tests'!$A$5:$A$784,$A34,'Proposal tests'!$B$5:$B$784,$C34,'Proposal tests'!$C$5:$C$784,"AI-only")</f>
        <v>115.230206597058</v>
      </c>
      <c r="K34" s="10" t="n">
        <f aca="false">_xlfn.MAXIFS('Proposal tests'!$K$5:$K$784,'Proposal tests'!$A$5:$A$784,$A34,'Proposal tests'!$B$5:$B$784,$C34)</f>
        <v>144.666191958458</v>
      </c>
      <c r="L34" s="10" t="n">
        <f aca="false">_xlfn.MINIFS('Proposal tests'!$K$5:$K$784,'Proposal tests'!$A$5:$A$784,$A34,'Proposal tests'!$B$5:$B$784,$C34)</f>
        <v>78.4230170542657</v>
      </c>
    </row>
    <row r="35" customFormat="false" ht="25.5" hidden="false" customHeight="true" outlineLevel="0" collapsed="false">
      <c r="A35" s="4" t="s">
        <v>550</v>
      </c>
      <c r="B35" s="5" t="s">
        <v>551</v>
      </c>
      <c r="C35" s="8" t="s">
        <v>112</v>
      </c>
      <c r="D35" s="10" t="n">
        <f aca="false">MIN(SUMIFS('Proposal tests'!$K$5:$K$784,'Proposal tests'!$A$5:$A$784,$A35,'Proposal tests'!$B$5:$B$784,$C35,'Proposal tests'!$C$5:$C$784,"Consumer-led"),SUMIFS('Proposal tests'!$K$5:$K$784,'Proposal tests'!$A$5:$A$784,$A35,'Proposal tests'!$B$5:$B$784,$C35,'Proposal tests'!$C$5:$C$784,"Enterprise-led"),SUMIFS('Proposal tests'!$K$5:$K$784,'Proposal tests'!$A$5:$A$784,$A35,'Proposal tests'!$B$5:$B$784,$C35,'Proposal tests'!$C$5:$C$784,"AI-led"),SUMIFS('Proposal tests'!$K$5:$K$784,'Proposal tests'!$A$5:$A$784,$A35,'Proposal tests'!$B$5:$B$784,$C35,'Proposal tests'!$C$5:$C$784,"University-led"))</f>
        <v>82.7969712973782</v>
      </c>
      <c r="E35" s="10" t="n">
        <f aca="false">MAX(SUMIFS('Proposal tests'!$K$5:$K$784,'Proposal tests'!$A$5:$A$784,$A35,'Proposal tests'!$B$5:$B$784,$C35,'Proposal tests'!$C$5:$C$784,"Consumer-led"),SUMIFS('Proposal tests'!$K$5:$K$784,'Proposal tests'!$A$5:$A$784,$A35,'Proposal tests'!$B$5:$B$784,$C35,'Proposal tests'!$C$5:$C$784,"Enterprise-led"),SUMIFS('Proposal tests'!$K$5:$K$784,'Proposal tests'!$A$5:$A$784,$A35,'Proposal tests'!$B$5:$B$784,$C35,'Proposal tests'!$C$5:$C$784,"AI-led"),SUMIFS('Proposal tests'!$K$5:$K$784,'Proposal tests'!$A$5:$A$784,$A35,'Proposal tests'!$B$5:$B$784,$C35,'Proposal tests'!$C$5:$C$784,"University-led"))</f>
        <v>149.501026574394</v>
      </c>
      <c r="F35" s="16" t="n">
        <f aca="false">E35-D35</f>
        <v>66.7040552770158</v>
      </c>
      <c r="G35" s="10" t="n">
        <f aca="false">SUMIFS('Proposal tests'!$K$5:$K$784,'Proposal tests'!$A$5:$A$784,$A35,'Proposal tests'!$B$5:$B$784,$C35,'Proposal tests'!$C$5:$C$784,"Enterprise-led")</f>
        <v>82.7969712973782</v>
      </c>
      <c r="H35" s="10" t="n">
        <f aca="false">SUMIFS('Proposal tests'!$K$5:$K$784,'Proposal tests'!$A$5:$A$784,$A35,'Proposal tests'!$B$5:$B$784,$C35,'Proposal tests'!$C$5:$C$784,"University-led")</f>
        <v>106.408923008225</v>
      </c>
      <c r="I35" s="10" t="n">
        <f aca="false">SUMIFS('Proposal tests'!$K$5:$K$784,'Proposal tests'!$A$5:$A$784,$A35,'Proposal tests'!$B$5:$B$784,$C35,'Proposal tests'!$C$5:$C$784,"Consumer-only")</f>
        <v>110.746166773557</v>
      </c>
      <c r="J35" s="10" t="n">
        <f aca="false">SUMIFS('Proposal tests'!$K$5:$K$784,'Proposal tests'!$A$5:$A$784,$A35,'Proposal tests'!$B$5:$B$784,$C35,'Proposal tests'!$C$5:$C$784,"AI-only")</f>
        <v>128.396970295928</v>
      </c>
      <c r="K35" s="10" t="n">
        <f aca="false">_xlfn.MAXIFS('Proposal tests'!$K$5:$K$784,'Proposal tests'!$A$5:$A$784,$A35,'Proposal tests'!$B$5:$B$784,$C35)</f>
        <v>150.691402226684</v>
      </c>
      <c r="L35" s="10" t="n">
        <f aca="false">_xlfn.MINIFS('Proposal tests'!$K$5:$K$784,'Proposal tests'!$A$5:$A$784,$A35,'Proposal tests'!$B$5:$B$784,$C35)</f>
        <v>76.1656605581922</v>
      </c>
    </row>
    <row r="36" customFormat="false" ht="25.5" hidden="false" customHeight="true" outlineLevel="0" collapsed="false">
      <c r="A36" s="4" t="s">
        <v>550</v>
      </c>
      <c r="B36" s="5" t="s">
        <v>551</v>
      </c>
      <c r="C36" s="8" t="s">
        <v>118</v>
      </c>
      <c r="D36" s="10" t="n">
        <f aca="false">MIN(SUMIFS('Proposal tests'!$K$5:$K$784,'Proposal tests'!$A$5:$A$784,$A36,'Proposal tests'!$B$5:$B$784,$C36,'Proposal tests'!$C$5:$C$784,"Consumer-led"),SUMIFS('Proposal tests'!$K$5:$K$784,'Proposal tests'!$A$5:$A$784,$A36,'Proposal tests'!$B$5:$B$784,$C36,'Proposal tests'!$C$5:$C$784,"Enterprise-led"),SUMIFS('Proposal tests'!$K$5:$K$784,'Proposal tests'!$A$5:$A$784,$A36,'Proposal tests'!$B$5:$B$784,$C36,'Proposal tests'!$C$5:$C$784,"AI-led"),SUMIFS('Proposal tests'!$K$5:$K$784,'Proposal tests'!$A$5:$A$784,$A36,'Proposal tests'!$B$5:$B$784,$C36,'Proposal tests'!$C$5:$C$784,"University-led"))</f>
        <v>111.071006653827</v>
      </c>
      <c r="E36" s="10" t="n">
        <f aca="false">MAX(SUMIFS('Proposal tests'!$K$5:$K$784,'Proposal tests'!$A$5:$A$784,$A36,'Proposal tests'!$B$5:$B$784,$C36,'Proposal tests'!$C$5:$C$784,"Consumer-led"),SUMIFS('Proposal tests'!$K$5:$K$784,'Proposal tests'!$A$5:$A$784,$A36,'Proposal tests'!$B$5:$B$784,$C36,'Proposal tests'!$C$5:$C$784,"Enterprise-led"),SUMIFS('Proposal tests'!$K$5:$K$784,'Proposal tests'!$A$5:$A$784,$A36,'Proposal tests'!$B$5:$B$784,$C36,'Proposal tests'!$C$5:$C$784,"AI-led"),SUMIFS('Proposal tests'!$K$5:$K$784,'Proposal tests'!$A$5:$A$784,$A36,'Proposal tests'!$B$5:$B$784,$C36,'Proposal tests'!$C$5:$C$784,"University-led"))</f>
        <v>135.440656555394</v>
      </c>
      <c r="F36" s="16" t="n">
        <f aca="false">E36-D36</f>
        <v>24.3696499015669</v>
      </c>
      <c r="G36" s="10" t="n">
        <f aca="false">SUMIFS('Proposal tests'!$K$5:$K$784,'Proposal tests'!$A$5:$A$784,$A36,'Proposal tests'!$B$5:$B$784,$C36,'Proposal tests'!$C$5:$C$784,"Enterprise-led")</f>
        <v>111.071006653827</v>
      </c>
      <c r="H36" s="10" t="n">
        <f aca="false">SUMIFS('Proposal tests'!$K$5:$K$784,'Proposal tests'!$A$5:$A$784,$A36,'Proposal tests'!$B$5:$B$784,$C36,'Proposal tests'!$C$5:$C$784,"University-led")</f>
        <v>131.203829261028</v>
      </c>
      <c r="I36" s="10" t="n">
        <f aca="false">SUMIFS('Proposal tests'!$K$5:$K$784,'Proposal tests'!$A$5:$A$784,$A36,'Proposal tests'!$B$5:$B$784,$C36,'Proposal tests'!$C$5:$C$784,"Consumer-only")</f>
        <v>125.957022753601</v>
      </c>
      <c r="J36" s="10" t="n">
        <f aca="false">SUMIFS('Proposal tests'!$K$5:$K$784,'Proposal tests'!$A$5:$A$784,$A36,'Proposal tests'!$B$5:$B$784,$C36,'Proposal tests'!$C$5:$C$784,"AI-only")</f>
        <v>108.890400724161</v>
      </c>
      <c r="K36" s="10" t="n">
        <f aca="false">_xlfn.MAXIFS('Proposal tests'!$K$5:$K$784,'Proposal tests'!$A$5:$A$784,$A36,'Proposal tests'!$B$5:$B$784,$C36)</f>
        <v>145.918368516155</v>
      </c>
      <c r="L36" s="10" t="n">
        <f aca="false">_xlfn.MINIFS('Proposal tests'!$K$5:$K$784,'Proposal tests'!$A$5:$A$784,$A36,'Proposal tests'!$B$5:$B$784,$C36)</f>
        <v>96.1436500685595</v>
      </c>
    </row>
    <row r="37" customFormat="false" ht="25.5" hidden="false" customHeight="true" outlineLevel="0" collapsed="false">
      <c r="A37" s="4" t="s">
        <v>550</v>
      </c>
      <c r="B37" s="5" t="s">
        <v>551</v>
      </c>
      <c r="C37" s="8" t="s">
        <v>121</v>
      </c>
      <c r="D37" s="10" t="n">
        <f aca="false">MIN(SUMIFS('Proposal tests'!$K$5:$K$784,'Proposal tests'!$A$5:$A$784,$A37,'Proposal tests'!$B$5:$B$784,$C37,'Proposal tests'!$C$5:$C$784,"Consumer-led"),SUMIFS('Proposal tests'!$K$5:$K$784,'Proposal tests'!$A$5:$A$784,$A37,'Proposal tests'!$B$5:$B$784,$C37,'Proposal tests'!$C$5:$C$784,"Enterprise-led"),SUMIFS('Proposal tests'!$K$5:$K$784,'Proposal tests'!$A$5:$A$784,$A37,'Proposal tests'!$B$5:$B$784,$C37,'Proposal tests'!$C$5:$C$784,"AI-led"),SUMIFS('Proposal tests'!$K$5:$K$784,'Proposal tests'!$A$5:$A$784,$A37,'Proposal tests'!$B$5:$B$784,$C37,'Proposal tests'!$C$5:$C$784,"University-led"))</f>
        <v>75.8499839497872</v>
      </c>
      <c r="E37" s="10" t="n">
        <f aca="false">MAX(SUMIFS('Proposal tests'!$K$5:$K$784,'Proposal tests'!$A$5:$A$784,$A37,'Proposal tests'!$B$5:$B$784,$C37,'Proposal tests'!$C$5:$C$784,"Consumer-led"),SUMIFS('Proposal tests'!$K$5:$K$784,'Proposal tests'!$A$5:$A$784,$A37,'Proposal tests'!$B$5:$B$784,$C37,'Proposal tests'!$C$5:$C$784,"Enterprise-led"),SUMIFS('Proposal tests'!$K$5:$K$784,'Proposal tests'!$A$5:$A$784,$A37,'Proposal tests'!$B$5:$B$784,$C37,'Proposal tests'!$C$5:$C$784,"AI-led"),SUMIFS('Proposal tests'!$K$5:$K$784,'Proposal tests'!$A$5:$A$784,$A37,'Proposal tests'!$B$5:$B$784,$C37,'Proposal tests'!$C$5:$C$784,"University-led"))</f>
        <v>130.200176629125</v>
      </c>
      <c r="F37" s="16" t="n">
        <f aca="false">E37-D37</f>
        <v>54.3501926793377</v>
      </c>
      <c r="G37" s="10" t="n">
        <f aca="false">SUMIFS('Proposal tests'!$K$5:$K$784,'Proposal tests'!$A$5:$A$784,$A37,'Proposal tests'!$B$5:$B$784,$C37,'Proposal tests'!$C$5:$C$784,"Enterprise-led")</f>
        <v>75.8499839497872</v>
      </c>
      <c r="H37" s="10" t="n">
        <f aca="false">SUMIFS('Proposal tests'!$K$5:$K$784,'Proposal tests'!$A$5:$A$784,$A37,'Proposal tests'!$B$5:$B$784,$C37,'Proposal tests'!$C$5:$C$784,"University-led")</f>
        <v>101.213174818428</v>
      </c>
      <c r="I37" s="10" t="n">
        <f aca="false">SUMIFS('Proposal tests'!$K$5:$K$784,'Proposal tests'!$A$5:$A$784,$A37,'Proposal tests'!$B$5:$B$784,$C37,'Proposal tests'!$C$5:$C$784,"Consumer-only")</f>
        <v>104.126481893975</v>
      </c>
      <c r="J37" s="10" t="n">
        <f aca="false">SUMIFS('Proposal tests'!$K$5:$K$784,'Proposal tests'!$A$5:$A$784,$A37,'Proposal tests'!$B$5:$B$784,$C37,'Proposal tests'!$C$5:$C$784,"AI-only")</f>
        <v>99.0068183160724</v>
      </c>
      <c r="K37" s="10" t="n">
        <f aca="false">_xlfn.MAXIFS('Proposal tests'!$K$5:$K$784,'Proposal tests'!$A$5:$A$784,$A37,'Proposal tests'!$B$5:$B$784,$C37)</f>
        <v>135.352416988604</v>
      </c>
      <c r="L37" s="10" t="n">
        <f aca="false">_xlfn.MINIFS('Proposal tests'!$K$5:$K$784,'Proposal tests'!$A$5:$A$784,$A37,'Proposal tests'!$B$5:$B$784,$C37)</f>
        <v>68.4743516170038</v>
      </c>
    </row>
    <row r="38" customFormat="false" ht="25.5" hidden="false" customHeight="true" outlineLevel="0" collapsed="false">
      <c r="A38" s="4" t="s">
        <v>552</v>
      </c>
      <c r="B38" s="5" t="s">
        <v>553</v>
      </c>
      <c r="C38" s="8" t="s">
        <v>97</v>
      </c>
      <c r="D38" s="10" t="n">
        <f aca="false">MIN(SUMIFS('Proposal tests'!$K$5:$K$784,'Proposal tests'!$A$5:$A$784,$A38,'Proposal tests'!$B$5:$B$784,$C38,'Proposal tests'!$C$5:$C$784,"Consumer-led"),SUMIFS('Proposal tests'!$K$5:$K$784,'Proposal tests'!$A$5:$A$784,$A38,'Proposal tests'!$B$5:$B$784,$C38,'Proposal tests'!$C$5:$C$784,"Enterprise-led"),SUMIFS('Proposal tests'!$K$5:$K$784,'Proposal tests'!$A$5:$A$784,$A38,'Proposal tests'!$B$5:$B$784,$C38,'Proposal tests'!$C$5:$C$784,"AI-led"),SUMIFS('Proposal tests'!$K$5:$K$784,'Proposal tests'!$A$5:$A$784,$A38,'Proposal tests'!$B$5:$B$784,$C38,'Proposal tests'!$C$5:$C$784,"University-led"))</f>
        <v>97.418311854352</v>
      </c>
      <c r="E38" s="10" t="n">
        <f aca="false">MAX(SUMIFS('Proposal tests'!$K$5:$K$784,'Proposal tests'!$A$5:$A$784,$A38,'Proposal tests'!$B$5:$B$784,$C38,'Proposal tests'!$C$5:$C$784,"Consumer-led"),SUMIFS('Proposal tests'!$K$5:$K$784,'Proposal tests'!$A$5:$A$784,$A38,'Proposal tests'!$B$5:$B$784,$C38,'Proposal tests'!$C$5:$C$784,"Enterprise-led"),SUMIFS('Proposal tests'!$K$5:$K$784,'Proposal tests'!$A$5:$A$784,$A38,'Proposal tests'!$B$5:$B$784,$C38,'Proposal tests'!$C$5:$C$784,"AI-led"),SUMIFS('Proposal tests'!$K$5:$K$784,'Proposal tests'!$A$5:$A$784,$A38,'Proposal tests'!$B$5:$B$784,$C38,'Proposal tests'!$C$5:$C$784,"University-led"))</f>
        <v>147.103592580773</v>
      </c>
      <c r="F38" s="16" t="n">
        <f aca="false">E38-D38</f>
        <v>49.6852807264206</v>
      </c>
      <c r="G38" s="10" t="n">
        <f aca="false">SUMIFS('Proposal tests'!$K$5:$K$784,'Proposal tests'!$A$5:$A$784,$A38,'Proposal tests'!$B$5:$B$784,$C38,'Proposal tests'!$C$5:$C$784,"Enterprise-led")</f>
        <v>97.418311854352</v>
      </c>
      <c r="H38" s="10" t="n">
        <f aca="false">SUMIFS('Proposal tests'!$K$5:$K$784,'Proposal tests'!$A$5:$A$784,$A38,'Proposal tests'!$B$5:$B$784,$C38,'Proposal tests'!$C$5:$C$784,"University-led")</f>
        <v>108.428093491228</v>
      </c>
      <c r="I38" s="10" t="n">
        <f aca="false">SUMIFS('Proposal tests'!$K$5:$K$784,'Proposal tests'!$A$5:$A$784,$A38,'Proposal tests'!$B$5:$B$784,$C38,'Proposal tests'!$C$5:$C$784,"Consumer-only")</f>
        <v>108.370898080605</v>
      </c>
      <c r="J38" s="10" t="n">
        <f aca="false">SUMIFS('Proposal tests'!$K$5:$K$784,'Proposal tests'!$A$5:$A$784,$A38,'Proposal tests'!$B$5:$B$784,$C38,'Proposal tests'!$C$5:$C$784,"AI-only")</f>
        <v>125.791211838317</v>
      </c>
      <c r="K38" s="10" t="n">
        <f aca="false">_xlfn.MAXIFS('Proposal tests'!$K$5:$K$784,'Proposal tests'!$A$5:$A$784,$A38,'Proposal tests'!$B$5:$B$784,$C38)</f>
        <v>155.169082850219</v>
      </c>
      <c r="L38" s="10" t="n">
        <f aca="false">_xlfn.MINIFS('Proposal tests'!$K$5:$K$784,'Proposal tests'!$A$5:$A$784,$A38,'Proposal tests'!$B$5:$B$784,$C38)</f>
        <v>95.068851729654</v>
      </c>
    </row>
    <row r="39" customFormat="false" ht="25.5" hidden="false" customHeight="true" outlineLevel="0" collapsed="false">
      <c r="A39" s="4" t="s">
        <v>552</v>
      </c>
      <c r="B39" s="5" t="s">
        <v>553</v>
      </c>
      <c r="C39" s="8" t="s">
        <v>100</v>
      </c>
      <c r="D39" s="10" t="n">
        <f aca="false">MIN(SUMIFS('Proposal tests'!$K$5:$K$784,'Proposal tests'!$A$5:$A$784,$A39,'Proposal tests'!$B$5:$B$784,$C39,'Proposal tests'!$C$5:$C$784,"Consumer-led"),SUMIFS('Proposal tests'!$K$5:$K$784,'Proposal tests'!$A$5:$A$784,$A39,'Proposal tests'!$B$5:$B$784,$C39,'Proposal tests'!$C$5:$C$784,"Enterprise-led"),SUMIFS('Proposal tests'!$K$5:$K$784,'Proposal tests'!$A$5:$A$784,$A39,'Proposal tests'!$B$5:$B$784,$C39,'Proposal tests'!$C$5:$C$784,"AI-led"),SUMIFS('Proposal tests'!$K$5:$K$784,'Proposal tests'!$A$5:$A$784,$A39,'Proposal tests'!$B$5:$B$784,$C39,'Proposal tests'!$C$5:$C$784,"University-led"))</f>
        <v>88.0560314112821</v>
      </c>
      <c r="E39" s="10" t="n">
        <f aca="false">MAX(SUMIFS('Proposal tests'!$K$5:$K$784,'Proposal tests'!$A$5:$A$784,$A39,'Proposal tests'!$B$5:$B$784,$C39,'Proposal tests'!$C$5:$C$784,"Consumer-led"),SUMIFS('Proposal tests'!$K$5:$K$784,'Proposal tests'!$A$5:$A$784,$A39,'Proposal tests'!$B$5:$B$784,$C39,'Proposal tests'!$C$5:$C$784,"Enterprise-led"),SUMIFS('Proposal tests'!$K$5:$K$784,'Proposal tests'!$A$5:$A$784,$A39,'Proposal tests'!$B$5:$B$784,$C39,'Proposal tests'!$C$5:$C$784,"AI-led"),SUMIFS('Proposal tests'!$K$5:$K$784,'Proposal tests'!$A$5:$A$784,$A39,'Proposal tests'!$B$5:$B$784,$C39,'Proposal tests'!$C$5:$C$784,"University-led"))</f>
        <v>141.095174408913</v>
      </c>
      <c r="F39" s="16" t="n">
        <f aca="false">E39-D39</f>
        <v>53.0391429976312</v>
      </c>
      <c r="G39" s="10" t="n">
        <f aca="false">SUMIFS('Proposal tests'!$K$5:$K$784,'Proposal tests'!$A$5:$A$784,$A39,'Proposal tests'!$B$5:$B$784,$C39,'Proposal tests'!$C$5:$C$784,"Enterprise-led")</f>
        <v>88.0560314112821</v>
      </c>
      <c r="H39" s="10" t="n">
        <f aca="false">SUMIFS('Proposal tests'!$K$5:$K$784,'Proposal tests'!$A$5:$A$784,$A39,'Proposal tests'!$B$5:$B$784,$C39,'Proposal tests'!$C$5:$C$784,"University-led")</f>
        <v>93.1912835358005</v>
      </c>
      <c r="I39" s="10" t="n">
        <f aca="false">SUMIFS('Proposal tests'!$K$5:$K$784,'Proposal tests'!$A$5:$A$784,$A39,'Proposal tests'!$B$5:$B$784,$C39,'Proposal tests'!$C$5:$C$784,"Consumer-only")</f>
        <v>93.0677993087597</v>
      </c>
      <c r="J39" s="10" t="n">
        <f aca="false">SUMIFS('Proposal tests'!$K$5:$K$784,'Proposal tests'!$A$5:$A$784,$A39,'Proposal tests'!$B$5:$B$784,$C39,'Proposal tests'!$C$5:$C$784,"AI-only")</f>
        <v>119.430059327726</v>
      </c>
      <c r="K39" s="10" t="n">
        <f aca="false">_xlfn.MAXIFS('Proposal tests'!$K$5:$K$784,'Proposal tests'!$A$5:$A$784,$A39,'Proposal tests'!$B$5:$B$784,$C39)</f>
        <v>148.368737294703</v>
      </c>
      <c r="L39" s="10" t="n">
        <f aca="false">_xlfn.MINIFS('Proposal tests'!$K$5:$K$784,'Proposal tests'!$A$5:$A$784,$A39,'Proposal tests'!$B$5:$B$784,$C39)</f>
        <v>84.1632632313894</v>
      </c>
    </row>
    <row r="40" customFormat="false" ht="25.5" hidden="false" customHeight="true" outlineLevel="0" collapsed="false">
      <c r="A40" s="4" t="s">
        <v>552</v>
      </c>
      <c r="B40" s="5" t="s">
        <v>553</v>
      </c>
      <c r="C40" s="8" t="s">
        <v>106</v>
      </c>
      <c r="D40" s="10" t="n">
        <f aca="false">MIN(SUMIFS('Proposal tests'!$K$5:$K$784,'Proposal tests'!$A$5:$A$784,$A40,'Proposal tests'!$B$5:$B$784,$C40,'Proposal tests'!$C$5:$C$784,"Consumer-led"),SUMIFS('Proposal tests'!$K$5:$K$784,'Proposal tests'!$A$5:$A$784,$A40,'Proposal tests'!$B$5:$B$784,$C40,'Proposal tests'!$C$5:$C$784,"Enterprise-led"),SUMIFS('Proposal tests'!$K$5:$K$784,'Proposal tests'!$A$5:$A$784,$A40,'Proposal tests'!$B$5:$B$784,$C40,'Proposal tests'!$C$5:$C$784,"AI-led"),SUMIFS('Proposal tests'!$K$5:$K$784,'Proposal tests'!$A$5:$A$784,$A40,'Proposal tests'!$B$5:$B$784,$C40,'Proposal tests'!$C$5:$C$784,"University-led"))</f>
        <v>111.385064200575</v>
      </c>
      <c r="E40" s="10" t="n">
        <f aca="false">MAX(SUMIFS('Proposal tests'!$K$5:$K$784,'Proposal tests'!$A$5:$A$784,$A40,'Proposal tests'!$B$5:$B$784,$C40,'Proposal tests'!$C$5:$C$784,"Consumer-led"),SUMIFS('Proposal tests'!$K$5:$K$784,'Proposal tests'!$A$5:$A$784,$A40,'Proposal tests'!$B$5:$B$784,$C40,'Proposal tests'!$C$5:$C$784,"Enterprise-led"),SUMIFS('Proposal tests'!$K$5:$K$784,'Proposal tests'!$A$5:$A$784,$A40,'Proposal tests'!$B$5:$B$784,$C40,'Proposal tests'!$C$5:$C$784,"AI-led"),SUMIFS('Proposal tests'!$K$5:$K$784,'Proposal tests'!$A$5:$A$784,$A40,'Proposal tests'!$B$5:$B$784,$C40,'Proposal tests'!$C$5:$C$784,"University-led"))</f>
        <v>148.689633950287</v>
      </c>
      <c r="F40" s="16" t="n">
        <f aca="false">E40-D40</f>
        <v>37.3045697497117</v>
      </c>
      <c r="G40" s="10" t="n">
        <f aca="false">SUMIFS('Proposal tests'!$K$5:$K$784,'Proposal tests'!$A$5:$A$784,$A40,'Proposal tests'!$B$5:$B$784,$C40,'Proposal tests'!$C$5:$C$784,"Enterprise-led")</f>
        <v>111.385064200575</v>
      </c>
      <c r="H40" s="10" t="n">
        <f aca="false">SUMIFS('Proposal tests'!$K$5:$K$784,'Proposal tests'!$A$5:$A$784,$A40,'Proposal tests'!$B$5:$B$784,$C40,'Proposal tests'!$C$5:$C$784,"University-led")</f>
        <v>111.4910863664</v>
      </c>
      <c r="I40" s="10" t="n">
        <f aca="false">SUMIFS('Proposal tests'!$K$5:$K$784,'Proposal tests'!$A$5:$A$784,$A40,'Proposal tests'!$B$5:$B$784,$C40,'Proposal tests'!$C$5:$C$784,"Consumer-only")</f>
        <v>109.726582311561</v>
      </c>
      <c r="J40" s="10" t="n">
        <f aca="false">SUMIFS('Proposal tests'!$K$5:$K$784,'Proposal tests'!$A$5:$A$784,$A40,'Proposal tests'!$B$5:$B$784,$C40,'Proposal tests'!$C$5:$C$784,"AI-only")</f>
        <v>127.389406767105</v>
      </c>
      <c r="K40" s="10" t="n">
        <f aca="false">_xlfn.MAXIFS('Proposal tests'!$K$5:$K$784,'Proposal tests'!$A$5:$A$784,$A40,'Proposal tests'!$B$5:$B$784,$C40)</f>
        <v>157.814518653068</v>
      </c>
      <c r="L40" s="10" t="n">
        <f aca="false">_xlfn.MINIFS('Proposal tests'!$K$5:$K$784,'Proposal tests'!$A$5:$A$784,$A40,'Proposal tests'!$B$5:$B$784,$C40)</f>
        <v>107.327964721028</v>
      </c>
    </row>
    <row r="41" customFormat="false" ht="25.5" hidden="false" customHeight="true" outlineLevel="0" collapsed="false">
      <c r="A41" s="4" t="s">
        <v>552</v>
      </c>
      <c r="B41" s="5" t="s">
        <v>553</v>
      </c>
      <c r="C41" s="8" t="s">
        <v>112</v>
      </c>
      <c r="D41" s="10" t="n">
        <f aca="false">MIN(SUMIFS('Proposal tests'!$K$5:$K$784,'Proposal tests'!$A$5:$A$784,$A41,'Proposal tests'!$B$5:$B$784,$C41,'Proposal tests'!$C$5:$C$784,"Consumer-led"),SUMIFS('Proposal tests'!$K$5:$K$784,'Proposal tests'!$A$5:$A$784,$A41,'Proposal tests'!$B$5:$B$784,$C41,'Proposal tests'!$C$5:$C$784,"Enterprise-led"),SUMIFS('Proposal tests'!$K$5:$K$784,'Proposal tests'!$A$5:$A$784,$A41,'Proposal tests'!$B$5:$B$784,$C41,'Proposal tests'!$C$5:$C$784,"AI-led"),SUMIFS('Proposal tests'!$K$5:$K$784,'Proposal tests'!$A$5:$A$784,$A41,'Proposal tests'!$B$5:$B$784,$C41,'Proposal tests'!$C$5:$C$784,"University-led"))</f>
        <v>103.938383378108</v>
      </c>
      <c r="E41" s="10" t="n">
        <f aca="false">MAX(SUMIFS('Proposal tests'!$K$5:$K$784,'Proposal tests'!$A$5:$A$784,$A41,'Proposal tests'!$B$5:$B$784,$C41,'Proposal tests'!$C$5:$C$784,"Consumer-led"),SUMIFS('Proposal tests'!$K$5:$K$784,'Proposal tests'!$A$5:$A$784,$A41,'Proposal tests'!$B$5:$B$784,$C41,'Proposal tests'!$C$5:$C$784,"Enterprise-led"),SUMIFS('Proposal tests'!$K$5:$K$784,'Proposal tests'!$A$5:$A$784,$A41,'Proposal tests'!$B$5:$B$784,$C41,'Proposal tests'!$C$5:$C$784,"AI-led"),SUMIFS('Proposal tests'!$K$5:$K$784,'Proposal tests'!$A$5:$A$784,$A41,'Proposal tests'!$B$5:$B$784,$C41,'Proposal tests'!$C$5:$C$784,"University-led"))</f>
        <v>162.727766541315</v>
      </c>
      <c r="F41" s="16" t="n">
        <f aca="false">E41-D41</f>
        <v>58.789383163207</v>
      </c>
      <c r="G41" s="10" t="n">
        <f aca="false">SUMIFS('Proposal tests'!$K$5:$K$784,'Proposal tests'!$A$5:$A$784,$A41,'Proposal tests'!$B$5:$B$784,$C41,'Proposal tests'!$C$5:$C$784,"Enterprise-led")</f>
        <v>114.021796696033</v>
      </c>
      <c r="H41" s="10" t="n">
        <f aca="false">SUMIFS('Proposal tests'!$K$5:$K$784,'Proposal tests'!$A$5:$A$784,$A41,'Proposal tests'!$B$5:$B$784,$C41,'Proposal tests'!$C$5:$C$784,"University-led")</f>
        <v>103.938383378108</v>
      </c>
      <c r="I41" s="10" t="n">
        <f aca="false">SUMIFS('Proposal tests'!$K$5:$K$784,'Proposal tests'!$A$5:$A$784,$A41,'Proposal tests'!$B$5:$B$784,$C41,'Proposal tests'!$C$5:$C$784,"Consumer-only")</f>
        <v>109.238640500177</v>
      </c>
      <c r="J41" s="10" t="n">
        <f aca="false">SUMIFS('Proposal tests'!$K$5:$K$784,'Proposal tests'!$A$5:$A$784,$A41,'Proposal tests'!$B$5:$B$784,$C41,'Proposal tests'!$C$5:$C$784,"AI-only")</f>
        <v>143.094575668874</v>
      </c>
      <c r="K41" s="10" t="n">
        <f aca="false">_xlfn.MAXIFS('Proposal tests'!$K$5:$K$784,'Proposal tests'!$A$5:$A$784,$A41,'Proposal tests'!$B$5:$B$784,$C41)</f>
        <v>166.704937466281</v>
      </c>
      <c r="L41" s="10" t="n">
        <f aca="false">_xlfn.MINIFS('Proposal tests'!$K$5:$K$784,'Proposal tests'!$A$5:$A$784,$A41,'Proposal tests'!$B$5:$B$784,$C41)</f>
        <v>96.8728818224533</v>
      </c>
    </row>
    <row r="42" customFormat="false" ht="25.5" hidden="false" customHeight="true" outlineLevel="0" collapsed="false">
      <c r="A42" s="4" t="s">
        <v>552</v>
      </c>
      <c r="B42" s="5" t="s">
        <v>553</v>
      </c>
      <c r="C42" s="8" t="s">
        <v>118</v>
      </c>
      <c r="D42" s="10" t="n">
        <f aca="false">MIN(SUMIFS('Proposal tests'!$K$5:$K$784,'Proposal tests'!$A$5:$A$784,$A42,'Proposal tests'!$B$5:$B$784,$C42,'Proposal tests'!$C$5:$C$784,"Consumer-led"),SUMIFS('Proposal tests'!$K$5:$K$784,'Proposal tests'!$A$5:$A$784,$A42,'Proposal tests'!$B$5:$B$784,$C42,'Proposal tests'!$C$5:$C$784,"Enterprise-led"),SUMIFS('Proposal tests'!$K$5:$K$784,'Proposal tests'!$A$5:$A$784,$A42,'Proposal tests'!$B$5:$B$784,$C42,'Proposal tests'!$C$5:$C$784,"AI-led"),SUMIFS('Proposal tests'!$K$5:$K$784,'Proposal tests'!$A$5:$A$784,$A42,'Proposal tests'!$B$5:$B$784,$C42,'Proposal tests'!$C$5:$C$784,"University-led"))</f>
        <v>124.057431983614</v>
      </c>
      <c r="E42" s="10" t="n">
        <f aca="false">MAX(SUMIFS('Proposal tests'!$K$5:$K$784,'Proposal tests'!$A$5:$A$784,$A42,'Proposal tests'!$B$5:$B$784,$C42,'Proposal tests'!$C$5:$C$784,"Consumer-led"),SUMIFS('Proposal tests'!$K$5:$K$784,'Proposal tests'!$A$5:$A$784,$A42,'Proposal tests'!$B$5:$B$784,$C42,'Proposal tests'!$C$5:$C$784,"Enterprise-led"),SUMIFS('Proposal tests'!$K$5:$K$784,'Proposal tests'!$A$5:$A$784,$A42,'Proposal tests'!$B$5:$B$784,$C42,'Proposal tests'!$C$5:$C$784,"AI-led"),SUMIFS('Proposal tests'!$K$5:$K$784,'Proposal tests'!$A$5:$A$784,$A42,'Proposal tests'!$B$5:$B$784,$C42,'Proposal tests'!$C$5:$C$784,"University-led"))</f>
        <v>140.626020098363</v>
      </c>
      <c r="F42" s="16" t="n">
        <f aca="false">E42-D42</f>
        <v>16.5685881147491</v>
      </c>
      <c r="G42" s="10" t="n">
        <f aca="false">SUMIFS('Proposal tests'!$K$5:$K$784,'Proposal tests'!$A$5:$A$784,$A42,'Proposal tests'!$B$5:$B$784,$C42,'Proposal tests'!$C$5:$C$784,"Enterprise-led")</f>
        <v>124.057431983614</v>
      </c>
      <c r="H42" s="10" t="n">
        <f aca="false">SUMIFS('Proposal tests'!$K$5:$K$784,'Proposal tests'!$A$5:$A$784,$A42,'Proposal tests'!$B$5:$B$784,$C42,'Proposal tests'!$C$5:$C$784,"University-led")</f>
        <v>129.594079815075</v>
      </c>
      <c r="I42" s="10" t="n">
        <f aca="false">SUMIFS('Proposal tests'!$K$5:$K$784,'Proposal tests'!$A$5:$A$784,$A42,'Proposal tests'!$B$5:$B$784,$C42,'Proposal tests'!$C$5:$C$784,"Consumer-only")</f>
        <v>124.501299923756</v>
      </c>
      <c r="J42" s="10" t="n">
        <f aca="false">SUMIFS('Proposal tests'!$K$5:$K$784,'Proposal tests'!$A$5:$A$784,$A42,'Proposal tests'!$B$5:$B$784,$C42,'Proposal tests'!$C$5:$C$784,"AI-only")</f>
        <v>118.985069763822</v>
      </c>
      <c r="K42" s="10" t="n">
        <f aca="false">_xlfn.MAXIFS('Proposal tests'!$K$5:$K$784,'Proposal tests'!$A$5:$A$784,$A42,'Proposal tests'!$B$5:$B$784,$C42)</f>
        <v>155.879714126732</v>
      </c>
      <c r="L42" s="10" t="n">
        <f aca="false">_xlfn.MINIFS('Proposal tests'!$K$5:$K$784,'Proposal tests'!$A$5:$A$784,$A42,'Proposal tests'!$B$5:$B$784,$C42)</f>
        <v>114.28525175513</v>
      </c>
    </row>
    <row r="43" customFormat="false" ht="25.5" hidden="false" customHeight="true" outlineLevel="0" collapsed="false">
      <c r="A43" s="4" t="s">
        <v>552</v>
      </c>
      <c r="B43" s="5" t="s">
        <v>553</v>
      </c>
      <c r="C43" s="8" t="s">
        <v>121</v>
      </c>
      <c r="D43" s="10" t="n">
        <f aca="false">MIN(SUMIFS('Proposal tests'!$K$5:$K$784,'Proposal tests'!$A$5:$A$784,$A43,'Proposal tests'!$B$5:$B$784,$C43,'Proposal tests'!$C$5:$C$784,"Consumer-led"),SUMIFS('Proposal tests'!$K$5:$K$784,'Proposal tests'!$A$5:$A$784,$A43,'Proposal tests'!$B$5:$B$784,$C43,'Proposal tests'!$C$5:$C$784,"Enterprise-led"),SUMIFS('Proposal tests'!$K$5:$K$784,'Proposal tests'!$A$5:$A$784,$A43,'Proposal tests'!$B$5:$B$784,$C43,'Proposal tests'!$C$5:$C$784,"AI-led"),SUMIFS('Proposal tests'!$K$5:$K$784,'Proposal tests'!$A$5:$A$784,$A43,'Proposal tests'!$B$5:$B$784,$C43,'Proposal tests'!$C$5:$C$784,"University-led"))</f>
        <v>90.9306336436436</v>
      </c>
      <c r="E43" s="10" t="n">
        <f aca="false">MAX(SUMIFS('Proposal tests'!$K$5:$K$784,'Proposal tests'!$A$5:$A$784,$A43,'Proposal tests'!$B$5:$B$784,$C43,'Proposal tests'!$C$5:$C$784,"Consumer-led"),SUMIFS('Proposal tests'!$K$5:$K$784,'Proposal tests'!$A$5:$A$784,$A43,'Proposal tests'!$B$5:$B$784,$C43,'Proposal tests'!$C$5:$C$784,"Enterprise-led"),SUMIFS('Proposal tests'!$K$5:$K$784,'Proposal tests'!$A$5:$A$784,$A43,'Proposal tests'!$B$5:$B$784,$C43,'Proposal tests'!$C$5:$C$784,"AI-led"),SUMIFS('Proposal tests'!$K$5:$K$784,'Proposal tests'!$A$5:$A$784,$A43,'Proposal tests'!$B$5:$B$784,$C43,'Proposal tests'!$C$5:$C$784,"University-led"))</f>
        <v>139.534041805458</v>
      </c>
      <c r="F43" s="16" t="n">
        <f aca="false">E43-D43</f>
        <v>48.6034081618143</v>
      </c>
      <c r="G43" s="10" t="n">
        <f aca="false">SUMIFS('Proposal tests'!$K$5:$K$784,'Proposal tests'!$A$5:$A$784,$A43,'Proposal tests'!$B$5:$B$784,$C43,'Proposal tests'!$C$5:$C$784,"Enterprise-led")</f>
        <v>90.9306336436436</v>
      </c>
      <c r="H43" s="10" t="n">
        <f aca="false">SUMIFS('Proposal tests'!$K$5:$K$784,'Proposal tests'!$A$5:$A$784,$A43,'Proposal tests'!$B$5:$B$784,$C43,'Proposal tests'!$C$5:$C$784,"University-led")</f>
        <v>98.7835542550241</v>
      </c>
      <c r="I43" s="10" t="n">
        <f aca="false">SUMIFS('Proposal tests'!$K$5:$K$784,'Proposal tests'!$A$5:$A$784,$A43,'Proposal tests'!$B$5:$B$784,$C43,'Proposal tests'!$C$5:$C$784,"Consumer-only")</f>
        <v>102.631867811506</v>
      </c>
      <c r="J43" s="10" t="n">
        <f aca="false">SUMIFS('Proposal tests'!$K$5:$K$784,'Proposal tests'!$A$5:$A$784,$A43,'Proposal tests'!$B$5:$B$784,$C43,'Proposal tests'!$C$5:$C$784,"AI-only")</f>
        <v>118.102111123352</v>
      </c>
      <c r="K43" s="10" t="n">
        <f aca="false">_xlfn.MAXIFS('Proposal tests'!$K$5:$K$784,'Proposal tests'!$A$5:$A$784,$A43,'Proposal tests'!$B$5:$B$784,$C43)</f>
        <v>147.90693314308</v>
      </c>
      <c r="L43" s="10" t="n">
        <f aca="false">_xlfn.MINIFS('Proposal tests'!$K$5:$K$784,'Proposal tests'!$A$5:$A$784,$A43,'Proposal tests'!$B$5:$B$784,$C43)</f>
        <v>89.0490096899681</v>
      </c>
    </row>
    <row r="44" customFormat="false" ht="25.5" hidden="false" customHeight="true" outlineLevel="0" collapsed="false">
      <c r="A44" s="4" t="s">
        <v>554</v>
      </c>
      <c r="B44" s="5" t="s">
        <v>555</v>
      </c>
      <c r="C44" s="8" t="s">
        <v>97</v>
      </c>
      <c r="D44" s="10" t="n">
        <f aca="false">MIN(SUMIFS('Proposal tests'!$K$5:$K$784,'Proposal tests'!$A$5:$A$784,$A44,'Proposal tests'!$B$5:$B$784,$C44,'Proposal tests'!$C$5:$C$784,"Consumer-led"),SUMIFS('Proposal tests'!$K$5:$K$784,'Proposal tests'!$A$5:$A$784,$A44,'Proposal tests'!$B$5:$B$784,$C44,'Proposal tests'!$C$5:$C$784,"Enterprise-led"),SUMIFS('Proposal tests'!$K$5:$K$784,'Proposal tests'!$A$5:$A$784,$A44,'Proposal tests'!$B$5:$B$784,$C44,'Proposal tests'!$C$5:$C$784,"AI-led"),SUMIFS('Proposal tests'!$K$5:$K$784,'Proposal tests'!$A$5:$A$784,$A44,'Proposal tests'!$B$5:$B$784,$C44,'Proposal tests'!$C$5:$C$784,"University-led"))</f>
        <v>97.418311854352</v>
      </c>
      <c r="E44" s="10" t="n">
        <f aca="false">MAX(SUMIFS('Proposal tests'!$K$5:$K$784,'Proposal tests'!$A$5:$A$784,$A44,'Proposal tests'!$B$5:$B$784,$C44,'Proposal tests'!$C$5:$C$784,"Consumer-led"),SUMIFS('Proposal tests'!$K$5:$K$784,'Proposal tests'!$A$5:$A$784,$A44,'Proposal tests'!$B$5:$B$784,$C44,'Proposal tests'!$C$5:$C$784,"Enterprise-led"),SUMIFS('Proposal tests'!$K$5:$K$784,'Proposal tests'!$A$5:$A$784,$A44,'Proposal tests'!$B$5:$B$784,$C44,'Proposal tests'!$C$5:$C$784,"AI-led"),SUMIFS('Proposal tests'!$K$5:$K$784,'Proposal tests'!$A$5:$A$784,$A44,'Proposal tests'!$B$5:$B$784,$C44,'Proposal tests'!$C$5:$C$784,"University-led"))</f>
        <v>135.8353331815</v>
      </c>
      <c r="F44" s="16" t="n">
        <f aca="false">E44-D44</f>
        <v>38.4170213271477</v>
      </c>
      <c r="G44" s="10" t="n">
        <f aca="false">SUMIFS('Proposal tests'!$K$5:$K$784,'Proposal tests'!$A$5:$A$784,$A44,'Proposal tests'!$B$5:$B$784,$C44,'Proposal tests'!$C$5:$C$784,"Enterprise-led")</f>
        <v>97.418311854352</v>
      </c>
      <c r="H44" s="10" t="n">
        <f aca="false">SUMIFS('Proposal tests'!$K$5:$K$784,'Proposal tests'!$A$5:$A$784,$A44,'Proposal tests'!$B$5:$B$784,$C44,'Proposal tests'!$C$5:$C$784,"University-led")</f>
        <v>108.428093491228</v>
      </c>
      <c r="I44" s="10" t="n">
        <f aca="false">SUMIFS('Proposal tests'!$K$5:$K$784,'Proposal tests'!$A$5:$A$784,$A44,'Proposal tests'!$B$5:$B$784,$C44,'Proposal tests'!$C$5:$C$784,"Consumer-only")</f>
        <v>108.370898080605</v>
      </c>
      <c r="J44" s="10" t="n">
        <f aca="false">SUMIFS('Proposal tests'!$K$5:$K$784,'Proposal tests'!$A$5:$A$784,$A44,'Proposal tests'!$B$5:$B$784,$C44,'Proposal tests'!$C$5:$C$784,"AI-only")</f>
        <v>109.824670056851</v>
      </c>
      <c r="K44" s="10" t="n">
        <f aca="false">_xlfn.MAXIFS('Proposal tests'!$K$5:$K$784,'Proposal tests'!$A$5:$A$784,$A44,'Proposal tests'!$B$5:$B$784,$C44)</f>
        <v>148.584000216114</v>
      </c>
      <c r="L44" s="10" t="n">
        <f aca="false">_xlfn.MINIFS('Proposal tests'!$K$5:$K$784,'Proposal tests'!$A$5:$A$784,$A44,'Proposal tests'!$B$5:$B$784,$C44)</f>
        <v>95.068851729654</v>
      </c>
    </row>
    <row r="45" customFormat="false" ht="25.5" hidden="false" customHeight="true" outlineLevel="0" collapsed="false">
      <c r="A45" s="4" t="s">
        <v>554</v>
      </c>
      <c r="B45" s="5" t="s">
        <v>555</v>
      </c>
      <c r="C45" s="8" t="s">
        <v>100</v>
      </c>
      <c r="D45" s="10" t="n">
        <f aca="false">MIN(SUMIFS('Proposal tests'!$K$5:$K$784,'Proposal tests'!$A$5:$A$784,$A45,'Proposal tests'!$B$5:$B$784,$C45,'Proposal tests'!$C$5:$C$784,"Consumer-led"),SUMIFS('Proposal tests'!$K$5:$K$784,'Proposal tests'!$A$5:$A$784,$A45,'Proposal tests'!$B$5:$B$784,$C45,'Proposal tests'!$C$5:$C$784,"Enterprise-led"),SUMIFS('Proposal tests'!$K$5:$K$784,'Proposal tests'!$A$5:$A$784,$A45,'Proposal tests'!$B$5:$B$784,$C45,'Proposal tests'!$C$5:$C$784,"AI-led"),SUMIFS('Proposal tests'!$K$5:$K$784,'Proposal tests'!$A$5:$A$784,$A45,'Proposal tests'!$B$5:$B$784,$C45,'Proposal tests'!$C$5:$C$784,"University-led"))</f>
        <v>88.0560314112821</v>
      </c>
      <c r="E45" s="10" t="n">
        <f aca="false">MAX(SUMIFS('Proposal tests'!$K$5:$K$784,'Proposal tests'!$A$5:$A$784,$A45,'Proposal tests'!$B$5:$B$784,$C45,'Proposal tests'!$C$5:$C$784,"Consumer-led"),SUMIFS('Proposal tests'!$K$5:$K$784,'Proposal tests'!$A$5:$A$784,$A45,'Proposal tests'!$B$5:$B$784,$C45,'Proposal tests'!$C$5:$C$784,"Enterprise-led"),SUMIFS('Proposal tests'!$K$5:$K$784,'Proposal tests'!$A$5:$A$784,$A45,'Proposal tests'!$B$5:$B$784,$C45,'Proposal tests'!$C$5:$C$784,"AI-led"),SUMIFS('Proposal tests'!$K$5:$K$784,'Proposal tests'!$A$5:$A$784,$A45,'Proposal tests'!$B$5:$B$784,$C45,'Proposal tests'!$C$5:$C$784,"University-led"))</f>
        <v>129.186994076708</v>
      </c>
      <c r="F45" s="16" t="n">
        <f aca="false">E45-D45</f>
        <v>41.1309626654254</v>
      </c>
      <c r="G45" s="10" t="n">
        <f aca="false">SUMIFS('Proposal tests'!$K$5:$K$784,'Proposal tests'!$A$5:$A$784,$A45,'Proposal tests'!$B$5:$B$784,$C45,'Proposal tests'!$C$5:$C$784,"Enterprise-led")</f>
        <v>88.0560314112821</v>
      </c>
      <c r="H45" s="10" t="n">
        <f aca="false">SUMIFS('Proposal tests'!$K$5:$K$784,'Proposal tests'!$A$5:$A$784,$A45,'Proposal tests'!$B$5:$B$784,$C45,'Proposal tests'!$C$5:$C$784,"University-led")</f>
        <v>93.1912835358005</v>
      </c>
      <c r="I45" s="10" t="n">
        <f aca="false">SUMIFS('Proposal tests'!$K$5:$K$784,'Proposal tests'!$A$5:$A$784,$A45,'Proposal tests'!$B$5:$B$784,$C45,'Proposal tests'!$C$5:$C$784,"Consumer-only")</f>
        <v>93.0677993087597</v>
      </c>
      <c r="J45" s="10" t="n">
        <f aca="false">SUMIFS('Proposal tests'!$K$5:$K$784,'Proposal tests'!$A$5:$A$784,$A45,'Proposal tests'!$B$5:$B$784,$C45,'Proposal tests'!$C$5:$C$784,"AI-only")</f>
        <v>92.4765318509831</v>
      </c>
      <c r="K45" s="10" t="n">
        <f aca="false">_xlfn.MAXIFS('Proposal tests'!$K$5:$K$784,'Proposal tests'!$A$5:$A$784,$A45,'Proposal tests'!$B$5:$B$784,$C45)</f>
        <v>141.564741128224</v>
      </c>
      <c r="L45" s="10" t="n">
        <f aca="false">_xlfn.MINIFS('Proposal tests'!$K$5:$K$784,'Proposal tests'!$A$5:$A$784,$A45,'Proposal tests'!$B$5:$B$784,$C45)</f>
        <v>84.1632632313894</v>
      </c>
    </row>
    <row r="46" customFormat="false" ht="25.5" hidden="false" customHeight="true" outlineLevel="0" collapsed="false">
      <c r="A46" s="4" t="s">
        <v>554</v>
      </c>
      <c r="B46" s="5" t="s">
        <v>555</v>
      </c>
      <c r="C46" s="8" t="s">
        <v>106</v>
      </c>
      <c r="D46" s="10" t="n">
        <f aca="false">MIN(SUMIFS('Proposal tests'!$K$5:$K$784,'Proposal tests'!$A$5:$A$784,$A46,'Proposal tests'!$B$5:$B$784,$C46,'Proposal tests'!$C$5:$C$784,"Consumer-led"),SUMIFS('Proposal tests'!$K$5:$K$784,'Proposal tests'!$A$5:$A$784,$A46,'Proposal tests'!$B$5:$B$784,$C46,'Proposal tests'!$C$5:$C$784,"Enterprise-led"),SUMIFS('Proposal tests'!$K$5:$K$784,'Proposal tests'!$A$5:$A$784,$A46,'Proposal tests'!$B$5:$B$784,$C46,'Proposal tests'!$C$5:$C$784,"AI-led"),SUMIFS('Proposal tests'!$K$5:$K$784,'Proposal tests'!$A$5:$A$784,$A46,'Proposal tests'!$B$5:$B$784,$C46,'Proposal tests'!$C$5:$C$784,"University-led"))</f>
        <v>111.351126665372</v>
      </c>
      <c r="E46" s="10" t="n">
        <f aca="false">MAX(SUMIFS('Proposal tests'!$K$5:$K$784,'Proposal tests'!$A$5:$A$784,$A46,'Proposal tests'!$B$5:$B$784,$C46,'Proposal tests'!$C$5:$C$784,"Consumer-led"),SUMIFS('Proposal tests'!$K$5:$K$784,'Proposal tests'!$A$5:$A$784,$A46,'Proposal tests'!$B$5:$B$784,$C46,'Proposal tests'!$C$5:$C$784,"Enterprise-led"),SUMIFS('Proposal tests'!$K$5:$K$784,'Proposal tests'!$A$5:$A$784,$A46,'Proposal tests'!$B$5:$B$784,$C46,'Proposal tests'!$C$5:$C$784,"AI-led"),SUMIFS('Proposal tests'!$K$5:$K$784,'Proposal tests'!$A$5:$A$784,$A46,'Proposal tests'!$B$5:$B$784,$C46,'Proposal tests'!$C$5:$C$784,"University-led"))</f>
        <v>137.474205399065</v>
      </c>
      <c r="F46" s="16" t="n">
        <f aca="false">E46-D46</f>
        <v>26.1230787336924</v>
      </c>
      <c r="G46" s="10" t="n">
        <f aca="false">SUMIFS('Proposal tests'!$K$5:$K$784,'Proposal tests'!$A$5:$A$784,$A46,'Proposal tests'!$B$5:$B$784,$C46,'Proposal tests'!$C$5:$C$784,"Enterprise-led")</f>
        <v>111.351126665372</v>
      </c>
      <c r="H46" s="10" t="n">
        <f aca="false">SUMIFS('Proposal tests'!$K$5:$K$784,'Proposal tests'!$A$5:$A$784,$A46,'Proposal tests'!$B$5:$B$784,$C46,'Proposal tests'!$C$5:$C$784,"University-led")</f>
        <v>111.4910863664</v>
      </c>
      <c r="I46" s="10" t="n">
        <f aca="false">SUMIFS('Proposal tests'!$K$5:$K$784,'Proposal tests'!$A$5:$A$784,$A46,'Proposal tests'!$B$5:$B$784,$C46,'Proposal tests'!$C$5:$C$784,"Consumer-only")</f>
        <v>109.726582311561</v>
      </c>
      <c r="J46" s="10" t="n">
        <f aca="false">SUMIFS('Proposal tests'!$K$5:$K$784,'Proposal tests'!$A$5:$A$784,$A46,'Proposal tests'!$B$5:$B$784,$C46,'Proposal tests'!$C$5:$C$784,"AI-only")</f>
        <v>112.953358037647</v>
      </c>
      <c r="K46" s="10" t="n">
        <f aca="false">_xlfn.MAXIFS('Proposal tests'!$K$5:$K$784,'Proposal tests'!$A$5:$A$784,$A46,'Proposal tests'!$B$5:$B$784,$C46)</f>
        <v>151.294996056992</v>
      </c>
      <c r="L46" s="10" t="n">
        <f aca="false">_xlfn.MINIFS('Proposal tests'!$K$5:$K$784,'Proposal tests'!$A$5:$A$784,$A46,'Proposal tests'!$B$5:$B$784,$C46)</f>
        <v>104.69580264634</v>
      </c>
    </row>
    <row r="47" customFormat="false" ht="25.5" hidden="false" customHeight="true" outlineLevel="0" collapsed="false">
      <c r="A47" s="4" t="s">
        <v>554</v>
      </c>
      <c r="B47" s="5" t="s">
        <v>555</v>
      </c>
      <c r="C47" s="8" t="s">
        <v>112</v>
      </c>
      <c r="D47" s="10" t="n">
        <f aca="false">MIN(SUMIFS('Proposal tests'!$K$5:$K$784,'Proposal tests'!$A$5:$A$784,$A47,'Proposal tests'!$B$5:$B$784,$C47,'Proposal tests'!$C$5:$C$784,"Consumer-led"),SUMIFS('Proposal tests'!$K$5:$K$784,'Proposal tests'!$A$5:$A$784,$A47,'Proposal tests'!$B$5:$B$784,$C47,'Proposal tests'!$C$5:$C$784,"Enterprise-led"),SUMIFS('Proposal tests'!$K$5:$K$784,'Proposal tests'!$A$5:$A$784,$A47,'Proposal tests'!$B$5:$B$784,$C47,'Proposal tests'!$C$5:$C$784,"AI-led"),SUMIFS('Proposal tests'!$K$5:$K$784,'Proposal tests'!$A$5:$A$784,$A47,'Proposal tests'!$B$5:$B$784,$C47,'Proposal tests'!$C$5:$C$784,"University-led"))</f>
        <v>103.938383378108</v>
      </c>
      <c r="E47" s="10" t="n">
        <f aca="false">MAX(SUMIFS('Proposal tests'!$K$5:$K$784,'Proposal tests'!$A$5:$A$784,$A47,'Proposal tests'!$B$5:$B$784,$C47,'Proposal tests'!$C$5:$C$784,"Consumer-led"),SUMIFS('Proposal tests'!$K$5:$K$784,'Proposal tests'!$A$5:$A$784,$A47,'Proposal tests'!$B$5:$B$784,$C47,'Proposal tests'!$C$5:$C$784,"Enterprise-led"),SUMIFS('Proposal tests'!$K$5:$K$784,'Proposal tests'!$A$5:$A$784,$A47,'Proposal tests'!$B$5:$B$784,$C47,'Proposal tests'!$C$5:$C$784,"AI-led"),SUMIFS('Proposal tests'!$K$5:$K$784,'Proposal tests'!$A$5:$A$784,$A47,'Proposal tests'!$B$5:$B$784,$C47,'Proposal tests'!$C$5:$C$784,"University-led"))</f>
        <v>148.095562003432</v>
      </c>
      <c r="F47" s="16" t="n">
        <f aca="false">E47-D47</f>
        <v>44.1571786253239</v>
      </c>
      <c r="G47" s="10" t="n">
        <f aca="false">SUMIFS('Proposal tests'!$K$5:$K$784,'Proposal tests'!$A$5:$A$784,$A47,'Proposal tests'!$B$5:$B$784,$C47,'Proposal tests'!$C$5:$C$784,"Enterprise-led")</f>
        <v>113.966640020205</v>
      </c>
      <c r="H47" s="10" t="n">
        <f aca="false">SUMIFS('Proposal tests'!$K$5:$K$784,'Proposal tests'!$A$5:$A$784,$A47,'Proposal tests'!$B$5:$B$784,$C47,'Proposal tests'!$C$5:$C$784,"University-led")</f>
        <v>103.938383378108</v>
      </c>
      <c r="I47" s="10" t="n">
        <f aca="false">SUMIFS('Proposal tests'!$K$5:$K$784,'Proposal tests'!$A$5:$A$784,$A47,'Proposal tests'!$B$5:$B$784,$C47,'Proposal tests'!$C$5:$C$784,"Consumer-only")</f>
        <v>109.238640500177</v>
      </c>
      <c r="J47" s="10" t="n">
        <f aca="false">SUMIFS('Proposal tests'!$K$5:$K$784,'Proposal tests'!$A$5:$A$784,$A47,'Proposal tests'!$B$5:$B$784,$C47,'Proposal tests'!$C$5:$C$784,"AI-only")</f>
        <v>126.934072999912</v>
      </c>
      <c r="K47" s="10" t="n">
        <f aca="false">_xlfn.MAXIFS('Proposal tests'!$K$5:$K$784,'Proposal tests'!$A$5:$A$784,$A47,'Proposal tests'!$B$5:$B$784,$C47)</f>
        <v>157.036098775967</v>
      </c>
      <c r="L47" s="10" t="n">
        <f aca="false">_xlfn.MINIFS('Proposal tests'!$K$5:$K$784,'Proposal tests'!$A$5:$A$784,$A47,'Proposal tests'!$B$5:$B$784,$C47)</f>
        <v>96.8728818224533</v>
      </c>
    </row>
    <row r="48" customFormat="false" ht="25.5" hidden="false" customHeight="true" outlineLevel="0" collapsed="false">
      <c r="A48" s="4" t="s">
        <v>554</v>
      </c>
      <c r="B48" s="5" t="s">
        <v>555</v>
      </c>
      <c r="C48" s="8" t="s">
        <v>118</v>
      </c>
      <c r="D48" s="10" t="n">
        <f aca="false">MIN(SUMIFS('Proposal tests'!$K$5:$K$784,'Proposal tests'!$A$5:$A$784,$A48,'Proposal tests'!$B$5:$B$784,$C48,'Proposal tests'!$C$5:$C$784,"Consumer-led"),SUMIFS('Proposal tests'!$K$5:$K$784,'Proposal tests'!$A$5:$A$784,$A48,'Proposal tests'!$B$5:$B$784,$C48,'Proposal tests'!$C$5:$C$784,"Enterprise-led"),SUMIFS('Proposal tests'!$K$5:$K$784,'Proposal tests'!$A$5:$A$784,$A48,'Proposal tests'!$B$5:$B$784,$C48,'Proposal tests'!$C$5:$C$784,"AI-led"),SUMIFS('Proposal tests'!$K$5:$K$784,'Proposal tests'!$A$5:$A$784,$A48,'Proposal tests'!$B$5:$B$784,$C48,'Proposal tests'!$C$5:$C$784,"University-led"))</f>
        <v>124.036705376494</v>
      </c>
      <c r="E48" s="10" t="n">
        <f aca="false">MAX(SUMIFS('Proposal tests'!$K$5:$K$784,'Proposal tests'!$A$5:$A$784,$A48,'Proposal tests'!$B$5:$B$784,$C48,'Proposal tests'!$C$5:$C$784,"Consumer-led"),SUMIFS('Proposal tests'!$K$5:$K$784,'Proposal tests'!$A$5:$A$784,$A48,'Proposal tests'!$B$5:$B$784,$C48,'Proposal tests'!$C$5:$C$784,"Enterprise-led"),SUMIFS('Proposal tests'!$K$5:$K$784,'Proposal tests'!$A$5:$A$784,$A48,'Proposal tests'!$B$5:$B$784,$C48,'Proposal tests'!$C$5:$C$784,"AI-led"),SUMIFS('Proposal tests'!$K$5:$K$784,'Proposal tests'!$A$5:$A$784,$A48,'Proposal tests'!$B$5:$B$784,$C48,'Proposal tests'!$C$5:$C$784,"University-led"))</f>
        <v>133.989752991788</v>
      </c>
      <c r="F48" s="16" t="n">
        <f aca="false">E48-D48</f>
        <v>9.9530476152938</v>
      </c>
      <c r="G48" s="10" t="n">
        <f aca="false">SUMIFS('Proposal tests'!$K$5:$K$784,'Proposal tests'!$A$5:$A$784,$A48,'Proposal tests'!$B$5:$B$784,$C48,'Proposal tests'!$C$5:$C$784,"Enterprise-led")</f>
        <v>124.036705376494</v>
      </c>
      <c r="H48" s="10" t="n">
        <f aca="false">SUMIFS('Proposal tests'!$K$5:$K$784,'Proposal tests'!$A$5:$A$784,$A48,'Proposal tests'!$B$5:$B$784,$C48,'Proposal tests'!$C$5:$C$784,"University-led")</f>
        <v>129.594079815075</v>
      </c>
      <c r="I48" s="10" t="n">
        <f aca="false">SUMIFS('Proposal tests'!$K$5:$K$784,'Proposal tests'!$A$5:$A$784,$A48,'Proposal tests'!$B$5:$B$784,$C48,'Proposal tests'!$C$5:$C$784,"Consumer-only")</f>
        <v>124.501299923756</v>
      </c>
      <c r="J48" s="10" t="n">
        <f aca="false">SUMIFS('Proposal tests'!$K$5:$K$784,'Proposal tests'!$A$5:$A$784,$A48,'Proposal tests'!$B$5:$B$784,$C48,'Proposal tests'!$C$5:$C$784,"AI-only")</f>
        <v>106.568466757487</v>
      </c>
      <c r="K48" s="10" t="n">
        <f aca="false">_xlfn.MAXIFS('Proposal tests'!$K$5:$K$784,'Proposal tests'!$A$5:$A$784,$A48,'Proposal tests'!$B$5:$B$784,$C48)</f>
        <v>152.299064170959</v>
      </c>
      <c r="L48" s="10" t="n">
        <f aca="false">_xlfn.MINIFS('Proposal tests'!$K$5:$K$784,'Proposal tests'!$A$5:$A$784,$A48,'Proposal tests'!$B$5:$B$784,$C48)</f>
        <v>106.568466757487</v>
      </c>
    </row>
    <row r="49" customFormat="false" ht="25.5" hidden="false" customHeight="true" outlineLevel="0" collapsed="false">
      <c r="A49" s="4" t="s">
        <v>554</v>
      </c>
      <c r="B49" s="5" t="s">
        <v>555</v>
      </c>
      <c r="C49" s="8" t="s">
        <v>121</v>
      </c>
      <c r="D49" s="10" t="n">
        <f aca="false">MIN(SUMIFS('Proposal tests'!$K$5:$K$784,'Proposal tests'!$A$5:$A$784,$A49,'Proposal tests'!$B$5:$B$784,$C49,'Proposal tests'!$C$5:$C$784,"Consumer-led"),SUMIFS('Proposal tests'!$K$5:$K$784,'Proposal tests'!$A$5:$A$784,$A49,'Proposal tests'!$B$5:$B$784,$C49,'Proposal tests'!$C$5:$C$784,"Enterprise-led"),SUMIFS('Proposal tests'!$K$5:$K$784,'Proposal tests'!$A$5:$A$784,$A49,'Proposal tests'!$B$5:$B$784,$C49,'Proposal tests'!$C$5:$C$784,"AI-led"),SUMIFS('Proposal tests'!$K$5:$K$784,'Proposal tests'!$A$5:$A$784,$A49,'Proposal tests'!$B$5:$B$784,$C49,'Proposal tests'!$C$5:$C$784,"University-led"))</f>
        <v>90.9306336436436</v>
      </c>
      <c r="E49" s="10" t="n">
        <f aca="false">MAX(SUMIFS('Proposal tests'!$K$5:$K$784,'Proposal tests'!$A$5:$A$784,$A49,'Proposal tests'!$B$5:$B$784,$C49,'Proposal tests'!$C$5:$C$784,"Consumer-led"),SUMIFS('Proposal tests'!$K$5:$K$784,'Proposal tests'!$A$5:$A$784,$A49,'Proposal tests'!$B$5:$B$784,$C49,'Proposal tests'!$C$5:$C$784,"Enterprise-led"),SUMIFS('Proposal tests'!$K$5:$K$784,'Proposal tests'!$A$5:$A$784,$A49,'Proposal tests'!$B$5:$B$784,$C49,'Proposal tests'!$C$5:$C$784,"AI-led"),SUMIFS('Proposal tests'!$K$5:$K$784,'Proposal tests'!$A$5:$A$784,$A49,'Proposal tests'!$B$5:$B$784,$C49,'Proposal tests'!$C$5:$C$784,"University-led"))</f>
        <v>128.784991849261</v>
      </c>
      <c r="F49" s="16" t="n">
        <f aca="false">E49-D49</f>
        <v>37.8543582056173</v>
      </c>
      <c r="G49" s="10" t="n">
        <f aca="false">SUMIFS('Proposal tests'!$K$5:$K$784,'Proposal tests'!$A$5:$A$784,$A49,'Proposal tests'!$B$5:$B$784,$C49,'Proposal tests'!$C$5:$C$784,"Enterprise-led")</f>
        <v>90.9306336436436</v>
      </c>
      <c r="H49" s="10" t="n">
        <f aca="false">SUMIFS('Proposal tests'!$K$5:$K$784,'Proposal tests'!$A$5:$A$784,$A49,'Proposal tests'!$B$5:$B$784,$C49,'Proposal tests'!$C$5:$C$784,"University-led")</f>
        <v>98.7835542550241</v>
      </c>
      <c r="I49" s="10" t="n">
        <f aca="false">SUMIFS('Proposal tests'!$K$5:$K$784,'Proposal tests'!$A$5:$A$784,$A49,'Proposal tests'!$B$5:$B$784,$C49,'Proposal tests'!$C$5:$C$784,"Consumer-only")</f>
        <v>102.631867811506</v>
      </c>
      <c r="J49" s="10" t="n">
        <f aca="false">SUMIFS('Proposal tests'!$K$5:$K$784,'Proposal tests'!$A$5:$A$784,$A49,'Proposal tests'!$B$5:$B$784,$C49,'Proposal tests'!$C$5:$C$784,"AI-only")</f>
        <v>96.7441605794844</v>
      </c>
      <c r="K49" s="10" t="n">
        <f aca="false">_xlfn.MAXIFS('Proposal tests'!$K$5:$K$784,'Proposal tests'!$A$5:$A$784,$A49,'Proposal tests'!$B$5:$B$784,$C49)</f>
        <v>141.793259333841</v>
      </c>
      <c r="L49" s="10" t="n">
        <f aca="false">_xlfn.MINIFS('Proposal tests'!$K$5:$K$784,'Proposal tests'!$A$5:$A$784,$A49,'Proposal tests'!$B$5:$B$784,$C49)</f>
        <v>89.0490096899681</v>
      </c>
    </row>
    <row r="50" customFormat="false" ht="25.5" hidden="false" customHeight="true" outlineLevel="0" collapsed="false">
      <c r="A50" s="4" t="s">
        <v>556</v>
      </c>
      <c r="B50" s="5" t="s">
        <v>557</v>
      </c>
      <c r="C50" s="8" t="s">
        <v>97</v>
      </c>
      <c r="D50" s="10" t="n">
        <f aca="false">MIN(SUMIFS('Proposal tests'!$K$5:$K$784,'Proposal tests'!$A$5:$A$784,$A50,'Proposal tests'!$B$5:$B$784,$C50,'Proposal tests'!$C$5:$C$784,"Consumer-led"),SUMIFS('Proposal tests'!$K$5:$K$784,'Proposal tests'!$A$5:$A$784,$A50,'Proposal tests'!$B$5:$B$784,$C50,'Proposal tests'!$C$5:$C$784,"Enterprise-led"),SUMIFS('Proposal tests'!$K$5:$K$784,'Proposal tests'!$A$5:$A$784,$A50,'Proposal tests'!$B$5:$B$784,$C50,'Proposal tests'!$C$5:$C$784,"AI-led"),SUMIFS('Proposal tests'!$K$5:$K$784,'Proposal tests'!$A$5:$A$784,$A50,'Proposal tests'!$B$5:$B$784,$C50,'Proposal tests'!$C$5:$C$784,"University-led"))</f>
        <v>98.7674502696025</v>
      </c>
      <c r="E50" s="10" t="n">
        <f aca="false">MAX(SUMIFS('Proposal tests'!$K$5:$K$784,'Proposal tests'!$A$5:$A$784,$A50,'Proposal tests'!$B$5:$B$784,$C50,'Proposal tests'!$C$5:$C$784,"Consumer-led"),SUMIFS('Proposal tests'!$K$5:$K$784,'Proposal tests'!$A$5:$A$784,$A50,'Proposal tests'!$B$5:$B$784,$C50,'Proposal tests'!$C$5:$C$784,"Enterprise-led"),SUMIFS('Proposal tests'!$K$5:$K$784,'Proposal tests'!$A$5:$A$784,$A50,'Proposal tests'!$B$5:$B$784,$C50,'Proposal tests'!$C$5:$C$784,"AI-led"),SUMIFS('Proposal tests'!$K$5:$K$784,'Proposal tests'!$A$5:$A$784,$A50,'Proposal tests'!$B$5:$B$784,$C50,'Proposal tests'!$C$5:$C$784,"University-led"))</f>
        <v>134.759898811086</v>
      </c>
      <c r="F50" s="16" t="n">
        <f aca="false">E50-D50</f>
        <v>35.9924485414838</v>
      </c>
      <c r="G50" s="10" t="n">
        <f aca="false">SUMIFS('Proposal tests'!$K$5:$K$784,'Proposal tests'!$A$5:$A$784,$A50,'Proposal tests'!$B$5:$B$784,$C50,'Proposal tests'!$C$5:$C$784,"Enterprise-led")</f>
        <v>98.7674502696025</v>
      </c>
      <c r="H50" s="10" t="n">
        <f aca="false">SUMIFS('Proposal tests'!$K$5:$K$784,'Proposal tests'!$A$5:$A$784,$A50,'Proposal tests'!$B$5:$B$784,$C50,'Proposal tests'!$C$5:$C$784,"University-led")</f>
        <v>112.839302090145</v>
      </c>
      <c r="I50" s="10" t="n">
        <f aca="false">SUMIFS('Proposal tests'!$K$5:$K$784,'Proposal tests'!$A$5:$A$784,$A50,'Proposal tests'!$B$5:$B$784,$C50,'Proposal tests'!$C$5:$C$784,"Consumer-only")</f>
        <v>107.326423316406</v>
      </c>
      <c r="J50" s="10" t="n">
        <f aca="false">SUMIFS('Proposal tests'!$K$5:$K$784,'Proposal tests'!$A$5:$A$784,$A50,'Proposal tests'!$B$5:$B$784,$C50,'Proposal tests'!$C$5:$C$784,"AI-only")</f>
        <v>111.097356452754</v>
      </c>
      <c r="K50" s="10" t="n">
        <f aca="false">_xlfn.MAXIFS('Proposal tests'!$K$5:$K$784,'Proposal tests'!$A$5:$A$784,$A50,'Proposal tests'!$B$5:$B$784,$C50)</f>
        <v>148.833396881849</v>
      </c>
      <c r="L50" s="10" t="n">
        <f aca="false">_xlfn.MINIFS('Proposal tests'!$K$5:$K$784,'Proposal tests'!$A$5:$A$784,$A50,'Proposal tests'!$B$5:$B$784,$C50)</f>
        <v>94.7184713596773</v>
      </c>
    </row>
    <row r="51" customFormat="false" ht="25.5" hidden="false" customHeight="true" outlineLevel="0" collapsed="false">
      <c r="A51" s="4" t="s">
        <v>556</v>
      </c>
      <c r="B51" s="5" t="s">
        <v>557</v>
      </c>
      <c r="C51" s="8" t="s">
        <v>100</v>
      </c>
      <c r="D51" s="10" t="n">
        <f aca="false">MIN(SUMIFS('Proposal tests'!$K$5:$K$784,'Proposal tests'!$A$5:$A$784,$A51,'Proposal tests'!$B$5:$B$784,$C51,'Proposal tests'!$C$5:$C$784,"Consumer-led"),SUMIFS('Proposal tests'!$K$5:$K$784,'Proposal tests'!$A$5:$A$784,$A51,'Proposal tests'!$B$5:$B$784,$C51,'Proposal tests'!$C$5:$C$784,"Enterprise-led"),SUMIFS('Proposal tests'!$K$5:$K$784,'Proposal tests'!$A$5:$A$784,$A51,'Proposal tests'!$B$5:$B$784,$C51,'Proposal tests'!$C$5:$C$784,"AI-led"),SUMIFS('Proposal tests'!$K$5:$K$784,'Proposal tests'!$A$5:$A$784,$A51,'Proposal tests'!$B$5:$B$784,$C51,'Proposal tests'!$C$5:$C$784,"University-led"))</f>
        <v>87.3185454922182</v>
      </c>
      <c r="E51" s="10" t="n">
        <f aca="false">MAX(SUMIFS('Proposal tests'!$K$5:$K$784,'Proposal tests'!$A$5:$A$784,$A51,'Proposal tests'!$B$5:$B$784,$C51,'Proposal tests'!$C$5:$C$784,"Consumer-led"),SUMIFS('Proposal tests'!$K$5:$K$784,'Proposal tests'!$A$5:$A$784,$A51,'Proposal tests'!$B$5:$B$784,$C51,'Proposal tests'!$C$5:$C$784,"Enterprise-led"),SUMIFS('Proposal tests'!$K$5:$K$784,'Proposal tests'!$A$5:$A$784,$A51,'Proposal tests'!$B$5:$B$784,$C51,'Proposal tests'!$C$5:$C$784,"AI-led"),SUMIFS('Proposal tests'!$K$5:$K$784,'Proposal tests'!$A$5:$A$784,$A51,'Proposal tests'!$B$5:$B$784,$C51,'Proposal tests'!$C$5:$C$784,"University-led"))</f>
        <v>128.451477804939</v>
      </c>
      <c r="F51" s="16" t="n">
        <f aca="false">E51-D51</f>
        <v>41.1329323127203</v>
      </c>
      <c r="G51" s="10" t="n">
        <f aca="false">SUMIFS('Proposal tests'!$K$5:$K$784,'Proposal tests'!$A$5:$A$784,$A51,'Proposal tests'!$B$5:$B$784,$C51,'Proposal tests'!$C$5:$C$784,"Enterprise-led")</f>
        <v>87.3185454922182</v>
      </c>
      <c r="H51" s="10" t="n">
        <f aca="false">SUMIFS('Proposal tests'!$K$5:$K$784,'Proposal tests'!$A$5:$A$784,$A51,'Proposal tests'!$B$5:$B$784,$C51,'Proposal tests'!$C$5:$C$784,"University-led")</f>
        <v>100.101739076785</v>
      </c>
      <c r="I51" s="10" t="n">
        <f aca="false">SUMIFS('Proposal tests'!$K$5:$K$784,'Proposal tests'!$A$5:$A$784,$A51,'Proposal tests'!$B$5:$B$784,$C51,'Proposal tests'!$C$5:$C$784,"Consumer-only")</f>
        <v>94.6112321182186</v>
      </c>
      <c r="J51" s="10" t="n">
        <f aca="false">SUMIFS('Proposal tests'!$K$5:$K$784,'Proposal tests'!$A$5:$A$784,$A51,'Proposal tests'!$B$5:$B$784,$C51,'Proposal tests'!$C$5:$C$784,"AI-only")</f>
        <v>91.8527804371699</v>
      </c>
      <c r="K51" s="10" t="n">
        <f aca="false">_xlfn.MAXIFS('Proposal tests'!$K$5:$K$784,'Proposal tests'!$A$5:$A$784,$A51,'Proposal tests'!$B$5:$B$784,$C51)</f>
        <v>141.870017122639</v>
      </c>
      <c r="L51" s="10" t="n">
        <f aca="false">_xlfn.MINIFS('Proposal tests'!$K$5:$K$784,'Proposal tests'!$A$5:$A$784,$A51,'Proposal tests'!$B$5:$B$784,$C51)</f>
        <v>83.603804155583</v>
      </c>
    </row>
    <row r="52" customFormat="false" ht="25.5" hidden="false" customHeight="true" outlineLevel="0" collapsed="false">
      <c r="A52" s="4" t="s">
        <v>556</v>
      </c>
      <c r="B52" s="5" t="s">
        <v>557</v>
      </c>
      <c r="C52" s="8" t="s">
        <v>106</v>
      </c>
      <c r="D52" s="10" t="n">
        <f aca="false">MIN(SUMIFS('Proposal tests'!$K$5:$K$784,'Proposal tests'!$A$5:$A$784,$A52,'Proposal tests'!$B$5:$B$784,$C52,'Proposal tests'!$C$5:$C$784,"Consumer-led"),SUMIFS('Proposal tests'!$K$5:$K$784,'Proposal tests'!$A$5:$A$784,$A52,'Proposal tests'!$B$5:$B$784,$C52,'Proposal tests'!$C$5:$C$784,"Enterprise-led"),SUMIFS('Proposal tests'!$K$5:$K$784,'Proposal tests'!$A$5:$A$784,$A52,'Proposal tests'!$B$5:$B$784,$C52,'Proposal tests'!$C$5:$C$784,"AI-led"),SUMIFS('Proposal tests'!$K$5:$K$784,'Proposal tests'!$A$5:$A$784,$A52,'Proposal tests'!$B$5:$B$784,$C52,'Proposal tests'!$C$5:$C$784,"University-led"))</f>
        <v>115.008176064796</v>
      </c>
      <c r="E52" s="10" t="n">
        <f aca="false">MAX(SUMIFS('Proposal tests'!$K$5:$K$784,'Proposal tests'!$A$5:$A$784,$A52,'Proposal tests'!$B$5:$B$784,$C52,'Proposal tests'!$C$5:$C$784,"Consumer-led"),SUMIFS('Proposal tests'!$K$5:$K$784,'Proposal tests'!$A$5:$A$784,$A52,'Proposal tests'!$B$5:$B$784,$C52,'Proposal tests'!$C$5:$C$784,"Enterprise-led"),SUMIFS('Proposal tests'!$K$5:$K$784,'Proposal tests'!$A$5:$A$784,$A52,'Proposal tests'!$B$5:$B$784,$C52,'Proposal tests'!$C$5:$C$784,"AI-led"),SUMIFS('Proposal tests'!$K$5:$K$784,'Proposal tests'!$A$5:$A$784,$A52,'Proposal tests'!$B$5:$B$784,$C52,'Proposal tests'!$C$5:$C$784,"University-led"))</f>
        <v>136.394386450595</v>
      </c>
      <c r="F52" s="16" t="n">
        <f aca="false">E52-D52</f>
        <v>21.3862103857992</v>
      </c>
      <c r="G52" s="10" t="n">
        <f aca="false">SUMIFS('Proposal tests'!$K$5:$K$784,'Proposal tests'!$A$5:$A$784,$A52,'Proposal tests'!$B$5:$B$784,$C52,'Proposal tests'!$C$5:$C$784,"Enterprise-led")</f>
        <v>115.87278034258</v>
      </c>
      <c r="H52" s="10" t="n">
        <f aca="false">SUMIFS('Proposal tests'!$K$5:$K$784,'Proposal tests'!$A$5:$A$784,$A52,'Proposal tests'!$B$5:$B$784,$C52,'Proposal tests'!$C$5:$C$784,"University-led")</f>
        <v>115.874698928038</v>
      </c>
      <c r="I52" s="10" t="n">
        <f aca="false">SUMIFS('Proposal tests'!$K$5:$K$784,'Proposal tests'!$A$5:$A$784,$A52,'Proposal tests'!$B$5:$B$784,$C52,'Proposal tests'!$C$5:$C$784,"Consumer-only")</f>
        <v>108.677965491123</v>
      </c>
      <c r="J52" s="10" t="n">
        <f aca="false">SUMIFS('Proposal tests'!$K$5:$K$784,'Proposal tests'!$A$5:$A$784,$A52,'Proposal tests'!$B$5:$B$784,$C52,'Proposal tests'!$C$5:$C$784,"AI-only")</f>
        <v>108.858294753264</v>
      </c>
      <c r="K52" s="10" t="n">
        <f aca="false">_xlfn.MAXIFS('Proposal tests'!$K$5:$K$784,'Proposal tests'!$A$5:$A$784,$A52,'Proposal tests'!$B$5:$B$784,$C52)</f>
        <v>151.52993789733</v>
      </c>
      <c r="L52" s="10" t="n">
        <f aca="false">_xlfn.MINIFS('Proposal tests'!$K$5:$K$784,'Proposal tests'!$A$5:$A$784,$A52,'Proposal tests'!$B$5:$B$784,$C52)</f>
        <v>103.732587664441</v>
      </c>
    </row>
    <row r="53" customFormat="false" ht="25.5" hidden="false" customHeight="true" outlineLevel="0" collapsed="false">
      <c r="A53" s="4" t="s">
        <v>556</v>
      </c>
      <c r="B53" s="5" t="s">
        <v>557</v>
      </c>
      <c r="C53" s="8" t="s">
        <v>112</v>
      </c>
      <c r="D53" s="10" t="n">
        <f aca="false">MIN(SUMIFS('Proposal tests'!$K$5:$K$784,'Proposal tests'!$A$5:$A$784,$A53,'Proposal tests'!$B$5:$B$784,$C53,'Proposal tests'!$C$5:$C$784,"Consumer-led"),SUMIFS('Proposal tests'!$K$5:$K$784,'Proposal tests'!$A$5:$A$784,$A53,'Proposal tests'!$B$5:$B$784,$C53,'Proposal tests'!$C$5:$C$784,"Enterprise-led"),SUMIFS('Proposal tests'!$K$5:$K$784,'Proposal tests'!$A$5:$A$784,$A53,'Proposal tests'!$B$5:$B$784,$C53,'Proposal tests'!$C$5:$C$784,"AI-led"),SUMIFS('Proposal tests'!$K$5:$K$784,'Proposal tests'!$A$5:$A$784,$A53,'Proposal tests'!$B$5:$B$784,$C53,'Proposal tests'!$C$5:$C$784,"University-led"))</f>
        <v>112.927150848302</v>
      </c>
      <c r="E53" s="10" t="n">
        <f aca="false">MAX(SUMIFS('Proposal tests'!$K$5:$K$784,'Proposal tests'!$A$5:$A$784,$A53,'Proposal tests'!$B$5:$B$784,$C53,'Proposal tests'!$C$5:$C$784,"Consumer-led"),SUMIFS('Proposal tests'!$K$5:$K$784,'Proposal tests'!$A$5:$A$784,$A53,'Proposal tests'!$B$5:$B$784,$C53,'Proposal tests'!$C$5:$C$784,"Enterprise-led"),SUMIFS('Proposal tests'!$K$5:$K$784,'Proposal tests'!$A$5:$A$784,$A53,'Proposal tests'!$B$5:$B$784,$C53,'Proposal tests'!$C$5:$C$784,"AI-led"),SUMIFS('Proposal tests'!$K$5:$K$784,'Proposal tests'!$A$5:$A$784,$A53,'Proposal tests'!$B$5:$B$784,$C53,'Proposal tests'!$C$5:$C$784,"University-led"))</f>
        <v>146.99641744875</v>
      </c>
      <c r="F53" s="16" t="n">
        <f aca="false">E53-D53</f>
        <v>34.0692666004477</v>
      </c>
      <c r="G53" s="10" t="n">
        <f aca="false">SUMIFS('Proposal tests'!$K$5:$K$784,'Proposal tests'!$A$5:$A$784,$A53,'Proposal tests'!$B$5:$B$784,$C53,'Proposal tests'!$C$5:$C$784,"Enterprise-led")</f>
        <v>112.927150848302</v>
      </c>
      <c r="H53" s="10" t="n">
        <f aca="false">SUMIFS('Proposal tests'!$K$5:$K$784,'Proposal tests'!$A$5:$A$784,$A53,'Proposal tests'!$B$5:$B$784,$C53,'Proposal tests'!$C$5:$C$784,"University-led")</f>
        <v>116.918508247185</v>
      </c>
      <c r="I53" s="10" t="n">
        <f aca="false">SUMIFS('Proposal tests'!$K$5:$K$784,'Proposal tests'!$A$5:$A$784,$A53,'Proposal tests'!$B$5:$B$784,$C53,'Proposal tests'!$C$5:$C$784,"Consumer-only")</f>
        <v>108.192091891131</v>
      </c>
      <c r="J53" s="10" t="n">
        <f aca="false">SUMIFS('Proposal tests'!$K$5:$K$784,'Proposal tests'!$A$5:$A$784,$A53,'Proposal tests'!$B$5:$B$784,$C53,'Proposal tests'!$C$5:$C$784,"AI-only")</f>
        <v>125.880151955703</v>
      </c>
      <c r="K53" s="10" t="n">
        <f aca="false">_xlfn.MAXIFS('Proposal tests'!$K$5:$K$784,'Proposal tests'!$A$5:$A$784,$A53,'Proposal tests'!$B$5:$B$784,$C53)</f>
        <v>157.256690593037</v>
      </c>
      <c r="L53" s="10" t="n">
        <f aca="false">_xlfn.MINIFS('Proposal tests'!$K$5:$K$784,'Proposal tests'!$A$5:$A$784,$A53,'Proposal tests'!$B$5:$B$784,$C53)</f>
        <v>96.5203340305668</v>
      </c>
    </row>
    <row r="54" customFormat="false" ht="25.5" hidden="false" customHeight="true" outlineLevel="0" collapsed="false">
      <c r="A54" s="4" t="s">
        <v>556</v>
      </c>
      <c r="B54" s="5" t="s">
        <v>557</v>
      </c>
      <c r="C54" s="8" t="s">
        <v>118</v>
      </c>
      <c r="D54" s="10" t="n">
        <f aca="false">MIN(SUMIFS('Proposal tests'!$K$5:$K$784,'Proposal tests'!$A$5:$A$784,$A54,'Proposal tests'!$B$5:$B$784,$C54,'Proposal tests'!$C$5:$C$784,"Consumer-led"),SUMIFS('Proposal tests'!$K$5:$K$784,'Proposal tests'!$A$5:$A$784,$A54,'Proposal tests'!$B$5:$B$784,$C54,'Proposal tests'!$C$5:$C$784,"Enterprise-led"),SUMIFS('Proposal tests'!$K$5:$K$784,'Proposal tests'!$A$5:$A$784,$A54,'Proposal tests'!$B$5:$B$784,$C54,'Proposal tests'!$C$5:$C$784,"AI-led"),SUMIFS('Proposal tests'!$K$5:$K$784,'Proposal tests'!$A$5:$A$784,$A54,'Proposal tests'!$B$5:$B$784,$C54,'Proposal tests'!$C$5:$C$784,"University-led"))</f>
        <v>122.962562968782</v>
      </c>
      <c r="E54" s="10" t="n">
        <f aca="false">MAX(SUMIFS('Proposal tests'!$K$5:$K$784,'Proposal tests'!$A$5:$A$784,$A54,'Proposal tests'!$B$5:$B$784,$C54,'Proposal tests'!$C$5:$C$784,"Consumer-led"),SUMIFS('Proposal tests'!$K$5:$K$784,'Proposal tests'!$A$5:$A$784,$A54,'Proposal tests'!$B$5:$B$784,$C54,'Proposal tests'!$C$5:$C$784,"Enterprise-led"),SUMIFS('Proposal tests'!$K$5:$K$784,'Proposal tests'!$A$5:$A$784,$A54,'Proposal tests'!$B$5:$B$784,$C54,'Proposal tests'!$C$5:$C$784,"AI-led"),SUMIFS('Proposal tests'!$K$5:$K$784,'Proposal tests'!$A$5:$A$784,$A54,'Proposal tests'!$B$5:$B$784,$C54,'Proposal tests'!$C$5:$C$784,"University-led"))</f>
        <v>135.753377691637</v>
      </c>
      <c r="F54" s="16" t="n">
        <f aca="false">E54-D54</f>
        <v>12.7908147228554</v>
      </c>
      <c r="G54" s="10" t="n">
        <f aca="false">SUMIFS('Proposal tests'!$K$5:$K$784,'Proposal tests'!$A$5:$A$784,$A54,'Proposal tests'!$B$5:$B$784,$C54,'Proposal tests'!$C$5:$C$784,"Enterprise-led")</f>
        <v>122.962562968782</v>
      </c>
      <c r="H54" s="10" t="n">
        <f aca="false">SUMIFS('Proposal tests'!$K$5:$K$784,'Proposal tests'!$A$5:$A$784,$A54,'Proposal tests'!$B$5:$B$784,$C54,'Proposal tests'!$C$5:$C$784,"University-led")</f>
        <v>135.753377691637</v>
      </c>
      <c r="I54" s="10" t="n">
        <f aca="false">SUMIFS('Proposal tests'!$K$5:$K$784,'Proposal tests'!$A$5:$A$784,$A54,'Proposal tests'!$B$5:$B$784,$C54,'Proposal tests'!$C$5:$C$784,"Consumer-only")</f>
        <v>123.401654458419</v>
      </c>
      <c r="J54" s="10" t="n">
        <f aca="false">SUMIFS('Proposal tests'!$K$5:$K$784,'Proposal tests'!$A$5:$A$784,$A54,'Proposal tests'!$B$5:$B$784,$C54,'Proposal tests'!$C$5:$C$784,"AI-only")</f>
        <v>107.799237325513</v>
      </c>
      <c r="K54" s="10" t="n">
        <f aca="false">_xlfn.MAXIFS('Proposal tests'!$K$5:$K$784,'Proposal tests'!$A$5:$A$784,$A54,'Proposal tests'!$B$5:$B$784,$C54)</f>
        <v>152.508416995889</v>
      </c>
      <c r="L54" s="10" t="n">
        <f aca="false">_xlfn.MINIFS('Proposal tests'!$K$5:$K$784,'Proposal tests'!$A$5:$A$784,$A54,'Proposal tests'!$B$5:$B$784,$C54)</f>
        <v>107.799237325513</v>
      </c>
    </row>
    <row r="55" customFormat="false" ht="25.5" hidden="false" customHeight="true" outlineLevel="0" collapsed="false">
      <c r="A55" s="4" t="s">
        <v>556</v>
      </c>
      <c r="B55" s="5" t="s">
        <v>557</v>
      </c>
      <c r="C55" s="8" t="s">
        <v>121</v>
      </c>
      <c r="D55" s="10" t="n">
        <f aca="false">MIN(SUMIFS('Proposal tests'!$K$5:$K$784,'Proposal tests'!$A$5:$A$784,$A55,'Proposal tests'!$B$5:$B$784,$C55,'Proposal tests'!$C$5:$C$784,"Consumer-led"),SUMIFS('Proposal tests'!$K$5:$K$784,'Proposal tests'!$A$5:$A$784,$A55,'Proposal tests'!$B$5:$B$784,$C55,'Proposal tests'!$C$5:$C$784,"Enterprise-led"),SUMIFS('Proposal tests'!$K$5:$K$784,'Proposal tests'!$A$5:$A$784,$A55,'Proposal tests'!$B$5:$B$784,$C55,'Proposal tests'!$C$5:$C$784,"AI-led"),SUMIFS('Proposal tests'!$K$5:$K$784,'Proposal tests'!$A$5:$A$784,$A55,'Proposal tests'!$B$5:$B$784,$C55,'Proposal tests'!$C$5:$C$784,"University-led"))</f>
        <v>90.2855774445775</v>
      </c>
      <c r="E55" s="10" t="n">
        <f aca="false">MAX(SUMIFS('Proposal tests'!$K$5:$K$784,'Proposal tests'!$A$5:$A$784,$A55,'Proposal tests'!$B$5:$B$784,$C55,'Proposal tests'!$C$5:$C$784,"Consumer-led"),SUMIFS('Proposal tests'!$K$5:$K$784,'Proposal tests'!$A$5:$A$784,$A55,'Proposal tests'!$B$5:$B$784,$C55,'Proposal tests'!$C$5:$C$784,"Enterprise-led"),SUMIFS('Proposal tests'!$K$5:$K$784,'Proposal tests'!$A$5:$A$784,$A55,'Proposal tests'!$B$5:$B$784,$C55,'Proposal tests'!$C$5:$C$784,"AI-led"),SUMIFS('Proposal tests'!$K$5:$K$784,'Proposal tests'!$A$5:$A$784,$A55,'Proposal tests'!$B$5:$B$784,$C55,'Proposal tests'!$C$5:$C$784,"University-led"))</f>
        <v>127.7663231308</v>
      </c>
      <c r="F55" s="16" t="n">
        <f aca="false">E55-D55</f>
        <v>37.4807456862224</v>
      </c>
      <c r="G55" s="10" t="n">
        <f aca="false">SUMIFS('Proposal tests'!$K$5:$K$784,'Proposal tests'!$A$5:$A$784,$A55,'Proposal tests'!$B$5:$B$784,$C55,'Proposal tests'!$C$5:$C$784,"Enterprise-led")</f>
        <v>90.2855774445775</v>
      </c>
      <c r="H55" s="10" t="n">
        <f aca="false">SUMIFS('Proposal tests'!$K$5:$K$784,'Proposal tests'!$A$5:$A$784,$A55,'Proposal tests'!$B$5:$B$784,$C55,'Proposal tests'!$C$5:$C$784,"University-led")</f>
        <v>103.659841521294</v>
      </c>
      <c r="I55" s="10" t="n">
        <f aca="false">SUMIFS('Proposal tests'!$K$5:$K$784,'Proposal tests'!$A$5:$A$784,$A55,'Proposal tests'!$B$5:$B$784,$C55,'Proposal tests'!$C$5:$C$784,"Consumer-only")</f>
        <v>101.663410240524</v>
      </c>
      <c r="J55" s="10" t="n">
        <f aca="false">SUMIFS('Proposal tests'!$K$5:$K$784,'Proposal tests'!$A$5:$A$784,$A55,'Proposal tests'!$B$5:$B$784,$C55,'Proposal tests'!$C$5:$C$784,"AI-only")</f>
        <v>98.0796508397372</v>
      </c>
      <c r="K55" s="10" t="n">
        <f aca="false">_xlfn.MAXIFS('Proposal tests'!$K$5:$K$784,'Proposal tests'!$A$5:$A$784,$A55,'Proposal tests'!$B$5:$B$784,$C55)</f>
        <v>141.993310790771</v>
      </c>
      <c r="L55" s="10" t="n">
        <f aca="false">_xlfn.MINIFS('Proposal tests'!$K$5:$K$784,'Proposal tests'!$A$5:$A$784,$A55,'Proposal tests'!$B$5:$B$784,$C55)</f>
        <v>88.4446850112769</v>
      </c>
    </row>
    <row r="56" customFormat="false" ht="25.5" hidden="false" customHeight="true" outlineLevel="0" collapsed="false">
      <c r="A56" s="4" t="s">
        <v>558</v>
      </c>
      <c r="B56" s="5" t="s">
        <v>559</v>
      </c>
      <c r="C56" s="8" t="s">
        <v>97</v>
      </c>
      <c r="D56" s="10" t="n">
        <f aca="false">MIN(SUMIFS('Proposal tests'!$K$5:$K$784,'Proposal tests'!$A$5:$A$784,$A56,'Proposal tests'!$B$5:$B$784,$C56,'Proposal tests'!$C$5:$C$784,"Consumer-led"),SUMIFS('Proposal tests'!$K$5:$K$784,'Proposal tests'!$A$5:$A$784,$A56,'Proposal tests'!$B$5:$B$784,$C56,'Proposal tests'!$C$5:$C$784,"Enterprise-led"),SUMIFS('Proposal tests'!$K$5:$K$784,'Proposal tests'!$A$5:$A$784,$A56,'Proposal tests'!$B$5:$B$784,$C56,'Proposal tests'!$C$5:$C$784,"AI-led"),SUMIFS('Proposal tests'!$K$5:$K$784,'Proposal tests'!$A$5:$A$784,$A56,'Proposal tests'!$B$5:$B$784,$C56,'Proposal tests'!$C$5:$C$784,"University-led"))</f>
        <v>112.839302090145</v>
      </c>
      <c r="E56" s="10" t="n">
        <f aca="false">MAX(SUMIFS('Proposal tests'!$K$5:$K$784,'Proposal tests'!$A$5:$A$784,$A56,'Proposal tests'!$B$5:$B$784,$C56,'Proposal tests'!$C$5:$C$784,"Consumer-led"),SUMIFS('Proposal tests'!$K$5:$K$784,'Proposal tests'!$A$5:$A$784,$A56,'Proposal tests'!$B$5:$B$784,$C56,'Proposal tests'!$C$5:$C$784,"Enterprise-led"),SUMIFS('Proposal tests'!$K$5:$K$784,'Proposal tests'!$A$5:$A$784,$A56,'Proposal tests'!$B$5:$B$784,$C56,'Proposal tests'!$C$5:$C$784,"AI-led"),SUMIFS('Proposal tests'!$K$5:$K$784,'Proposal tests'!$A$5:$A$784,$A56,'Proposal tests'!$B$5:$B$784,$C56,'Proposal tests'!$C$5:$C$784,"University-led"))</f>
        <v>134.759898811086</v>
      </c>
      <c r="F56" s="16" t="n">
        <f aca="false">E56-D56</f>
        <v>21.9205967209409</v>
      </c>
      <c r="G56" s="10" t="n">
        <f aca="false">SUMIFS('Proposal tests'!$K$5:$K$784,'Proposal tests'!$A$5:$A$784,$A56,'Proposal tests'!$B$5:$B$784,$C56,'Proposal tests'!$C$5:$C$784,"Enterprise-led")</f>
        <v>113.907016164835</v>
      </c>
      <c r="H56" s="10" t="n">
        <f aca="false">SUMIFS('Proposal tests'!$K$5:$K$784,'Proposal tests'!$A$5:$A$784,$A56,'Proposal tests'!$B$5:$B$784,$C56,'Proposal tests'!$C$5:$C$784,"University-led")</f>
        <v>112.839302090145</v>
      </c>
      <c r="I56" s="10" t="n">
        <f aca="false">SUMIFS('Proposal tests'!$K$5:$K$784,'Proposal tests'!$A$5:$A$784,$A56,'Proposal tests'!$B$5:$B$784,$C56,'Proposal tests'!$C$5:$C$784,"Consumer-only")</f>
        <v>107.326423316406</v>
      </c>
      <c r="J56" s="10" t="n">
        <f aca="false">SUMIFS('Proposal tests'!$K$5:$K$784,'Proposal tests'!$A$5:$A$784,$A56,'Proposal tests'!$B$5:$B$784,$C56,'Proposal tests'!$C$5:$C$784,"AI-only")</f>
        <v>111.097356452754</v>
      </c>
      <c r="K56" s="10" t="n">
        <f aca="false">_xlfn.MAXIFS('Proposal tests'!$K$5:$K$784,'Proposal tests'!$A$5:$A$784,$A56,'Proposal tests'!$B$5:$B$784,$C56)</f>
        <v>149.45395492373</v>
      </c>
      <c r="L56" s="10" t="n">
        <f aca="false">_xlfn.MINIFS('Proposal tests'!$K$5:$K$784,'Proposal tests'!$A$5:$A$784,$A56,'Proposal tests'!$B$5:$B$784,$C56)</f>
        <v>101.501549652456</v>
      </c>
    </row>
    <row r="57" customFormat="false" ht="25.5" hidden="false" customHeight="true" outlineLevel="0" collapsed="false">
      <c r="A57" s="4" t="s">
        <v>558</v>
      </c>
      <c r="B57" s="5" t="s">
        <v>559</v>
      </c>
      <c r="C57" s="8" t="s">
        <v>100</v>
      </c>
      <c r="D57" s="10" t="n">
        <f aca="false">MIN(SUMIFS('Proposal tests'!$K$5:$K$784,'Proposal tests'!$A$5:$A$784,$A57,'Proposal tests'!$B$5:$B$784,$C57,'Proposal tests'!$C$5:$C$784,"Consumer-led"),SUMIFS('Proposal tests'!$K$5:$K$784,'Proposal tests'!$A$5:$A$784,$A57,'Proposal tests'!$B$5:$B$784,$C57,'Proposal tests'!$C$5:$C$784,"Enterprise-led"),SUMIFS('Proposal tests'!$K$5:$K$784,'Proposal tests'!$A$5:$A$784,$A57,'Proposal tests'!$B$5:$B$784,$C57,'Proposal tests'!$C$5:$C$784,"AI-led"),SUMIFS('Proposal tests'!$K$5:$K$784,'Proposal tests'!$A$5:$A$784,$A57,'Proposal tests'!$B$5:$B$784,$C57,'Proposal tests'!$C$5:$C$784,"University-led"))</f>
        <v>89.3241791955658</v>
      </c>
      <c r="E57" s="10" t="n">
        <f aca="false">MAX(SUMIFS('Proposal tests'!$K$5:$K$784,'Proposal tests'!$A$5:$A$784,$A57,'Proposal tests'!$B$5:$B$784,$C57,'Proposal tests'!$C$5:$C$784,"Consumer-led"),SUMIFS('Proposal tests'!$K$5:$K$784,'Proposal tests'!$A$5:$A$784,$A57,'Proposal tests'!$B$5:$B$784,$C57,'Proposal tests'!$C$5:$C$784,"Enterprise-led"),SUMIFS('Proposal tests'!$K$5:$K$784,'Proposal tests'!$A$5:$A$784,$A57,'Proposal tests'!$B$5:$B$784,$C57,'Proposal tests'!$C$5:$C$784,"AI-led"),SUMIFS('Proposal tests'!$K$5:$K$784,'Proposal tests'!$A$5:$A$784,$A57,'Proposal tests'!$B$5:$B$784,$C57,'Proposal tests'!$C$5:$C$784,"University-led"))</f>
        <v>128.451477804939</v>
      </c>
      <c r="F57" s="16" t="n">
        <f aca="false">E57-D57</f>
        <v>39.1272986093727</v>
      </c>
      <c r="G57" s="10" t="n">
        <f aca="false">SUMIFS('Proposal tests'!$K$5:$K$784,'Proposal tests'!$A$5:$A$784,$A57,'Proposal tests'!$B$5:$B$784,$C57,'Proposal tests'!$C$5:$C$784,"Enterprise-led")</f>
        <v>89.3241791955658</v>
      </c>
      <c r="H57" s="10" t="n">
        <f aca="false">SUMIFS('Proposal tests'!$K$5:$K$784,'Proposal tests'!$A$5:$A$784,$A57,'Proposal tests'!$B$5:$B$784,$C57,'Proposal tests'!$C$5:$C$784,"University-led")</f>
        <v>100.101739076785</v>
      </c>
      <c r="I57" s="10" t="n">
        <f aca="false">SUMIFS('Proposal tests'!$K$5:$K$784,'Proposal tests'!$A$5:$A$784,$A57,'Proposal tests'!$B$5:$B$784,$C57,'Proposal tests'!$C$5:$C$784,"Consumer-only")</f>
        <v>94.6112321182186</v>
      </c>
      <c r="J57" s="10" t="n">
        <f aca="false">SUMIFS('Proposal tests'!$K$5:$K$784,'Proposal tests'!$A$5:$A$784,$A57,'Proposal tests'!$B$5:$B$784,$C57,'Proposal tests'!$C$5:$C$784,"AI-only")</f>
        <v>91.8527804371699</v>
      </c>
      <c r="K57" s="10" t="n">
        <f aca="false">_xlfn.MAXIFS('Proposal tests'!$K$5:$K$784,'Proposal tests'!$A$5:$A$784,$A57,'Proposal tests'!$B$5:$B$784,$C57)</f>
        <v>142.511668569082</v>
      </c>
      <c r="L57" s="10" t="n">
        <f aca="false">_xlfn.MINIFS('Proposal tests'!$K$5:$K$784,'Proposal tests'!$A$5:$A$784,$A57,'Proposal tests'!$B$5:$B$784,$C57)</f>
        <v>89.1482878364898</v>
      </c>
    </row>
    <row r="58" customFormat="false" ht="25.5" hidden="false" customHeight="true" outlineLevel="0" collapsed="false">
      <c r="A58" s="4" t="s">
        <v>558</v>
      </c>
      <c r="B58" s="5" t="s">
        <v>559</v>
      </c>
      <c r="C58" s="8" t="s">
        <v>106</v>
      </c>
      <c r="D58" s="10" t="n">
        <f aca="false">MIN(SUMIFS('Proposal tests'!$K$5:$K$784,'Proposal tests'!$A$5:$A$784,$A58,'Proposal tests'!$B$5:$B$784,$C58,'Proposal tests'!$C$5:$C$784,"Consumer-led"),SUMIFS('Proposal tests'!$K$5:$K$784,'Proposal tests'!$A$5:$A$784,$A58,'Proposal tests'!$B$5:$B$784,$C58,'Proposal tests'!$C$5:$C$784,"Enterprise-led"),SUMIFS('Proposal tests'!$K$5:$K$784,'Proposal tests'!$A$5:$A$784,$A58,'Proposal tests'!$B$5:$B$784,$C58,'Proposal tests'!$C$5:$C$784,"AI-led"),SUMIFS('Proposal tests'!$K$5:$K$784,'Proposal tests'!$A$5:$A$784,$A58,'Proposal tests'!$B$5:$B$784,$C58,'Proposal tests'!$C$5:$C$784,"University-led"))</f>
        <v>115.008176064796</v>
      </c>
      <c r="E58" s="10" t="n">
        <f aca="false">MAX(SUMIFS('Proposal tests'!$K$5:$K$784,'Proposal tests'!$A$5:$A$784,$A58,'Proposal tests'!$B$5:$B$784,$C58,'Proposal tests'!$C$5:$C$784,"Consumer-led"),SUMIFS('Proposal tests'!$K$5:$K$784,'Proposal tests'!$A$5:$A$784,$A58,'Proposal tests'!$B$5:$B$784,$C58,'Proposal tests'!$C$5:$C$784,"Enterprise-led"),SUMIFS('Proposal tests'!$K$5:$K$784,'Proposal tests'!$A$5:$A$784,$A58,'Proposal tests'!$B$5:$B$784,$C58,'Proposal tests'!$C$5:$C$784,"AI-led"),SUMIFS('Proposal tests'!$K$5:$K$784,'Proposal tests'!$A$5:$A$784,$A58,'Proposal tests'!$B$5:$B$784,$C58,'Proposal tests'!$C$5:$C$784,"University-led"))</f>
        <v>136.394386450595</v>
      </c>
      <c r="F58" s="16" t="n">
        <f aca="false">E58-D58</f>
        <v>21.3862103857992</v>
      </c>
      <c r="G58" s="10" t="n">
        <f aca="false">SUMIFS('Proposal tests'!$K$5:$K$784,'Proposal tests'!$A$5:$A$784,$A58,'Proposal tests'!$B$5:$B$784,$C58,'Proposal tests'!$C$5:$C$784,"Enterprise-led")</f>
        <v>117.769369127265</v>
      </c>
      <c r="H58" s="10" t="n">
        <f aca="false">SUMIFS('Proposal tests'!$K$5:$K$784,'Proposal tests'!$A$5:$A$784,$A58,'Proposal tests'!$B$5:$B$784,$C58,'Proposal tests'!$C$5:$C$784,"University-led")</f>
        <v>115.874698928038</v>
      </c>
      <c r="I58" s="10" t="n">
        <f aca="false">SUMIFS('Proposal tests'!$K$5:$K$784,'Proposal tests'!$A$5:$A$784,$A58,'Proposal tests'!$B$5:$B$784,$C58,'Proposal tests'!$C$5:$C$784,"Consumer-only")</f>
        <v>108.677965491123</v>
      </c>
      <c r="J58" s="10" t="n">
        <f aca="false">SUMIFS('Proposal tests'!$K$5:$K$784,'Proposal tests'!$A$5:$A$784,$A58,'Proposal tests'!$B$5:$B$784,$C58,'Proposal tests'!$C$5:$C$784,"AI-only")</f>
        <v>108.858294753264</v>
      </c>
      <c r="K58" s="10" t="n">
        <f aca="false">_xlfn.MAXIFS('Proposal tests'!$K$5:$K$784,'Proposal tests'!$A$5:$A$784,$A58,'Proposal tests'!$B$5:$B$784,$C58)</f>
        <v>152.143554429677</v>
      </c>
      <c r="L58" s="10" t="n">
        <f aca="false">_xlfn.MINIFS('Proposal tests'!$K$5:$K$784,'Proposal tests'!$A$5:$A$784,$A58,'Proposal tests'!$B$5:$B$784,$C58)</f>
        <v>104.045458518683</v>
      </c>
    </row>
    <row r="59" customFormat="false" ht="25.5" hidden="false" customHeight="true" outlineLevel="0" collapsed="false">
      <c r="A59" s="4" t="s">
        <v>558</v>
      </c>
      <c r="B59" s="5" t="s">
        <v>559</v>
      </c>
      <c r="C59" s="8" t="s">
        <v>112</v>
      </c>
      <c r="D59" s="10" t="n">
        <f aca="false">MIN(SUMIFS('Proposal tests'!$K$5:$K$784,'Proposal tests'!$A$5:$A$784,$A59,'Proposal tests'!$B$5:$B$784,$C59,'Proposal tests'!$C$5:$C$784,"Consumer-led"),SUMIFS('Proposal tests'!$K$5:$K$784,'Proposal tests'!$A$5:$A$784,$A59,'Proposal tests'!$B$5:$B$784,$C59,'Proposal tests'!$C$5:$C$784,"Enterprise-led"),SUMIFS('Proposal tests'!$K$5:$K$784,'Proposal tests'!$A$5:$A$784,$A59,'Proposal tests'!$B$5:$B$784,$C59,'Proposal tests'!$C$5:$C$784,"AI-led"),SUMIFS('Proposal tests'!$K$5:$K$784,'Proposal tests'!$A$5:$A$784,$A59,'Proposal tests'!$B$5:$B$784,$C59,'Proposal tests'!$C$5:$C$784,"University-led"))</f>
        <v>114.560921366385</v>
      </c>
      <c r="E59" s="10" t="n">
        <f aca="false">MAX(SUMIFS('Proposal tests'!$K$5:$K$784,'Proposal tests'!$A$5:$A$784,$A59,'Proposal tests'!$B$5:$B$784,$C59,'Proposal tests'!$C$5:$C$784,"Consumer-led"),SUMIFS('Proposal tests'!$K$5:$K$784,'Proposal tests'!$A$5:$A$784,$A59,'Proposal tests'!$B$5:$B$784,$C59,'Proposal tests'!$C$5:$C$784,"Enterprise-led"),SUMIFS('Proposal tests'!$K$5:$K$784,'Proposal tests'!$A$5:$A$784,$A59,'Proposal tests'!$B$5:$B$784,$C59,'Proposal tests'!$C$5:$C$784,"AI-led"),SUMIFS('Proposal tests'!$K$5:$K$784,'Proposal tests'!$A$5:$A$784,$A59,'Proposal tests'!$B$5:$B$784,$C59,'Proposal tests'!$C$5:$C$784,"University-led"))</f>
        <v>146.99641744875</v>
      </c>
      <c r="F59" s="16" t="n">
        <f aca="false">E59-D59</f>
        <v>32.4354960823653</v>
      </c>
      <c r="G59" s="10" t="n">
        <f aca="false">SUMIFS('Proposal tests'!$K$5:$K$784,'Proposal tests'!$A$5:$A$784,$A59,'Proposal tests'!$B$5:$B$784,$C59,'Proposal tests'!$C$5:$C$784,"Enterprise-led")</f>
        <v>114.853006308348</v>
      </c>
      <c r="H59" s="10" t="n">
        <f aca="false">SUMIFS('Proposal tests'!$K$5:$K$784,'Proposal tests'!$A$5:$A$784,$A59,'Proposal tests'!$B$5:$B$784,$C59,'Proposal tests'!$C$5:$C$784,"University-led")</f>
        <v>116.918508247185</v>
      </c>
      <c r="I59" s="10" t="n">
        <f aca="false">SUMIFS('Proposal tests'!$K$5:$K$784,'Proposal tests'!$A$5:$A$784,$A59,'Proposal tests'!$B$5:$B$784,$C59,'Proposal tests'!$C$5:$C$784,"Consumer-only")</f>
        <v>108.192091891131</v>
      </c>
      <c r="J59" s="10" t="n">
        <f aca="false">SUMIFS('Proposal tests'!$K$5:$K$784,'Proposal tests'!$A$5:$A$784,$A59,'Proposal tests'!$B$5:$B$784,$C59,'Proposal tests'!$C$5:$C$784,"AI-only")</f>
        <v>125.880151955703</v>
      </c>
      <c r="K59" s="10" t="n">
        <f aca="false">_xlfn.MAXIFS('Proposal tests'!$K$5:$K$784,'Proposal tests'!$A$5:$A$784,$A59,'Proposal tests'!$B$5:$B$784,$C59)</f>
        <v>157.855710682082</v>
      </c>
      <c r="L59" s="10" t="n">
        <f aca="false">_xlfn.MINIFS('Proposal tests'!$K$5:$K$784,'Proposal tests'!$A$5:$A$784,$A59,'Proposal tests'!$B$5:$B$784,$C59)</f>
        <v>106.166167730705</v>
      </c>
    </row>
    <row r="60" customFormat="false" ht="25.5" hidden="false" customHeight="true" outlineLevel="0" collapsed="false">
      <c r="A60" s="4" t="s">
        <v>558</v>
      </c>
      <c r="B60" s="5" t="s">
        <v>559</v>
      </c>
      <c r="C60" s="8" t="s">
        <v>118</v>
      </c>
      <c r="D60" s="10" t="n">
        <f aca="false">MIN(SUMIFS('Proposal tests'!$K$5:$K$784,'Proposal tests'!$A$5:$A$784,$A60,'Proposal tests'!$B$5:$B$784,$C60,'Proposal tests'!$C$5:$C$784,"Consumer-led"),SUMIFS('Proposal tests'!$K$5:$K$784,'Proposal tests'!$A$5:$A$784,$A60,'Proposal tests'!$B$5:$B$784,$C60,'Proposal tests'!$C$5:$C$784,"Enterprise-led"),SUMIFS('Proposal tests'!$K$5:$K$784,'Proposal tests'!$A$5:$A$784,$A60,'Proposal tests'!$B$5:$B$784,$C60,'Proposal tests'!$C$5:$C$784,"AI-led"),SUMIFS('Proposal tests'!$K$5:$K$784,'Proposal tests'!$A$5:$A$784,$A60,'Proposal tests'!$B$5:$B$784,$C60,'Proposal tests'!$C$5:$C$784,"University-led"))</f>
        <v>125.108141336443</v>
      </c>
      <c r="E60" s="10" t="n">
        <f aca="false">MAX(SUMIFS('Proposal tests'!$K$5:$K$784,'Proposal tests'!$A$5:$A$784,$A60,'Proposal tests'!$B$5:$B$784,$C60,'Proposal tests'!$C$5:$C$784,"Consumer-led"),SUMIFS('Proposal tests'!$K$5:$K$784,'Proposal tests'!$A$5:$A$784,$A60,'Proposal tests'!$B$5:$B$784,$C60,'Proposal tests'!$C$5:$C$784,"Enterprise-led"),SUMIFS('Proposal tests'!$K$5:$K$784,'Proposal tests'!$A$5:$A$784,$A60,'Proposal tests'!$B$5:$B$784,$C60,'Proposal tests'!$C$5:$C$784,"AI-led"),SUMIFS('Proposal tests'!$K$5:$K$784,'Proposal tests'!$A$5:$A$784,$A60,'Proposal tests'!$B$5:$B$784,$C60,'Proposal tests'!$C$5:$C$784,"University-led"))</f>
        <v>135.753377691637</v>
      </c>
      <c r="F60" s="16" t="n">
        <f aca="false">E60-D60</f>
        <v>10.6452363551946</v>
      </c>
      <c r="G60" s="10" t="n">
        <f aca="false">SUMIFS('Proposal tests'!$K$5:$K$784,'Proposal tests'!$A$5:$A$784,$A60,'Proposal tests'!$B$5:$B$784,$C60,'Proposal tests'!$C$5:$C$784,"Enterprise-led")</f>
        <v>125.108141336443</v>
      </c>
      <c r="H60" s="10" t="n">
        <f aca="false">SUMIFS('Proposal tests'!$K$5:$K$784,'Proposal tests'!$A$5:$A$784,$A60,'Proposal tests'!$B$5:$B$784,$C60,'Proposal tests'!$C$5:$C$784,"University-led")</f>
        <v>135.753377691637</v>
      </c>
      <c r="I60" s="10" t="n">
        <f aca="false">SUMIFS('Proposal tests'!$K$5:$K$784,'Proposal tests'!$A$5:$A$784,$A60,'Proposal tests'!$B$5:$B$784,$C60,'Proposal tests'!$C$5:$C$784,"Consumer-only")</f>
        <v>123.401654458419</v>
      </c>
      <c r="J60" s="10" t="n">
        <f aca="false">SUMIFS('Proposal tests'!$K$5:$K$784,'Proposal tests'!$A$5:$A$784,$A60,'Proposal tests'!$B$5:$B$784,$C60,'Proposal tests'!$C$5:$C$784,"AI-only")</f>
        <v>107.799237325513</v>
      </c>
      <c r="K60" s="10" t="n">
        <f aca="false">_xlfn.MAXIFS('Proposal tests'!$K$5:$K$784,'Proposal tests'!$A$5:$A$784,$A60,'Proposal tests'!$B$5:$B$784,$C60)</f>
        <v>153.11234436255</v>
      </c>
      <c r="L60" s="10" t="n">
        <f aca="false">_xlfn.MINIFS('Proposal tests'!$K$5:$K$784,'Proposal tests'!$A$5:$A$784,$A60,'Proposal tests'!$B$5:$B$784,$C60)</f>
        <v>107.799237325513</v>
      </c>
    </row>
    <row r="61" customFormat="false" ht="25.5" hidden="false" customHeight="true" outlineLevel="0" collapsed="false">
      <c r="A61" s="4" t="s">
        <v>558</v>
      </c>
      <c r="B61" s="5" t="s">
        <v>559</v>
      </c>
      <c r="C61" s="8" t="s">
        <v>121</v>
      </c>
      <c r="D61" s="10" t="n">
        <f aca="false">MIN(SUMIFS('Proposal tests'!$K$5:$K$784,'Proposal tests'!$A$5:$A$784,$A61,'Proposal tests'!$B$5:$B$784,$C61,'Proposal tests'!$C$5:$C$784,"Consumer-led"),SUMIFS('Proposal tests'!$K$5:$K$784,'Proposal tests'!$A$5:$A$784,$A61,'Proposal tests'!$B$5:$B$784,$C61,'Proposal tests'!$C$5:$C$784,"Enterprise-led"),SUMIFS('Proposal tests'!$K$5:$K$784,'Proposal tests'!$A$5:$A$784,$A61,'Proposal tests'!$B$5:$B$784,$C61,'Proposal tests'!$C$5:$C$784,"AI-led"),SUMIFS('Proposal tests'!$K$5:$K$784,'Proposal tests'!$A$5:$A$784,$A61,'Proposal tests'!$B$5:$B$784,$C61,'Proposal tests'!$C$5:$C$784,"University-led"))</f>
        <v>103.659841521294</v>
      </c>
      <c r="E61" s="10" t="n">
        <f aca="false">MAX(SUMIFS('Proposal tests'!$K$5:$K$784,'Proposal tests'!$A$5:$A$784,$A61,'Proposal tests'!$B$5:$B$784,$C61,'Proposal tests'!$C$5:$C$784,"Consumer-led"),SUMIFS('Proposal tests'!$K$5:$K$784,'Proposal tests'!$A$5:$A$784,$A61,'Proposal tests'!$B$5:$B$784,$C61,'Proposal tests'!$C$5:$C$784,"Enterprise-led"),SUMIFS('Proposal tests'!$K$5:$K$784,'Proposal tests'!$A$5:$A$784,$A61,'Proposal tests'!$B$5:$B$784,$C61,'Proposal tests'!$C$5:$C$784,"AI-led"),SUMIFS('Proposal tests'!$K$5:$K$784,'Proposal tests'!$A$5:$A$784,$A61,'Proposal tests'!$B$5:$B$784,$C61,'Proposal tests'!$C$5:$C$784,"University-led"))</f>
        <v>127.7663231308</v>
      </c>
      <c r="F61" s="16" t="n">
        <f aca="false">E61-D61</f>
        <v>24.1064816095061</v>
      </c>
      <c r="G61" s="10" t="n">
        <f aca="false">SUMIFS('Proposal tests'!$K$5:$K$784,'Proposal tests'!$A$5:$A$784,$A61,'Proposal tests'!$B$5:$B$784,$C61,'Proposal tests'!$C$5:$C$784,"Enterprise-led")</f>
        <v>108.938342012169</v>
      </c>
      <c r="H61" s="10" t="n">
        <f aca="false">SUMIFS('Proposal tests'!$K$5:$K$784,'Proposal tests'!$A$5:$A$784,$A61,'Proposal tests'!$B$5:$B$784,$C61,'Proposal tests'!$C$5:$C$784,"University-led")</f>
        <v>103.659841521294</v>
      </c>
      <c r="I61" s="10" t="n">
        <f aca="false">SUMIFS('Proposal tests'!$K$5:$K$784,'Proposal tests'!$A$5:$A$784,$A61,'Proposal tests'!$B$5:$B$784,$C61,'Proposal tests'!$C$5:$C$784,"Consumer-only")</f>
        <v>101.663410240524</v>
      </c>
      <c r="J61" s="10" t="n">
        <f aca="false">SUMIFS('Proposal tests'!$K$5:$K$784,'Proposal tests'!$A$5:$A$784,$A61,'Proposal tests'!$B$5:$B$784,$C61,'Proposal tests'!$C$5:$C$784,"AI-only")</f>
        <v>98.0796508397372</v>
      </c>
      <c r="K61" s="10" t="n">
        <f aca="false">_xlfn.MAXIFS('Proposal tests'!$K$5:$K$784,'Proposal tests'!$A$5:$A$784,$A61,'Proposal tests'!$B$5:$B$784,$C61)</f>
        <v>142.626997036784</v>
      </c>
      <c r="L61" s="10" t="n">
        <f aca="false">_xlfn.MINIFS('Proposal tests'!$K$5:$K$784,'Proposal tests'!$A$5:$A$784,$A61,'Proposal tests'!$B$5:$B$784,$C61)</f>
        <v>95.1611099420443</v>
      </c>
    </row>
    <row r="62" customFormat="false" ht="25.5" hidden="false" customHeight="true" outlineLevel="0" collapsed="false">
      <c r="A62" s="36" t="s">
        <v>560</v>
      </c>
      <c r="B62" s="5" t="s">
        <v>561</v>
      </c>
      <c r="C62" s="8" t="s">
        <v>97</v>
      </c>
      <c r="D62" s="10" t="n">
        <f aca="false">MIN(SUMIFS('Proposal tests'!$K$5:$K$784,'Proposal tests'!$A$5:$A$784,$A62,'Proposal tests'!$B$5:$B$784,$C62,'Proposal tests'!$C$5:$C$784,"Consumer-led"),SUMIFS('Proposal tests'!$K$5:$K$784,'Proposal tests'!$A$5:$A$784,$A62,'Proposal tests'!$B$5:$B$784,$C62,'Proposal tests'!$C$5:$C$784,"Enterprise-led"),SUMIFS('Proposal tests'!$K$5:$K$784,'Proposal tests'!$A$5:$A$784,$A62,'Proposal tests'!$B$5:$B$784,$C62,'Proposal tests'!$C$5:$C$784,"AI-led"),SUMIFS('Proposal tests'!$K$5:$K$784,'Proposal tests'!$A$5:$A$784,$A62,'Proposal tests'!$B$5:$B$784,$C62,'Proposal tests'!$C$5:$C$784,"University-led"))</f>
        <v>113.809816669835</v>
      </c>
      <c r="E62" s="10" t="n">
        <f aca="false">MAX(SUMIFS('Proposal tests'!$K$5:$K$784,'Proposal tests'!$A$5:$A$784,$A62,'Proposal tests'!$B$5:$B$784,$C62,'Proposal tests'!$C$5:$C$784,"Consumer-led"),SUMIFS('Proposal tests'!$K$5:$K$784,'Proposal tests'!$A$5:$A$784,$A62,'Proposal tests'!$B$5:$B$784,$C62,'Proposal tests'!$C$5:$C$784,"Enterprise-led"),SUMIFS('Proposal tests'!$K$5:$K$784,'Proposal tests'!$A$5:$A$784,$A62,'Proposal tests'!$B$5:$B$784,$C62,'Proposal tests'!$C$5:$C$784,"AI-led"),SUMIFS('Proposal tests'!$K$5:$K$784,'Proposal tests'!$A$5:$A$784,$A62,'Proposal tests'!$B$5:$B$784,$C62,'Proposal tests'!$C$5:$C$784,"University-led"))</f>
        <v>134.924572899381</v>
      </c>
      <c r="F62" s="16" t="n">
        <f aca="false">E62-D62</f>
        <v>21.1147562295458</v>
      </c>
      <c r="G62" s="10" t="n">
        <f aca="false">SUMIFS('Proposal tests'!$K$5:$K$784,'Proposal tests'!$A$5:$A$784,$A62,'Proposal tests'!$B$5:$B$784,$C62,'Proposal tests'!$C$5:$C$784,"Enterprise-led")</f>
        <v>114.066490866123</v>
      </c>
      <c r="H62" s="10" t="n">
        <f aca="false">SUMIFS('Proposal tests'!$K$5:$K$784,'Proposal tests'!$A$5:$A$784,$A62,'Proposal tests'!$B$5:$B$784,$C62,'Proposal tests'!$C$5:$C$784,"University-led")</f>
        <v>115.550722676439</v>
      </c>
      <c r="I62" s="10" t="n">
        <f aca="false">SUMIFS('Proposal tests'!$K$5:$K$784,'Proposal tests'!$A$5:$A$784,$A62,'Proposal tests'!$B$5:$B$784,$C62,'Proposal tests'!$C$5:$C$784,"Consumer-only")</f>
        <v>107.494199577376</v>
      </c>
      <c r="J62" s="10" t="n">
        <f aca="false">SUMIFS('Proposal tests'!$K$5:$K$784,'Proposal tests'!$A$5:$A$784,$A62,'Proposal tests'!$B$5:$B$784,$C62,'Proposal tests'!$C$5:$C$784,"AI-only")</f>
        <v>110.547544847046</v>
      </c>
      <c r="K62" s="10" t="n">
        <f aca="false">_xlfn.MAXIFS('Proposal tests'!$K$5:$K$784,'Proposal tests'!$A$5:$A$784,$A62,'Proposal tests'!$B$5:$B$784,$C62)</f>
        <v>149.335811015518</v>
      </c>
      <c r="L62" s="10" t="n">
        <f aca="false">_xlfn.MINIFS('Proposal tests'!$K$5:$K$784,'Proposal tests'!$A$5:$A$784,$A62,'Proposal tests'!$B$5:$B$784,$C62)</f>
        <v>101.659247619889</v>
      </c>
    </row>
    <row r="63" customFormat="false" ht="25.5" hidden="false" customHeight="true" outlineLevel="0" collapsed="false">
      <c r="A63" s="36" t="s">
        <v>560</v>
      </c>
      <c r="B63" s="5" t="s">
        <v>561</v>
      </c>
      <c r="C63" s="8" t="s">
        <v>100</v>
      </c>
      <c r="D63" s="10" t="n">
        <f aca="false">MIN(SUMIFS('Proposal tests'!$K$5:$K$784,'Proposal tests'!$A$5:$A$784,$A63,'Proposal tests'!$B$5:$B$784,$C63,'Proposal tests'!$C$5:$C$784,"Consumer-led"),SUMIFS('Proposal tests'!$K$5:$K$784,'Proposal tests'!$A$5:$A$784,$A63,'Proposal tests'!$B$5:$B$784,$C63,'Proposal tests'!$C$5:$C$784,"Enterprise-led"),SUMIFS('Proposal tests'!$K$5:$K$784,'Proposal tests'!$A$5:$A$784,$A63,'Proposal tests'!$B$5:$B$784,$C63,'Proposal tests'!$C$5:$C$784,"AI-led"),SUMIFS('Proposal tests'!$K$5:$K$784,'Proposal tests'!$A$5:$A$784,$A63,'Proposal tests'!$B$5:$B$784,$C63,'Proposal tests'!$C$5:$C$784,"University-led"))</f>
        <v>89.5050696350027</v>
      </c>
      <c r="E63" s="10" t="n">
        <f aca="false">MAX(SUMIFS('Proposal tests'!$K$5:$K$784,'Proposal tests'!$A$5:$A$784,$A63,'Proposal tests'!$B$5:$B$784,$C63,'Proposal tests'!$C$5:$C$784,"Consumer-led"),SUMIFS('Proposal tests'!$K$5:$K$784,'Proposal tests'!$A$5:$A$784,$A63,'Proposal tests'!$B$5:$B$784,$C63,'Proposal tests'!$C$5:$C$784,"Enterprise-led"),SUMIFS('Proposal tests'!$K$5:$K$784,'Proposal tests'!$A$5:$A$784,$A63,'Proposal tests'!$B$5:$B$784,$C63,'Proposal tests'!$C$5:$C$784,"AI-led"),SUMIFS('Proposal tests'!$K$5:$K$784,'Proposal tests'!$A$5:$A$784,$A63,'Proposal tests'!$B$5:$B$784,$C63,'Proposal tests'!$C$5:$C$784,"University-led"))</f>
        <v>128.616875887895</v>
      </c>
      <c r="F63" s="16" t="n">
        <f aca="false">E63-D63</f>
        <v>39.1118062528926</v>
      </c>
      <c r="G63" s="10" t="n">
        <f aca="false">SUMIFS('Proposal tests'!$K$5:$K$784,'Proposal tests'!$A$5:$A$784,$A63,'Proposal tests'!$B$5:$B$784,$C63,'Proposal tests'!$C$5:$C$784,"Enterprise-led")</f>
        <v>89.5050696350027</v>
      </c>
      <c r="H63" s="10" t="n">
        <f aca="false">SUMIFS('Proposal tests'!$K$5:$K$784,'Proposal tests'!$A$5:$A$784,$A63,'Proposal tests'!$B$5:$B$784,$C63,'Proposal tests'!$C$5:$C$784,"University-led")</f>
        <v>97.7662236293958</v>
      </c>
      <c r="I63" s="10" t="n">
        <f aca="false">SUMIFS('Proposal tests'!$K$5:$K$784,'Proposal tests'!$A$5:$A$784,$A63,'Proposal tests'!$B$5:$B$784,$C63,'Proposal tests'!$C$5:$C$784,"Consumer-only")</f>
        <v>93.9368748396912</v>
      </c>
      <c r="J63" s="10" t="n">
        <f aca="false">SUMIFS('Proposal tests'!$K$5:$K$784,'Proposal tests'!$A$5:$A$784,$A63,'Proposal tests'!$B$5:$B$784,$C63,'Proposal tests'!$C$5:$C$784,"AI-only")</f>
        <v>91.9011443696221</v>
      </c>
      <c r="K63" s="10" t="n">
        <f aca="false">_xlfn.MAXIFS('Proposal tests'!$K$5:$K$784,'Proposal tests'!$A$5:$A$784,$A63,'Proposal tests'!$B$5:$B$784,$C63)</f>
        <v>142.378053401743</v>
      </c>
      <c r="L63" s="10" t="n">
        <f aca="false">_xlfn.MINIFS('Proposal tests'!$K$5:$K$784,'Proposal tests'!$A$5:$A$784,$A63,'Proposal tests'!$B$5:$B$784,$C63)</f>
        <v>89.2158483281761</v>
      </c>
    </row>
    <row r="64" customFormat="false" ht="25.5" hidden="false" customHeight="true" outlineLevel="0" collapsed="false">
      <c r="A64" s="36" t="s">
        <v>560</v>
      </c>
      <c r="B64" s="5" t="s">
        <v>561</v>
      </c>
      <c r="C64" s="8" t="s">
        <v>106</v>
      </c>
      <c r="D64" s="10" t="n">
        <f aca="false">MIN(SUMIFS('Proposal tests'!$K$5:$K$784,'Proposal tests'!$A$5:$A$784,$A64,'Proposal tests'!$B$5:$B$784,$C64,'Proposal tests'!$C$5:$C$784,"Consumer-led"),SUMIFS('Proposal tests'!$K$5:$K$784,'Proposal tests'!$A$5:$A$784,$A64,'Proposal tests'!$B$5:$B$784,$C64,'Proposal tests'!$C$5:$C$784,"Enterprise-led"),SUMIFS('Proposal tests'!$K$5:$K$784,'Proposal tests'!$A$5:$A$784,$A64,'Proposal tests'!$B$5:$B$784,$C64,'Proposal tests'!$C$5:$C$784,"AI-led"),SUMIFS('Proposal tests'!$K$5:$K$784,'Proposal tests'!$A$5:$A$784,$A64,'Proposal tests'!$B$5:$B$784,$C64,'Proposal tests'!$C$5:$C$784,"University-led"))</f>
        <v>110.004960966511</v>
      </c>
      <c r="E64" s="10" t="n">
        <f aca="false">MAX(SUMIFS('Proposal tests'!$K$5:$K$784,'Proposal tests'!$A$5:$A$784,$A64,'Proposal tests'!$B$5:$B$784,$C64,'Proposal tests'!$C$5:$C$784,"Consumer-led"),SUMIFS('Proposal tests'!$K$5:$K$784,'Proposal tests'!$A$5:$A$784,$A64,'Proposal tests'!$B$5:$B$784,$C64,'Proposal tests'!$C$5:$C$784,"Enterprise-led"),SUMIFS('Proposal tests'!$K$5:$K$784,'Proposal tests'!$A$5:$A$784,$A64,'Proposal tests'!$B$5:$B$784,$C64,'Proposal tests'!$C$5:$C$784,"AI-led"),SUMIFS('Proposal tests'!$K$5:$K$784,'Proposal tests'!$A$5:$A$784,$A64,'Proposal tests'!$B$5:$B$784,$C64,'Proposal tests'!$C$5:$C$784,"University-led"))</f>
        <v>136.558339752687</v>
      </c>
      <c r="F64" s="16" t="n">
        <f aca="false">E64-D64</f>
        <v>26.5533787861758</v>
      </c>
      <c r="G64" s="10" t="n">
        <f aca="false">SUMIFS('Proposal tests'!$K$5:$K$784,'Proposal tests'!$A$5:$A$784,$A64,'Proposal tests'!$B$5:$B$784,$C64,'Proposal tests'!$C$5:$C$784,"Enterprise-led")</f>
        <v>117.926517186624</v>
      </c>
      <c r="H64" s="10" t="n">
        <f aca="false">SUMIFS('Proposal tests'!$K$5:$K$784,'Proposal tests'!$A$5:$A$784,$A64,'Proposal tests'!$B$5:$B$784,$C64,'Proposal tests'!$C$5:$C$784,"University-led")</f>
        <v>110.004960966511</v>
      </c>
      <c r="I64" s="10" t="n">
        <f aca="false">SUMIFS('Proposal tests'!$K$5:$K$784,'Proposal tests'!$A$5:$A$784,$A64,'Proposal tests'!$B$5:$B$784,$C64,'Proposal tests'!$C$5:$C$784,"Consumer-only")</f>
        <v>108.845086117011</v>
      </c>
      <c r="J64" s="10" t="n">
        <f aca="false">SUMIFS('Proposal tests'!$K$5:$K$784,'Proposal tests'!$A$5:$A$784,$A64,'Proposal tests'!$B$5:$B$784,$C64,'Proposal tests'!$C$5:$C$784,"AI-only")</f>
        <v>113.449282793065</v>
      </c>
      <c r="K64" s="10" t="n">
        <f aca="false">_xlfn.MAXIFS('Proposal tests'!$K$5:$K$784,'Proposal tests'!$A$5:$A$784,$A64,'Proposal tests'!$B$5:$B$784,$C64)</f>
        <v>152.026780215806</v>
      </c>
      <c r="L64" s="10" t="n">
        <f aca="false">_xlfn.MINIFS('Proposal tests'!$K$5:$K$784,'Proposal tests'!$A$5:$A$784,$A64,'Proposal tests'!$B$5:$B$784,$C64)</f>
        <v>104.202083329159</v>
      </c>
    </row>
    <row r="65" customFormat="false" ht="25.5" hidden="false" customHeight="true" outlineLevel="0" collapsed="false">
      <c r="A65" s="36" t="s">
        <v>560</v>
      </c>
      <c r="B65" s="5" t="s">
        <v>561</v>
      </c>
      <c r="C65" s="8" t="s">
        <v>112</v>
      </c>
      <c r="D65" s="10" t="n">
        <f aca="false">MIN(SUMIFS('Proposal tests'!$K$5:$K$784,'Proposal tests'!$A$5:$A$784,$A65,'Proposal tests'!$B$5:$B$784,$C65,'Proposal tests'!$C$5:$C$784,"Consumer-led"),SUMIFS('Proposal tests'!$K$5:$K$784,'Proposal tests'!$A$5:$A$784,$A65,'Proposal tests'!$B$5:$B$784,$C65,'Proposal tests'!$C$5:$C$784,"Enterprise-led"),SUMIFS('Proposal tests'!$K$5:$K$784,'Proposal tests'!$A$5:$A$784,$A65,'Proposal tests'!$B$5:$B$784,$C65,'Proposal tests'!$C$5:$C$784,"AI-led"),SUMIFS('Proposal tests'!$K$5:$K$784,'Proposal tests'!$A$5:$A$784,$A65,'Proposal tests'!$B$5:$B$784,$C65,'Proposal tests'!$C$5:$C$784,"University-led"))</f>
        <v>111.048235280571</v>
      </c>
      <c r="E65" s="10" t="n">
        <f aca="false">MAX(SUMIFS('Proposal tests'!$K$5:$K$784,'Proposal tests'!$A$5:$A$784,$A65,'Proposal tests'!$B$5:$B$784,$C65,'Proposal tests'!$C$5:$C$784,"Consumer-led"),SUMIFS('Proposal tests'!$K$5:$K$784,'Proposal tests'!$A$5:$A$784,$A65,'Proposal tests'!$B$5:$B$784,$C65,'Proposal tests'!$C$5:$C$784,"Enterprise-led"),SUMIFS('Proposal tests'!$K$5:$K$784,'Proposal tests'!$A$5:$A$784,$A65,'Proposal tests'!$B$5:$B$784,$C65,'Proposal tests'!$C$5:$C$784,"AI-led"),SUMIFS('Proposal tests'!$K$5:$K$784,'Proposal tests'!$A$5:$A$784,$A65,'Proposal tests'!$B$5:$B$784,$C65,'Proposal tests'!$C$5:$C$784,"University-led"))</f>
        <v>147.153397404031</v>
      </c>
      <c r="F65" s="16" t="n">
        <f aca="false">E65-D65</f>
        <v>36.10516212346</v>
      </c>
      <c r="G65" s="10" t="n">
        <f aca="false">SUMIFS('Proposal tests'!$K$5:$K$784,'Proposal tests'!$A$5:$A$784,$A65,'Proposal tests'!$B$5:$B$784,$C65,'Proposal tests'!$C$5:$C$784,"Enterprise-led")</f>
        <v>115.011799150893</v>
      </c>
      <c r="H65" s="10" t="n">
        <f aca="false">SUMIFS('Proposal tests'!$K$5:$K$784,'Proposal tests'!$A$5:$A$784,$A65,'Proposal tests'!$B$5:$B$784,$C65,'Proposal tests'!$C$5:$C$784,"University-led")</f>
        <v>111.048235280571</v>
      </c>
      <c r="I65" s="10" t="n">
        <f aca="false">SUMIFS('Proposal tests'!$K$5:$K$784,'Proposal tests'!$A$5:$A$784,$A65,'Proposal tests'!$B$5:$B$784,$C65,'Proposal tests'!$C$5:$C$784,"Consumer-only")</f>
        <v>108.35918007425</v>
      </c>
      <c r="J65" s="10" t="n">
        <f aca="false">SUMIFS('Proposal tests'!$K$5:$K$784,'Proposal tests'!$A$5:$A$784,$A65,'Proposal tests'!$B$5:$B$784,$C65,'Proposal tests'!$C$5:$C$784,"AI-only")</f>
        <v>126.042154597751</v>
      </c>
      <c r="K65" s="10" t="n">
        <f aca="false">_xlfn.MAXIFS('Proposal tests'!$K$5:$K$784,'Proposal tests'!$A$5:$A$784,$A65,'Proposal tests'!$B$5:$B$784,$C65)</f>
        <v>157.742576337598</v>
      </c>
      <c r="L65" s="10" t="n">
        <f aca="false">_xlfn.MINIFS('Proposal tests'!$K$5:$K$784,'Proposal tests'!$A$5:$A$784,$A65,'Proposal tests'!$B$5:$B$784,$C65)</f>
        <v>106.321384032965</v>
      </c>
    </row>
    <row r="66" customFormat="false" ht="25.5" hidden="false" customHeight="true" outlineLevel="0" collapsed="false">
      <c r="A66" s="36" t="s">
        <v>560</v>
      </c>
      <c r="B66" s="5" t="s">
        <v>561</v>
      </c>
      <c r="C66" s="8" t="s">
        <v>118</v>
      </c>
      <c r="D66" s="10" t="n">
        <f aca="false">MIN(SUMIFS('Proposal tests'!$K$5:$K$784,'Proposal tests'!$A$5:$A$784,$A66,'Proposal tests'!$B$5:$B$784,$C66,'Proposal tests'!$C$5:$C$784,"Consumer-led"),SUMIFS('Proposal tests'!$K$5:$K$784,'Proposal tests'!$A$5:$A$784,$A66,'Proposal tests'!$B$5:$B$784,$C66,'Proposal tests'!$C$5:$C$784,"Enterprise-led"),SUMIFS('Proposal tests'!$K$5:$K$784,'Proposal tests'!$A$5:$A$784,$A66,'Proposal tests'!$B$5:$B$784,$C66,'Proposal tests'!$C$5:$C$784,"AI-led"),SUMIFS('Proposal tests'!$K$5:$K$784,'Proposal tests'!$A$5:$A$784,$A66,'Proposal tests'!$B$5:$B$784,$C66,'Proposal tests'!$C$5:$C$784,"University-led"))</f>
        <v>124.94758562751</v>
      </c>
      <c r="E66" s="10" t="n">
        <f aca="false">MAX(SUMIFS('Proposal tests'!$K$5:$K$784,'Proposal tests'!$A$5:$A$784,$A66,'Proposal tests'!$B$5:$B$784,$C66,'Proposal tests'!$C$5:$C$784,"Consumer-led"),SUMIFS('Proposal tests'!$K$5:$K$784,'Proposal tests'!$A$5:$A$784,$A66,'Proposal tests'!$B$5:$B$784,$C66,'Proposal tests'!$C$5:$C$784,"Enterprise-led"),SUMIFS('Proposal tests'!$K$5:$K$784,'Proposal tests'!$A$5:$A$784,$A66,'Proposal tests'!$B$5:$B$784,$C66,'Proposal tests'!$C$5:$C$784,"AI-led"),SUMIFS('Proposal tests'!$K$5:$K$784,'Proposal tests'!$A$5:$A$784,$A66,'Proposal tests'!$B$5:$B$784,$C66,'Proposal tests'!$C$5:$C$784,"University-led"))</f>
        <v>133.818918777094</v>
      </c>
      <c r="F66" s="16" t="n">
        <f aca="false">E66-D66</f>
        <v>8.87133314958361</v>
      </c>
      <c r="G66" s="10" t="n">
        <f aca="false">SUMIFS('Proposal tests'!$K$5:$K$784,'Proposal tests'!$A$5:$A$784,$A66,'Proposal tests'!$B$5:$B$784,$C66,'Proposal tests'!$C$5:$C$784,"Enterprise-led")</f>
        <v>124.94758562751</v>
      </c>
      <c r="H66" s="10" t="n">
        <f aca="false">SUMIFS('Proposal tests'!$K$5:$K$784,'Proposal tests'!$A$5:$A$784,$A66,'Proposal tests'!$B$5:$B$784,$C66,'Proposal tests'!$C$5:$C$784,"University-led")</f>
        <v>133.818918777094</v>
      </c>
      <c r="I66" s="10" t="n">
        <f aca="false">SUMIFS('Proposal tests'!$K$5:$K$784,'Proposal tests'!$A$5:$A$784,$A66,'Proposal tests'!$B$5:$B$784,$C66,'Proposal tests'!$C$5:$C$784,"Consumer-only")</f>
        <v>123.564678747757</v>
      </c>
      <c r="J66" s="10" t="n">
        <f aca="false">SUMIFS('Proposal tests'!$K$5:$K$784,'Proposal tests'!$A$5:$A$784,$A66,'Proposal tests'!$B$5:$B$784,$C66,'Proposal tests'!$C$5:$C$784,"AI-only")</f>
        <v>107.269761009283</v>
      </c>
      <c r="K66" s="10" t="n">
        <f aca="false">_xlfn.MAXIFS('Proposal tests'!$K$5:$K$784,'Proposal tests'!$A$5:$A$784,$A66,'Proposal tests'!$B$5:$B$784,$C66)</f>
        <v>153.000320453286</v>
      </c>
      <c r="L66" s="10" t="n">
        <f aca="false">_xlfn.MINIFS('Proposal tests'!$K$5:$K$784,'Proposal tests'!$A$5:$A$784,$A66,'Proposal tests'!$B$5:$B$784,$C66)</f>
        <v>107.269761009283</v>
      </c>
    </row>
    <row r="67" customFormat="false" ht="25.5" hidden="false" customHeight="true" outlineLevel="0" collapsed="false">
      <c r="A67" s="36" t="s">
        <v>560</v>
      </c>
      <c r="B67" s="5" t="s">
        <v>561</v>
      </c>
      <c r="C67" s="8" t="s">
        <v>121</v>
      </c>
      <c r="D67" s="10" t="n">
        <f aca="false">MIN(SUMIFS('Proposal tests'!$K$5:$K$784,'Proposal tests'!$A$5:$A$784,$A67,'Proposal tests'!$B$5:$B$784,$C67,'Proposal tests'!$C$5:$C$784,"Consumer-led"),SUMIFS('Proposal tests'!$K$5:$K$784,'Proposal tests'!$A$5:$A$784,$A67,'Proposal tests'!$B$5:$B$784,$C67,'Proposal tests'!$C$5:$C$784,"Enterprise-led"),SUMIFS('Proposal tests'!$K$5:$K$784,'Proposal tests'!$A$5:$A$784,$A67,'Proposal tests'!$B$5:$B$784,$C67,'Proposal tests'!$C$5:$C$784,"AI-led"),SUMIFS('Proposal tests'!$K$5:$K$784,'Proposal tests'!$A$5:$A$784,$A67,'Proposal tests'!$B$5:$B$784,$C67,'Proposal tests'!$C$5:$C$784,"University-led"))</f>
        <v>106.255632928562</v>
      </c>
      <c r="E67" s="10" t="n">
        <f aca="false">MAX(SUMIFS('Proposal tests'!$K$5:$K$784,'Proposal tests'!$A$5:$A$784,$A67,'Proposal tests'!$B$5:$B$784,$C67,'Proposal tests'!$C$5:$C$784,"Consumer-led"),SUMIFS('Proposal tests'!$K$5:$K$784,'Proposal tests'!$A$5:$A$784,$A67,'Proposal tests'!$B$5:$B$784,$C67,'Proposal tests'!$C$5:$C$784,"Enterprise-led"),SUMIFS('Proposal tests'!$K$5:$K$784,'Proposal tests'!$A$5:$A$784,$A67,'Proposal tests'!$B$5:$B$784,$C67,'Proposal tests'!$C$5:$C$784,"AI-led"),SUMIFS('Proposal tests'!$K$5:$K$784,'Proposal tests'!$A$5:$A$784,$A67,'Proposal tests'!$B$5:$B$784,$C67,'Proposal tests'!$C$5:$C$784,"University-led"))</f>
        <v>127.940577926808</v>
      </c>
      <c r="F67" s="16" t="n">
        <f aca="false">E67-D67</f>
        <v>21.6849449982466</v>
      </c>
      <c r="G67" s="10" t="n">
        <f aca="false">SUMIFS('Proposal tests'!$K$5:$K$784,'Proposal tests'!$A$5:$A$784,$A67,'Proposal tests'!$B$5:$B$784,$C67,'Proposal tests'!$C$5:$C$784,"Enterprise-led")</f>
        <v>109.105726552507</v>
      </c>
      <c r="H67" s="10" t="n">
        <f aca="false">SUMIFS('Proposal tests'!$K$5:$K$784,'Proposal tests'!$A$5:$A$784,$A67,'Proposal tests'!$B$5:$B$784,$C67,'Proposal tests'!$C$5:$C$784,"University-led")</f>
        <v>106.255632928562</v>
      </c>
      <c r="I67" s="10" t="n">
        <f aca="false">SUMIFS('Proposal tests'!$K$5:$K$784,'Proposal tests'!$A$5:$A$784,$A67,'Proposal tests'!$B$5:$B$784,$C67,'Proposal tests'!$C$5:$C$784,"Consumer-only")</f>
        <v>101.842672413368</v>
      </c>
      <c r="J67" s="10" t="n">
        <f aca="false">SUMIFS('Proposal tests'!$K$5:$K$784,'Proposal tests'!$A$5:$A$784,$A67,'Proposal tests'!$B$5:$B$784,$C67,'Proposal tests'!$C$5:$C$784,"AI-only")</f>
        <v>97.5428866723954</v>
      </c>
      <c r="K67" s="10" t="n">
        <f aca="false">_xlfn.MAXIFS('Proposal tests'!$K$5:$K$784,'Proposal tests'!$A$5:$A$784,$A67,'Proposal tests'!$B$5:$B$784,$C67)</f>
        <v>142.519758528891</v>
      </c>
      <c r="L67" s="10" t="n">
        <f aca="false">_xlfn.MINIFS('Proposal tests'!$K$5:$K$784,'Proposal tests'!$A$5:$A$784,$A67,'Proposal tests'!$B$5:$B$784,$C67)</f>
        <v>95.3282211705021</v>
      </c>
    </row>
    <row r="69" customFormat="false" ht="15" hidden="false" customHeight="false" outlineLevel="0" collapsed="false">
      <c r="A69" s="3" t="s">
        <v>562</v>
      </c>
    </row>
    <row r="70" customFormat="false" ht="30" hidden="false" customHeight="true" outlineLevel="0" collapsed="false">
      <c r="A70" s="7" t="s">
        <v>536</v>
      </c>
      <c r="B70" s="7" t="s">
        <v>563</v>
      </c>
      <c r="C70" s="7" t="s">
        <v>564</v>
      </c>
      <c r="D70" s="7" t="s">
        <v>565</v>
      </c>
      <c r="E70" s="7" t="s">
        <v>566</v>
      </c>
      <c r="F70" s="7" t="s">
        <v>567</v>
      </c>
      <c r="G70" s="7" t="s">
        <v>568</v>
      </c>
      <c r="H70" s="7" t="s">
        <v>569</v>
      </c>
      <c r="I70" s="7" t="s">
        <v>570</v>
      </c>
      <c r="J70" s="7" t="s">
        <v>571</v>
      </c>
      <c r="K70" s="7" t="s">
        <v>572</v>
      </c>
      <c r="L70" s="7" t="s">
        <v>573</v>
      </c>
      <c r="M70" s="7" t="s">
        <v>574</v>
      </c>
    </row>
    <row r="71" customFormat="false" ht="15" hidden="false" customHeight="false" outlineLevel="0" collapsed="false">
      <c r="A71" s="4" t="s">
        <v>548</v>
      </c>
      <c r="B71" s="12" t="n">
        <v>10.2083333333333</v>
      </c>
      <c r="C71" s="12" t="n">
        <v>1.04166666666667</v>
      </c>
      <c r="D71" s="12" t="n">
        <v>11.875</v>
      </c>
      <c r="E71" s="12" t="n">
        <v>3.54166666666667</v>
      </c>
      <c r="F71" s="12" t="n">
        <v>2.5</v>
      </c>
      <c r="G71" s="14" t="n">
        <v>0.266233766233766</v>
      </c>
      <c r="H71" s="14" t="n">
        <v>0.025974025974026</v>
      </c>
      <c r="I71" s="14" t="n">
        <v>0.491341991341991</v>
      </c>
      <c r="J71" s="14" t="n">
        <v>0.29004329004329</v>
      </c>
      <c r="K71" s="10" t="n">
        <v>166.472622438717</v>
      </c>
      <c r="L71" s="10" t="n">
        <v>10.4367197611391</v>
      </c>
      <c r="M71" s="10" t="n">
        <v>158.688583494612</v>
      </c>
    </row>
    <row r="72" customFormat="false" ht="15" hidden="false" customHeight="false" outlineLevel="0" collapsed="false">
      <c r="A72" s="4" t="s">
        <v>550</v>
      </c>
      <c r="B72" s="12" t="n">
        <v>10.2083333333333</v>
      </c>
      <c r="C72" s="12" t="n">
        <v>1.25</v>
      </c>
      <c r="D72" s="12" t="n">
        <v>11.6666666666667</v>
      </c>
      <c r="E72" s="12" t="n">
        <v>3.33333333333333</v>
      </c>
      <c r="F72" s="12" t="n">
        <v>2.70833333333333</v>
      </c>
      <c r="G72" s="14" t="n">
        <v>0.277056277056277</v>
      </c>
      <c r="H72" s="14" t="n">
        <v>0.025974025974026</v>
      </c>
      <c r="I72" s="14" t="n">
        <v>0.367965367965368</v>
      </c>
      <c r="J72" s="14" t="n">
        <v>0.300865800865801</v>
      </c>
      <c r="K72" s="10" t="n">
        <v>158.161924826343</v>
      </c>
      <c r="L72" s="10" t="n">
        <v>10.9253778323953</v>
      </c>
      <c r="M72" s="10" t="n">
        <v>150.346280596905</v>
      </c>
    </row>
    <row r="73" customFormat="false" ht="15" hidden="false" customHeight="false" outlineLevel="0" collapsed="false">
      <c r="A73" s="4" t="s">
        <v>552</v>
      </c>
      <c r="B73" s="12" t="n">
        <v>8.75</v>
      </c>
      <c r="C73" s="12" t="n">
        <v>3.95833333333333</v>
      </c>
      <c r="D73" s="12" t="n">
        <v>11.6666666666667</v>
      </c>
      <c r="E73" s="12" t="n">
        <v>3.125</v>
      </c>
      <c r="F73" s="12" t="n">
        <v>2.08333333333333</v>
      </c>
      <c r="G73" s="14" t="n">
        <v>0.164502164502165</v>
      </c>
      <c r="H73" s="14" t="n">
        <v>0.0930735930735931</v>
      </c>
      <c r="I73" s="14" t="n">
        <v>0.452380952380952</v>
      </c>
      <c r="J73" s="14" t="n">
        <v>0.168831168831169</v>
      </c>
      <c r="K73" s="10" t="n">
        <v>166.732330163665</v>
      </c>
      <c r="L73" s="10" t="n">
        <v>11.3641173045482</v>
      </c>
      <c r="M73" s="10" t="n">
        <v>166.732330163665</v>
      </c>
    </row>
    <row r="74" customFormat="false" ht="15" hidden="false" customHeight="false" outlineLevel="0" collapsed="false">
      <c r="A74" s="4" t="s">
        <v>554</v>
      </c>
      <c r="B74" s="12" t="n">
        <v>9.16666666666667</v>
      </c>
      <c r="C74" s="12" t="n">
        <v>3.95833333333333</v>
      </c>
      <c r="D74" s="12" t="n">
        <v>11.25</v>
      </c>
      <c r="E74" s="12" t="n">
        <v>2.5</v>
      </c>
      <c r="F74" s="12" t="n">
        <v>2.29166666666667</v>
      </c>
      <c r="G74" s="14" t="n">
        <v>0.173160173160173</v>
      </c>
      <c r="H74" s="14" t="n">
        <v>0.0930735930735931</v>
      </c>
      <c r="I74" s="14" t="n">
        <v>0.233766233766234</v>
      </c>
      <c r="J74" s="14" t="n">
        <v>0.177489177489178</v>
      </c>
      <c r="K74" s="10" t="n">
        <v>158.600452469794</v>
      </c>
      <c r="L74" s="10" t="n">
        <v>11.4610593516606</v>
      </c>
      <c r="M74" s="10" t="n">
        <v>158.600452469794</v>
      </c>
    </row>
    <row r="75" customFormat="false" ht="15" hidden="false" customHeight="false" outlineLevel="0" collapsed="false">
      <c r="A75" s="4" t="s">
        <v>556</v>
      </c>
      <c r="B75" s="12" t="n">
        <v>8.33333333333333</v>
      </c>
      <c r="C75" s="12" t="n">
        <v>3.95833333333333</v>
      </c>
      <c r="D75" s="12" t="n">
        <v>10.625</v>
      </c>
      <c r="E75" s="12" t="n">
        <v>2.91666666666667</v>
      </c>
      <c r="F75" s="12" t="n">
        <v>3.95833333333333</v>
      </c>
      <c r="G75" s="14" t="n">
        <v>0.136363636363636</v>
      </c>
      <c r="H75" s="14" t="n">
        <v>0.138528138528139</v>
      </c>
      <c r="I75" s="14" t="n">
        <v>0.183982683982684</v>
      </c>
      <c r="J75" s="14" t="n">
        <v>0.324675324675325</v>
      </c>
      <c r="K75" s="10" t="n">
        <v>158.438067179689</v>
      </c>
      <c r="L75" s="10" t="n">
        <v>9.60564436260478</v>
      </c>
      <c r="M75" s="10" t="n">
        <v>157.479888843448</v>
      </c>
    </row>
    <row r="76" customFormat="false" ht="15" hidden="false" customHeight="false" outlineLevel="0" collapsed="false">
      <c r="A76" s="4" t="s">
        <v>558</v>
      </c>
      <c r="B76" s="12" t="n">
        <v>7.91666666666667</v>
      </c>
      <c r="C76" s="12" t="n">
        <v>4.375</v>
      </c>
      <c r="D76" s="12" t="n">
        <v>10.625</v>
      </c>
      <c r="E76" s="12" t="n">
        <v>2.5</v>
      </c>
      <c r="F76" s="12" t="n">
        <v>4.375</v>
      </c>
      <c r="G76" s="14" t="n">
        <v>0.127705627705628</v>
      </c>
      <c r="H76" s="14" t="n">
        <v>0.155844155844156</v>
      </c>
      <c r="I76" s="14" t="n">
        <v>0.173160173160173</v>
      </c>
      <c r="J76" s="14" t="n">
        <v>0.305194805194805</v>
      </c>
      <c r="K76" s="10" t="n">
        <v>158.438067179689</v>
      </c>
      <c r="L76" s="10" t="n">
        <v>9.60564436260478</v>
      </c>
      <c r="M76" s="10" t="n">
        <v>158.340344684304</v>
      </c>
    </row>
    <row r="77" customFormat="false" ht="15" hidden="false" customHeight="false" outlineLevel="0" collapsed="false">
      <c r="A77" s="36" t="s">
        <v>560</v>
      </c>
      <c r="B77" s="31" t="n">
        <v>8.54166666666667</v>
      </c>
      <c r="C77" s="31" t="n">
        <v>4.58333333333333</v>
      </c>
      <c r="D77" s="31" t="n">
        <v>10.8333333333333</v>
      </c>
      <c r="E77" s="31" t="n">
        <v>2.70833333333333</v>
      </c>
      <c r="F77" s="31" t="n">
        <v>2.70833333333333</v>
      </c>
      <c r="G77" s="29" t="n">
        <v>0.12987012987013</v>
      </c>
      <c r="H77" s="29" t="n">
        <v>0.158008658008658</v>
      </c>
      <c r="I77" s="29" t="n">
        <v>0.166666666666667</v>
      </c>
      <c r="J77" s="29" t="n">
        <v>0.257575757575758</v>
      </c>
      <c r="K77" s="30" t="n">
        <v>158.494858127547</v>
      </c>
      <c r="L77" s="30" t="n">
        <v>10.5151910765834</v>
      </c>
      <c r="M77" s="30" t="n">
        <v>158.494858127547</v>
      </c>
    </row>
    <row r="79" customFormat="false" ht="15" hidden="false" customHeight="false" outlineLevel="0" collapsed="false">
      <c r="A79" s="3" t="s">
        <v>575</v>
      </c>
    </row>
    <row r="80" customFormat="false" ht="45" hidden="false" customHeight="true" outlineLevel="0" collapsed="false">
      <c r="A80" s="34" t="s">
        <v>576</v>
      </c>
      <c r="B80" s="5" t="s">
        <v>577</v>
      </c>
      <c r="C80" s="5"/>
      <c r="D80" s="5"/>
      <c r="E80" s="5"/>
      <c r="F80" s="5"/>
      <c r="G80" s="5"/>
      <c r="H80" s="5"/>
      <c r="I80" s="5"/>
      <c r="J80" s="5"/>
      <c r="K80" s="5"/>
      <c r="L80" s="5"/>
      <c r="M80" s="5"/>
    </row>
    <row r="81" customFormat="false" ht="69.75" hidden="false" customHeight="true" outlineLevel="0" collapsed="false">
      <c r="A81" s="34" t="s">
        <v>578</v>
      </c>
      <c r="B81" s="5" t="s">
        <v>579</v>
      </c>
      <c r="C81" s="5"/>
      <c r="D81" s="5"/>
      <c r="E81" s="5"/>
      <c r="F81" s="5"/>
      <c r="G81" s="5"/>
      <c r="H81" s="5"/>
      <c r="I81" s="5"/>
      <c r="J81" s="5"/>
      <c r="K81" s="5"/>
      <c r="L81" s="5"/>
      <c r="M81" s="5"/>
    </row>
    <row r="82" customFormat="false" ht="84" hidden="false" customHeight="true" outlineLevel="0" collapsed="false">
      <c r="A82" s="34" t="s">
        <v>580</v>
      </c>
      <c r="B82" s="5" t="s">
        <v>581</v>
      </c>
      <c r="C82" s="5"/>
      <c r="D82" s="5"/>
      <c r="E82" s="5"/>
      <c r="F82" s="5"/>
      <c r="G82" s="5"/>
      <c r="H82" s="5"/>
      <c r="I82" s="5"/>
      <c r="J82" s="5"/>
      <c r="K82" s="5"/>
      <c r="L82" s="5"/>
      <c r="M82" s="5"/>
    </row>
    <row r="83" customFormat="false" ht="45" hidden="false" customHeight="true" outlineLevel="0" collapsed="false">
      <c r="A83" s="34" t="s">
        <v>582</v>
      </c>
      <c r="B83" s="5" t="s">
        <v>583</v>
      </c>
      <c r="C83" s="5"/>
      <c r="D83" s="5"/>
      <c r="E83" s="5"/>
      <c r="F83" s="5"/>
      <c r="G83" s="5"/>
      <c r="H83" s="5"/>
      <c r="I83" s="5"/>
      <c r="J83" s="5"/>
      <c r="K83" s="5"/>
      <c r="L83" s="5"/>
      <c r="M83" s="5"/>
    </row>
  </sheetData>
  <mergeCells count="18">
    <mergeCell ref="B5:M5"/>
    <mergeCell ref="B6:M6"/>
    <mergeCell ref="B7:M7"/>
    <mergeCell ref="B8:M8"/>
    <mergeCell ref="B9:M9"/>
    <mergeCell ref="B10:M10"/>
    <mergeCell ref="E14:M14"/>
    <mergeCell ref="E15:M15"/>
    <mergeCell ref="E16:M16"/>
    <mergeCell ref="E17:M17"/>
    <mergeCell ref="E18:M18"/>
    <mergeCell ref="E19:M19"/>
    <mergeCell ref="E20:M20"/>
    <mergeCell ref="E21:M21"/>
    <mergeCell ref="B80:M80"/>
    <mergeCell ref="B81:M81"/>
    <mergeCell ref="B82:M82"/>
    <mergeCell ref="B83:M8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77A24"/>
    <pageSetUpPr fitToPage="true"/>
  </sheetPr>
  <dimension ref="A1:S23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6" min="1" style="0" width="9"/>
    <col collapsed="false" customWidth="true" hidden="false" outlineLevel="0" max="7" min="7" style="0" width="24"/>
    <col collapsed="false" customWidth="true" hidden="false" outlineLevel="0" max="19" min="8" style="0" width="10"/>
  </cols>
  <sheetData>
    <row r="1" customFormat="false" ht="17.35" hidden="false" customHeight="false" outlineLevel="0" collapsed="false">
      <c r="A1" s="1" t="s">
        <v>584</v>
      </c>
    </row>
    <row r="2" customFormat="false" ht="15" hidden="false" customHeight="false" outlineLevel="0" collapsed="false">
      <c r="A2" s="2" t="s">
        <v>585</v>
      </c>
    </row>
    <row r="4" customFormat="false" ht="30" hidden="false" customHeight="true" outlineLevel="0" collapsed="false">
      <c r="A4" s="7" t="s">
        <v>37</v>
      </c>
      <c r="B4" s="7" t="s">
        <v>42</v>
      </c>
      <c r="C4" s="7" t="s">
        <v>271</v>
      </c>
      <c r="D4" s="7" t="s">
        <v>272</v>
      </c>
      <c r="E4" s="7" t="s">
        <v>68</v>
      </c>
      <c r="F4" s="7" t="s">
        <v>287</v>
      </c>
      <c r="G4" s="7" t="s">
        <v>159</v>
      </c>
      <c r="H4" s="7" t="s">
        <v>586</v>
      </c>
      <c r="I4" s="7" t="s">
        <v>587</v>
      </c>
      <c r="J4" s="7" t="s">
        <v>588</v>
      </c>
      <c r="K4" s="7" t="s">
        <v>436</v>
      </c>
      <c r="L4" s="7" t="s">
        <v>437</v>
      </c>
      <c r="M4" s="7" t="s">
        <v>589</v>
      </c>
      <c r="N4" s="7" t="s">
        <v>438</v>
      </c>
      <c r="O4" s="7" t="s">
        <v>439</v>
      </c>
      <c r="P4" s="7" t="s">
        <v>441</v>
      </c>
      <c r="Q4" s="7" t="s">
        <v>216</v>
      </c>
      <c r="R4" s="7" t="s">
        <v>177</v>
      </c>
      <c r="S4" s="7" t="s">
        <v>590</v>
      </c>
    </row>
    <row r="5" customFormat="false" ht="15" hidden="false" customHeight="false" outlineLevel="0" collapsed="false">
      <c r="A5" s="37" t="n">
        <v>0</v>
      </c>
      <c r="B5" s="37" t="n">
        <v>0</v>
      </c>
      <c r="C5" s="37" t="n">
        <v>0</v>
      </c>
      <c r="D5" s="37" t="n">
        <v>0</v>
      </c>
      <c r="E5" s="37" t="n">
        <v>0</v>
      </c>
      <c r="F5" s="37" t="n">
        <v>30</v>
      </c>
      <c r="G5" s="37" t="s">
        <v>188</v>
      </c>
      <c r="H5" s="38" t="n">
        <v>198.122874185537</v>
      </c>
      <c r="I5" s="38" t="n">
        <v>194.178992716764</v>
      </c>
      <c r="J5" s="38" t="n">
        <v>176.020291633473</v>
      </c>
      <c r="K5" s="38" t="n">
        <v>192.208420986649</v>
      </c>
      <c r="L5" s="38" t="n">
        <v>238.040074515026</v>
      </c>
      <c r="M5" s="38" t="n">
        <v>89.606825891359</v>
      </c>
      <c r="N5" s="38" t="n">
        <v>64.3925009297698</v>
      </c>
      <c r="O5" s="38" t="n">
        <v>48.3079077786683</v>
      </c>
      <c r="P5" s="37" t="n">
        <v>0</v>
      </c>
      <c r="Q5" s="38" t="n">
        <v>0</v>
      </c>
      <c r="R5" s="38" t="n">
        <v>70.5</v>
      </c>
      <c r="S5" s="37" t="n">
        <v>0</v>
      </c>
    </row>
    <row r="6" customFormat="false" ht="15" hidden="false" customHeight="false" outlineLevel="0" collapsed="false">
      <c r="A6" s="37" t="n">
        <v>0</v>
      </c>
      <c r="B6" s="37" t="n">
        <v>0</v>
      </c>
      <c r="C6" s="37" t="n">
        <v>0</v>
      </c>
      <c r="D6" s="37" t="n">
        <v>0</v>
      </c>
      <c r="E6" s="37" t="n">
        <v>0</v>
      </c>
      <c r="F6" s="37" t="n">
        <v>30</v>
      </c>
      <c r="G6" s="37" t="s">
        <v>192</v>
      </c>
      <c r="H6" s="38" t="n">
        <v>198.122874185537</v>
      </c>
      <c r="I6" s="38" t="n">
        <v>194.180593447735</v>
      </c>
      <c r="J6" s="38" t="n">
        <v>180.049931650767</v>
      </c>
      <c r="K6" s="38" t="n">
        <v>197.464328936347</v>
      </c>
      <c r="L6" s="38" t="n">
        <v>235.652531472699</v>
      </c>
      <c r="M6" s="38" t="n">
        <v>86.6094289711366</v>
      </c>
      <c r="N6" s="38" t="n">
        <v>68.0524052277738</v>
      </c>
      <c r="O6" s="38" t="n">
        <v>51.6001010382297</v>
      </c>
      <c r="P6" s="37" t="n">
        <v>0</v>
      </c>
      <c r="Q6" s="38" t="n">
        <v>0</v>
      </c>
      <c r="R6" s="38" t="n">
        <v>70.5</v>
      </c>
      <c r="S6" s="37" t="n">
        <v>0</v>
      </c>
    </row>
    <row r="7" customFormat="false" ht="15" hidden="false" customHeight="false" outlineLevel="0" collapsed="false">
      <c r="A7" s="37" t="n">
        <v>0</v>
      </c>
      <c r="B7" s="37" t="n">
        <v>0</v>
      </c>
      <c r="C7" s="37" t="n">
        <v>0</v>
      </c>
      <c r="D7" s="37" t="n">
        <v>0</v>
      </c>
      <c r="E7" s="37" t="n">
        <v>0</v>
      </c>
      <c r="F7" s="37" t="n">
        <v>30</v>
      </c>
      <c r="G7" s="37" t="s">
        <v>195</v>
      </c>
      <c r="H7" s="38" t="n">
        <v>198.122874185537</v>
      </c>
      <c r="I7" s="38" t="n">
        <v>194.180586878136</v>
      </c>
      <c r="J7" s="38" t="n">
        <v>175.920809696156</v>
      </c>
      <c r="K7" s="38" t="n">
        <v>188.401164103881</v>
      </c>
      <c r="L7" s="38" t="n">
        <v>240.620878389595</v>
      </c>
      <c r="M7" s="38" t="n">
        <v>89.609417673061</v>
      </c>
      <c r="N7" s="38" t="n">
        <v>62.2130667919892</v>
      </c>
      <c r="O7" s="38" t="n">
        <v>47.3749757894077</v>
      </c>
      <c r="P7" s="37" t="n">
        <v>0</v>
      </c>
      <c r="Q7" s="38" t="n">
        <v>0</v>
      </c>
      <c r="R7" s="38" t="n">
        <v>68.4659142857143</v>
      </c>
      <c r="S7" s="37" t="n">
        <v>0</v>
      </c>
    </row>
    <row r="8" customFormat="false" ht="15" hidden="false" customHeight="false" outlineLevel="0" collapsed="false">
      <c r="A8" s="37" t="n">
        <v>0</v>
      </c>
      <c r="B8" s="37" t="n">
        <v>0</v>
      </c>
      <c r="C8" s="37" t="n">
        <v>0</v>
      </c>
      <c r="D8" s="37" t="n">
        <v>0</v>
      </c>
      <c r="E8" s="37" t="n">
        <v>0</v>
      </c>
      <c r="F8" s="37" t="n">
        <v>30</v>
      </c>
      <c r="G8" s="37" t="s">
        <v>197</v>
      </c>
      <c r="H8" s="38" t="n">
        <v>198.122874185537</v>
      </c>
      <c r="I8" s="38" t="n">
        <v>194.180586878136</v>
      </c>
      <c r="J8" s="38" t="n">
        <v>179.283045979462</v>
      </c>
      <c r="K8" s="38" t="n">
        <v>196.475314762276</v>
      </c>
      <c r="L8" s="38" t="n">
        <v>233.73850586803</v>
      </c>
      <c r="M8" s="38" t="n">
        <v>91.409417673061</v>
      </c>
      <c r="N8" s="38" t="n">
        <v>69.7340711545156</v>
      </c>
      <c r="O8" s="38" t="n">
        <v>52.7528665984635</v>
      </c>
      <c r="P8" s="37" t="n">
        <v>0</v>
      </c>
      <c r="Q8" s="38" t="n">
        <v>0</v>
      </c>
      <c r="R8" s="38" t="n">
        <v>70.5</v>
      </c>
      <c r="S8" s="37" t="n">
        <v>0</v>
      </c>
    </row>
    <row r="9" customFormat="false" ht="15" hidden="false" customHeight="false" outlineLevel="0" collapsed="false">
      <c r="A9" s="37" t="n">
        <v>0</v>
      </c>
      <c r="B9" s="37" t="n">
        <v>0</v>
      </c>
      <c r="C9" s="37" t="n">
        <v>0</v>
      </c>
      <c r="D9" s="37" t="n">
        <v>0</v>
      </c>
      <c r="E9" s="37" t="n">
        <v>0</v>
      </c>
      <c r="F9" s="37" t="n">
        <v>30</v>
      </c>
      <c r="G9" s="37" t="s">
        <v>196</v>
      </c>
      <c r="H9" s="38" t="n">
        <v>198.122874185537</v>
      </c>
      <c r="I9" s="38" t="n">
        <v>194.180586878136</v>
      </c>
      <c r="J9" s="38" t="n">
        <v>180.299837617188</v>
      </c>
      <c r="K9" s="38" t="n">
        <v>197.888330929457</v>
      </c>
      <c r="L9" s="38" t="n">
        <v>241.849680135806</v>
      </c>
      <c r="M9" s="38" t="n">
        <v>90.929417673061</v>
      </c>
      <c r="N9" s="38" t="n">
        <v>73.7743785814641</v>
      </c>
      <c r="O9" s="38" t="n">
        <v>51.7982392197382</v>
      </c>
      <c r="P9" s="37" t="n">
        <v>0</v>
      </c>
      <c r="Q9" s="38" t="n">
        <v>0</v>
      </c>
      <c r="R9" s="38" t="n">
        <v>69.6040571428571</v>
      </c>
      <c r="S9" s="37" t="n">
        <v>1</v>
      </c>
    </row>
    <row r="10" customFormat="false" ht="15" hidden="false" customHeight="false" outlineLevel="0" collapsed="false">
      <c r="A10" s="37" t="n">
        <v>0</v>
      </c>
      <c r="B10" s="37" t="n">
        <v>0</v>
      </c>
      <c r="C10" s="37" t="n">
        <v>0</v>
      </c>
      <c r="D10" s="37" t="n">
        <v>0</v>
      </c>
      <c r="E10" s="37" t="n">
        <v>5</v>
      </c>
      <c r="F10" s="37" t="n">
        <v>25</v>
      </c>
      <c r="G10" s="37" t="s">
        <v>188</v>
      </c>
      <c r="H10" s="38" t="n">
        <v>198.156796827634</v>
      </c>
      <c r="I10" s="38" t="n">
        <v>194.476088408662</v>
      </c>
      <c r="J10" s="38" t="n">
        <v>178.93343545525</v>
      </c>
      <c r="K10" s="38" t="n">
        <v>197.444542027479</v>
      </c>
      <c r="L10" s="38" t="n">
        <v>192.206935688372</v>
      </c>
      <c r="M10" s="38" t="n">
        <v>91.0455130469548</v>
      </c>
      <c r="N10" s="38" t="n">
        <v>72.6974392118116</v>
      </c>
      <c r="O10" s="38" t="n">
        <v>53.823949209614</v>
      </c>
      <c r="P10" s="37" t="n">
        <v>0</v>
      </c>
      <c r="Q10" s="38" t="n">
        <v>0</v>
      </c>
      <c r="R10" s="38" t="n">
        <v>70.5</v>
      </c>
      <c r="S10" s="37" t="n">
        <v>0</v>
      </c>
    </row>
    <row r="11" customFormat="false" ht="15" hidden="false" customHeight="false" outlineLevel="0" collapsed="false">
      <c r="A11" s="37" t="n">
        <v>0</v>
      </c>
      <c r="B11" s="37" t="n">
        <v>0</v>
      </c>
      <c r="C11" s="37" t="n">
        <v>0</v>
      </c>
      <c r="D11" s="37" t="n">
        <v>0</v>
      </c>
      <c r="E11" s="37" t="n">
        <v>5</v>
      </c>
      <c r="F11" s="37" t="n">
        <v>25</v>
      </c>
      <c r="G11" s="37" t="s">
        <v>192</v>
      </c>
      <c r="H11" s="38" t="n">
        <v>198.156796827634</v>
      </c>
      <c r="I11" s="38" t="n">
        <v>194.477659462773</v>
      </c>
      <c r="J11" s="38" t="n">
        <v>182.788091625296</v>
      </c>
      <c r="K11" s="38" t="n">
        <v>202.543940836714</v>
      </c>
      <c r="L11" s="38" t="n">
        <v>200.72916894677</v>
      </c>
      <c r="M11" s="38" t="n">
        <v>88.0480094464604</v>
      </c>
      <c r="N11" s="38" t="n">
        <v>75.4439908090524</v>
      </c>
      <c r="O11" s="38" t="n">
        <v>54.2092172684634</v>
      </c>
      <c r="P11" s="37" t="n">
        <v>0</v>
      </c>
      <c r="Q11" s="38" t="n">
        <v>0</v>
      </c>
      <c r="R11" s="38" t="n">
        <v>70.5</v>
      </c>
      <c r="S11" s="37" t="n">
        <v>0</v>
      </c>
    </row>
    <row r="12" customFormat="false" ht="15" hidden="false" customHeight="false" outlineLevel="0" collapsed="false">
      <c r="A12" s="37" t="n">
        <v>0</v>
      </c>
      <c r="B12" s="37" t="n">
        <v>0</v>
      </c>
      <c r="C12" s="37" t="n">
        <v>0</v>
      </c>
      <c r="D12" s="37" t="n">
        <v>0</v>
      </c>
      <c r="E12" s="37" t="n">
        <v>5</v>
      </c>
      <c r="F12" s="37" t="n">
        <v>25</v>
      </c>
      <c r="G12" s="37" t="s">
        <v>195</v>
      </c>
      <c r="H12" s="38" t="n">
        <v>198.156796827634</v>
      </c>
      <c r="I12" s="38" t="n">
        <v>194.477818118242</v>
      </c>
      <c r="J12" s="38" t="n">
        <v>178.695227421011</v>
      </c>
      <c r="K12" s="38" t="n">
        <v>193.545145872172</v>
      </c>
      <c r="L12" s="38" t="n">
        <v>194.514860157886</v>
      </c>
      <c r="M12" s="38" t="n">
        <v>91.048484562326</v>
      </c>
      <c r="N12" s="38" t="n">
        <v>70.3890467544122</v>
      </c>
      <c r="O12" s="38" t="n">
        <v>53.0626240195033</v>
      </c>
      <c r="P12" s="37" t="n">
        <v>0</v>
      </c>
      <c r="Q12" s="38" t="n">
        <v>0</v>
      </c>
      <c r="R12" s="38" t="n">
        <v>68.4659142857143</v>
      </c>
      <c r="S12" s="37" t="n">
        <v>0</v>
      </c>
    </row>
    <row r="13" customFormat="false" ht="15" hidden="false" customHeight="false" outlineLevel="0" collapsed="false">
      <c r="A13" s="37" t="n">
        <v>0</v>
      </c>
      <c r="B13" s="37" t="n">
        <v>0</v>
      </c>
      <c r="C13" s="37" t="n">
        <v>0</v>
      </c>
      <c r="D13" s="37" t="n">
        <v>0</v>
      </c>
      <c r="E13" s="37" t="n">
        <v>5</v>
      </c>
      <c r="F13" s="37" t="n">
        <v>25</v>
      </c>
      <c r="G13" s="37" t="s">
        <v>197</v>
      </c>
      <c r="H13" s="38" t="n">
        <v>198.156796827634</v>
      </c>
      <c r="I13" s="38" t="n">
        <v>194.485284512827</v>
      </c>
      <c r="J13" s="38" t="n">
        <v>182.597316392639</v>
      </c>
      <c r="K13" s="38" t="n">
        <v>202.445835194904</v>
      </c>
      <c r="L13" s="38" t="n">
        <v>200.295094283465</v>
      </c>
      <c r="M13" s="38" t="n">
        <v>96.2480427862153</v>
      </c>
      <c r="N13" s="38" t="n">
        <v>87.0023012234056</v>
      </c>
      <c r="O13" s="38" t="n">
        <v>59.5227548692633</v>
      </c>
      <c r="P13" s="37" t="n">
        <v>0</v>
      </c>
      <c r="Q13" s="38" t="n">
        <v>0</v>
      </c>
      <c r="R13" s="38" t="n">
        <v>70.5</v>
      </c>
      <c r="S13" s="37" t="n">
        <v>1</v>
      </c>
    </row>
    <row r="14" customFormat="false" ht="15" hidden="false" customHeight="false" outlineLevel="0" collapsed="false">
      <c r="A14" s="37" t="n">
        <v>0</v>
      </c>
      <c r="B14" s="37" t="n">
        <v>0</v>
      </c>
      <c r="C14" s="37" t="n">
        <v>0</v>
      </c>
      <c r="D14" s="37" t="n">
        <v>0</v>
      </c>
      <c r="E14" s="37" t="n">
        <v>5</v>
      </c>
      <c r="F14" s="37" t="n">
        <v>25</v>
      </c>
      <c r="G14" s="37" t="s">
        <v>196</v>
      </c>
      <c r="H14" s="38" t="n">
        <v>198.156796827634</v>
      </c>
      <c r="I14" s="38" t="n">
        <v>194.477660285656</v>
      </c>
      <c r="J14" s="38" t="n">
        <v>183.024280509435</v>
      </c>
      <c r="K14" s="38" t="n">
        <v>202.948449447068</v>
      </c>
      <c r="L14" s="38" t="n">
        <v>206.909798653417</v>
      </c>
      <c r="M14" s="38" t="n">
        <v>93.0400780149798</v>
      </c>
      <c r="N14" s="38" t="n">
        <v>82.8461932306184</v>
      </c>
      <c r="O14" s="38" t="n">
        <v>55.8746139824902</v>
      </c>
      <c r="P14" s="37" t="n">
        <v>0</v>
      </c>
      <c r="Q14" s="38" t="n">
        <v>0</v>
      </c>
      <c r="R14" s="38" t="n">
        <v>69.6040571428571</v>
      </c>
      <c r="S14" s="37" t="n">
        <v>0</v>
      </c>
    </row>
    <row r="15" customFormat="false" ht="15" hidden="false" customHeight="false" outlineLevel="0" collapsed="false">
      <c r="A15" s="37" t="n">
        <v>0</v>
      </c>
      <c r="B15" s="37" t="n">
        <v>0</v>
      </c>
      <c r="C15" s="37" t="n">
        <v>0</v>
      </c>
      <c r="D15" s="37" t="n">
        <v>0</v>
      </c>
      <c r="E15" s="37" t="n">
        <v>10</v>
      </c>
      <c r="F15" s="37" t="n">
        <v>20</v>
      </c>
      <c r="G15" s="37" t="s">
        <v>188</v>
      </c>
      <c r="H15" s="38" t="n">
        <v>198.189688380756</v>
      </c>
      <c r="I15" s="38" t="n">
        <v>194.795241762407</v>
      </c>
      <c r="J15" s="38" t="n">
        <v>181.300245217583</v>
      </c>
      <c r="K15" s="38" t="n">
        <v>202.068338519185</v>
      </c>
      <c r="L15" s="38" t="n">
        <v>157.009610679211</v>
      </c>
      <c r="M15" s="38" t="n">
        <v>92.43570865199</v>
      </c>
      <c r="N15" s="38" t="n">
        <v>78.9942332863713</v>
      </c>
      <c r="O15" s="38" t="n">
        <v>54.6560747886108</v>
      </c>
      <c r="P15" s="37" t="n">
        <v>0</v>
      </c>
      <c r="Q15" s="38" t="n">
        <v>0</v>
      </c>
      <c r="R15" s="38" t="n">
        <v>70.5</v>
      </c>
      <c r="S15" s="37" t="n">
        <v>0</v>
      </c>
    </row>
    <row r="16" customFormat="false" ht="15" hidden="false" customHeight="false" outlineLevel="0" collapsed="false">
      <c r="A16" s="37" t="n">
        <v>0</v>
      </c>
      <c r="B16" s="37" t="n">
        <v>0</v>
      </c>
      <c r="C16" s="37" t="n">
        <v>0</v>
      </c>
      <c r="D16" s="37" t="n">
        <v>0</v>
      </c>
      <c r="E16" s="37" t="n">
        <v>10</v>
      </c>
      <c r="F16" s="37" t="n">
        <v>20</v>
      </c>
      <c r="G16" s="37" t="s">
        <v>192</v>
      </c>
      <c r="H16" s="38" t="n">
        <v>198.189688380756</v>
      </c>
      <c r="I16" s="38" t="n">
        <v>194.796782220026</v>
      </c>
      <c r="J16" s="38" t="n">
        <v>185.120533511943</v>
      </c>
      <c r="K16" s="38" t="n">
        <v>207.118067988909</v>
      </c>
      <c r="L16" s="38" t="n">
        <v>165.300255448024</v>
      </c>
      <c r="M16" s="38" t="n">
        <v>89.4381402218697</v>
      </c>
      <c r="N16" s="38" t="n">
        <v>81.5871777068399</v>
      </c>
      <c r="O16" s="38" t="n">
        <v>55.2696050956449</v>
      </c>
      <c r="P16" s="37" t="n">
        <v>0</v>
      </c>
      <c r="Q16" s="38" t="n">
        <v>0</v>
      </c>
      <c r="R16" s="38" t="n">
        <v>70.5</v>
      </c>
      <c r="S16" s="37" t="n">
        <v>0</v>
      </c>
    </row>
    <row r="17" customFormat="false" ht="15" hidden="false" customHeight="false" outlineLevel="0" collapsed="false">
      <c r="A17" s="37" t="n">
        <v>0</v>
      </c>
      <c r="B17" s="37" t="n">
        <v>0</v>
      </c>
      <c r="C17" s="37" t="n">
        <v>0</v>
      </c>
      <c r="D17" s="37" t="n">
        <v>0</v>
      </c>
      <c r="E17" s="37" t="n">
        <v>10</v>
      </c>
      <c r="F17" s="37" t="n">
        <v>20</v>
      </c>
      <c r="G17" s="37" t="s">
        <v>195</v>
      </c>
      <c r="H17" s="38" t="n">
        <v>198.189688380756</v>
      </c>
      <c r="I17" s="38" t="n">
        <v>194.797761463863</v>
      </c>
      <c r="J17" s="38" t="n">
        <v>181.112050499657</v>
      </c>
      <c r="K17" s="38" t="n">
        <v>198.242496759134</v>
      </c>
      <c r="L17" s="38" t="n">
        <v>159.212211044848</v>
      </c>
      <c r="M17" s="38" t="n">
        <v>92.4408159309921</v>
      </c>
      <c r="N17" s="38" t="n">
        <v>76.9128220744651</v>
      </c>
      <c r="O17" s="38" t="n">
        <v>54.2071618879302</v>
      </c>
      <c r="P17" s="37" t="n">
        <v>0</v>
      </c>
      <c r="Q17" s="38" t="n">
        <v>0</v>
      </c>
      <c r="R17" s="38" t="n">
        <v>68.4659142857143</v>
      </c>
      <c r="S17" s="37" t="n">
        <v>0</v>
      </c>
    </row>
    <row r="18" customFormat="false" ht="15" hidden="false" customHeight="false" outlineLevel="0" collapsed="false">
      <c r="A18" s="37" t="n">
        <v>0</v>
      </c>
      <c r="B18" s="37" t="n">
        <v>0</v>
      </c>
      <c r="C18" s="37" t="n">
        <v>0</v>
      </c>
      <c r="D18" s="37" t="n">
        <v>0</v>
      </c>
      <c r="E18" s="37" t="n">
        <v>10</v>
      </c>
      <c r="F18" s="37" t="n">
        <v>20</v>
      </c>
      <c r="G18" s="37" t="s">
        <v>197</v>
      </c>
      <c r="H18" s="38" t="n">
        <v>198.189688380756</v>
      </c>
      <c r="I18" s="38" t="n">
        <v>194.822250384881</v>
      </c>
      <c r="J18" s="38" t="n">
        <v>185.809647849235</v>
      </c>
      <c r="K18" s="38" t="n">
        <v>208.310878974911</v>
      </c>
      <c r="L18" s="38" t="n">
        <v>166.912727395155</v>
      </c>
      <c r="M18" s="38" t="n">
        <v>100.418290860838</v>
      </c>
      <c r="N18" s="38" t="n">
        <v>101.491329580468</v>
      </c>
      <c r="O18" s="38" t="n">
        <v>62.0921050664466</v>
      </c>
      <c r="P18" s="37" t="n">
        <v>0</v>
      </c>
      <c r="Q18" s="38" t="n">
        <v>0</v>
      </c>
      <c r="R18" s="38" t="n">
        <v>70.5</v>
      </c>
      <c r="S18" s="37" t="n">
        <v>1</v>
      </c>
    </row>
    <row r="19" customFormat="false" ht="15" hidden="false" customHeight="false" outlineLevel="0" collapsed="false">
      <c r="A19" s="37" t="n">
        <v>0</v>
      </c>
      <c r="B19" s="37" t="n">
        <v>0</v>
      </c>
      <c r="C19" s="37" t="n">
        <v>0</v>
      </c>
      <c r="D19" s="37" t="n">
        <v>0</v>
      </c>
      <c r="E19" s="37" t="n">
        <v>10</v>
      </c>
      <c r="F19" s="37" t="n">
        <v>20</v>
      </c>
      <c r="G19" s="37" t="s">
        <v>196</v>
      </c>
      <c r="H19" s="38" t="n">
        <v>198.189688380756</v>
      </c>
      <c r="I19" s="38" t="n">
        <v>194.79688700151</v>
      </c>
      <c r="J19" s="38" t="n">
        <v>185.357695695778</v>
      </c>
      <c r="K19" s="38" t="n">
        <v>207.524061681948</v>
      </c>
      <c r="L19" s="38" t="n">
        <v>171.485410888297</v>
      </c>
      <c r="M19" s="38" t="n">
        <v>94.9680877102419</v>
      </c>
      <c r="N19" s="38" t="n">
        <v>90.3037881340649</v>
      </c>
      <c r="O19" s="38" t="n">
        <v>57.4478413363103</v>
      </c>
      <c r="P19" s="37" t="n">
        <v>0</v>
      </c>
      <c r="Q19" s="38" t="n">
        <v>0</v>
      </c>
      <c r="R19" s="38" t="n">
        <v>69.6040571428571</v>
      </c>
      <c r="S19" s="37" t="n">
        <v>0</v>
      </c>
    </row>
    <row r="20" customFormat="false" ht="15" hidden="false" customHeight="false" outlineLevel="0" collapsed="false">
      <c r="A20" s="37" t="n">
        <v>0</v>
      </c>
      <c r="B20" s="37" t="n">
        <v>0</v>
      </c>
      <c r="C20" s="37" t="n">
        <v>0</v>
      </c>
      <c r="D20" s="37" t="n">
        <v>0</v>
      </c>
      <c r="E20" s="37" t="n">
        <v>15</v>
      </c>
      <c r="F20" s="37" t="n">
        <v>15</v>
      </c>
      <c r="G20" s="37" t="s">
        <v>188</v>
      </c>
      <c r="H20" s="38" t="n">
        <v>198.221573380422</v>
      </c>
      <c r="I20" s="38" t="n">
        <v>195.05213946536</v>
      </c>
      <c r="J20" s="38" t="n">
        <v>183.097845710581</v>
      </c>
      <c r="K20" s="38" t="n">
        <v>205.655235919948</v>
      </c>
      <c r="L20" s="38" t="n">
        <v>120.791916059184</v>
      </c>
      <c r="M20" s="38" t="n">
        <v>93.5719333661645</v>
      </c>
      <c r="N20" s="38" t="n">
        <v>83.6248890246832</v>
      </c>
      <c r="O20" s="38" t="n">
        <v>54.514694315167</v>
      </c>
      <c r="P20" s="37" t="n">
        <v>0</v>
      </c>
      <c r="Q20" s="38" t="n">
        <v>0</v>
      </c>
      <c r="R20" s="38" t="n">
        <v>70.5</v>
      </c>
      <c r="S20" s="37" t="n">
        <v>0</v>
      </c>
    </row>
    <row r="21" customFormat="false" ht="15" hidden="false" customHeight="false" outlineLevel="0" collapsed="false">
      <c r="A21" s="37" t="n">
        <v>0</v>
      </c>
      <c r="B21" s="37" t="n">
        <v>0</v>
      </c>
      <c r="C21" s="37" t="n">
        <v>0</v>
      </c>
      <c r="D21" s="37" t="n">
        <v>0</v>
      </c>
      <c r="E21" s="37" t="n">
        <v>15</v>
      </c>
      <c r="F21" s="37" t="n">
        <v>15</v>
      </c>
      <c r="G21" s="37" t="s">
        <v>192</v>
      </c>
      <c r="H21" s="38" t="n">
        <v>198.221573380422</v>
      </c>
      <c r="I21" s="38" t="n">
        <v>195.053657612134</v>
      </c>
      <c r="J21" s="38" t="n">
        <v>186.863437603541</v>
      </c>
      <c r="K21" s="38" t="n">
        <v>210.629411108369</v>
      </c>
      <c r="L21" s="38" t="n">
        <v>128.808694343136</v>
      </c>
      <c r="M21" s="38" t="n">
        <v>90.5743535846946</v>
      </c>
      <c r="N21" s="38" t="n">
        <v>86.0503470707867</v>
      </c>
      <c r="O21" s="38" t="n">
        <v>55.483584010059</v>
      </c>
      <c r="P21" s="37" t="n">
        <v>0</v>
      </c>
      <c r="Q21" s="38" t="n">
        <v>0</v>
      </c>
      <c r="R21" s="38" t="n">
        <v>70.5</v>
      </c>
      <c r="S21" s="37" t="n">
        <v>0</v>
      </c>
    </row>
    <row r="22" customFormat="false" ht="15" hidden="false" customHeight="false" outlineLevel="0" collapsed="false">
      <c r="A22" s="37" t="n">
        <v>0</v>
      </c>
      <c r="B22" s="37" t="n">
        <v>0</v>
      </c>
      <c r="C22" s="37" t="n">
        <v>0</v>
      </c>
      <c r="D22" s="37" t="n">
        <v>0</v>
      </c>
      <c r="E22" s="37" t="n">
        <v>15</v>
      </c>
      <c r="F22" s="37" t="n">
        <v>15</v>
      </c>
      <c r="G22" s="37" t="s">
        <v>195</v>
      </c>
      <c r="H22" s="38" t="n">
        <v>198.221573380422</v>
      </c>
      <c r="I22" s="38" t="n">
        <v>195.056088793947</v>
      </c>
      <c r="J22" s="38" t="n">
        <v>182.970517396264</v>
      </c>
      <c r="K22" s="38" t="n">
        <v>201.923055010743</v>
      </c>
      <c r="L22" s="38" t="n">
        <v>122.892769296457</v>
      </c>
      <c r="M22" s="38" t="n">
        <v>93.5808808518296</v>
      </c>
      <c r="N22" s="38" t="n">
        <v>81.7191050579268</v>
      </c>
      <c r="O22" s="38" t="n">
        <v>54.4280340981618</v>
      </c>
      <c r="P22" s="37" t="n">
        <v>0</v>
      </c>
      <c r="Q22" s="38" t="n">
        <v>0</v>
      </c>
      <c r="R22" s="38" t="n">
        <v>68.4659142857143</v>
      </c>
      <c r="S22" s="37" t="n">
        <v>0</v>
      </c>
    </row>
    <row r="23" customFormat="false" ht="15" hidden="false" customHeight="false" outlineLevel="0" collapsed="false">
      <c r="A23" s="37" t="n">
        <v>0</v>
      </c>
      <c r="B23" s="37" t="n">
        <v>0</v>
      </c>
      <c r="C23" s="37" t="n">
        <v>0</v>
      </c>
      <c r="D23" s="37" t="n">
        <v>0</v>
      </c>
      <c r="E23" s="37" t="n">
        <v>15</v>
      </c>
      <c r="F23" s="37" t="n">
        <v>15</v>
      </c>
      <c r="G23" s="37" t="s">
        <v>197</v>
      </c>
      <c r="H23" s="38" t="n">
        <v>198.221573380422</v>
      </c>
      <c r="I23" s="38" t="n">
        <v>195.095252068617</v>
      </c>
      <c r="J23" s="38" t="n">
        <v>188.230557723901</v>
      </c>
      <c r="K23" s="38" t="n">
        <v>212.820362083824</v>
      </c>
      <c r="L23" s="38" t="n">
        <v>131.937005373445</v>
      </c>
      <c r="M23" s="38" t="n">
        <v>103.317407761028</v>
      </c>
      <c r="N23" s="38" t="n">
        <v>108.139247262794</v>
      </c>
      <c r="O23" s="38" t="n">
        <v>62.8033051734868</v>
      </c>
      <c r="P23" s="37" t="n">
        <v>0</v>
      </c>
      <c r="Q23" s="38" t="n">
        <v>0</v>
      </c>
      <c r="R23" s="38" t="n">
        <v>70.5</v>
      </c>
      <c r="S23" s="37" t="n">
        <v>1</v>
      </c>
    </row>
    <row r="24" customFormat="false" ht="15" hidden="false" customHeight="false" outlineLevel="0" collapsed="false">
      <c r="A24" s="37" t="n">
        <v>0</v>
      </c>
      <c r="B24" s="37" t="n">
        <v>0</v>
      </c>
      <c r="C24" s="37" t="n">
        <v>0</v>
      </c>
      <c r="D24" s="37" t="n">
        <v>0</v>
      </c>
      <c r="E24" s="37" t="n">
        <v>15</v>
      </c>
      <c r="F24" s="37" t="n">
        <v>15</v>
      </c>
      <c r="G24" s="37" t="s">
        <v>196</v>
      </c>
      <c r="H24" s="38" t="n">
        <v>198.221573380422</v>
      </c>
      <c r="I24" s="38" t="n">
        <v>195.053859847038</v>
      </c>
      <c r="J24" s="38" t="n">
        <v>187.099030161255</v>
      </c>
      <c r="K24" s="38" t="n">
        <v>211.036519482674</v>
      </c>
      <c r="L24" s="38" t="n">
        <v>134.997868689023</v>
      </c>
      <c r="M24" s="38" t="n">
        <v>96.4397028389994</v>
      </c>
      <c r="N24" s="38" t="n">
        <v>94.7773476867451</v>
      </c>
      <c r="O24" s="38" t="n">
        <v>57.7068106482754</v>
      </c>
      <c r="P24" s="37" t="n">
        <v>0</v>
      </c>
      <c r="Q24" s="38" t="n">
        <v>0</v>
      </c>
      <c r="R24" s="38" t="n">
        <v>69.6040571428571</v>
      </c>
      <c r="S24" s="37" t="n">
        <v>0</v>
      </c>
    </row>
    <row r="25" customFormat="false" ht="15" hidden="false" customHeight="false" outlineLevel="0" collapsed="false">
      <c r="A25" s="37" t="n">
        <v>0</v>
      </c>
      <c r="B25" s="37" t="n">
        <v>0</v>
      </c>
      <c r="C25" s="37" t="n">
        <v>0</v>
      </c>
      <c r="D25" s="37" t="n">
        <v>0</v>
      </c>
      <c r="E25" s="37" t="n">
        <v>20</v>
      </c>
      <c r="F25" s="37" t="n">
        <v>10</v>
      </c>
      <c r="G25" s="37" t="s">
        <v>188</v>
      </c>
      <c r="H25" s="38" t="n">
        <v>198.253313064889</v>
      </c>
      <c r="I25" s="38" t="n">
        <v>195.302981907473</v>
      </c>
      <c r="J25" s="38" t="n">
        <v>184.788689108086</v>
      </c>
      <c r="K25" s="38" t="n">
        <v>209.098550848363</v>
      </c>
      <c r="L25" s="38" t="n">
        <v>84.4682675570384</v>
      </c>
      <c r="M25" s="38" t="n">
        <v>94.6950839791244</v>
      </c>
      <c r="N25" s="38" t="n">
        <v>87.855758337476</v>
      </c>
      <c r="O25" s="38" t="n">
        <v>54.128524161397</v>
      </c>
      <c r="P25" s="37" t="n">
        <v>0</v>
      </c>
      <c r="Q25" s="38" t="n">
        <v>0</v>
      </c>
      <c r="R25" s="38" t="n">
        <v>70.5</v>
      </c>
      <c r="S25" s="37" t="n">
        <v>0</v>
      </c>
    </row>
    <row r="26" customFormat="false" ht="15" hidden="false" customHeight="false" outlineLevel="0" collapsed="false">
      <c r="A26" s="37" t="n">
        <v>0</v>
      </c>
      <c r="B26" s="37" t="n">
        <v>0</v>
      </c>
      <c r="C26" s="37" t="n">
        <v>0</v>
      </c>
      <c r="D26" s="37" t="n">
        <v>0</v>
      </c>
      <c r="E26" s="37" t="n">
        <v>20</v>
      </c>
      <c r="F26" s="37" t="n">
        <v>10</v>
      </c>
      <c r="G26" s="37" t="s">
        <v>192</v>
      </c>
      <c r="H26" s="38" t="n">
        <v>198.253313064889</v>
      </c>
      <c r="I26" s="38" t="n">
        <v>195.304482977286</v>
      </c>
      <c r="J26" s="38" t="n">
        <v>188.4801324145</v>
      </c>
      <c r="K26" s="38" t="n">
        <v>213.972484656545</v>
      </c>
      <c r="L26" s="38" t="n">
        <v>92.14888674918</v>
      </c>
      <c r="M26" s="38" t="n">
        <v>91.6975354865625</v>
      </c>
      <c r="N26" s="38" t="n">
        <v>90.0798877748569</v>
      </c>
      <c r="O26" s="38" t="n">
        <v>55.1918703020898</v>
      </c>
      <c r="P26" s="37" t="n">
        <v>0</v>
      </c>
      <c r="Q26" s="38" t="n">
        <v>0</v>
      </c>
      <c r="R26" s="38" t="n">
        <v>70.5</v>
      </c>
      <c r="S26" s="37" t="n">
        <v>0</v>
      </c>
    </row>
    <row r="27" customFormat="false" ht="15" hidden="false" customHeight="false" outlineLevel="0" collapsed="false">
      <c r="A27" s="37" t="n">
        <v>0</v>
      </c>
      <c r="B27" s="37" t="n">
        <v>0</v>
      </c>
      <c r="C27" s="37" t="n">
        <v>0</v>
      </c>
      <c r="D27" s="37" t="n">
        <v>0</v>
      </c>
      <c r="E27" s="37" t="n">
        <v>20</v>
      </c>
      <c r="F27" s="37" t="n">
        <v>10</v>
      </c>
      <c r="G27" s="37" t="s">
        <v>195</v>
      </c>
      <c r="H27" s="38" t="n">
        <v>198.253313064889</v>
      </c>
      <c r="I27" s="38" t="n">
        <v>195.308982204658</v>
      </c>
      <c r="J27" s="38" t="n">
        <v>184.704155956836</v>
      </c>
      <c r="K27" s="38" t="n">
        <v>205.441747650825</v>
      </c>
      <c r="L27" s="38" t="n">
        <v>86.4108393844177</v>
      </c>
      <c r="M27" s="38" t="n">
        <v>94.7095151204691</v>
      </c>
      <c r="N27" s="38" t="n">
        <v>85.9709047931537</v>
      </c>
      <c r="O27" s="38" t="n">
        <v>54.3167828776218</v>
      </c>
      <c r="P27" s="37" t="n">
        <v>0</v>
      </c>
      <c r="Q27" s="38" t="n">
        <v>0</v>
      </c>
      <c r="R27" s="38" t="n">
        <v>68.4657275200778</v>
      </c>
      <c r="S27" s="37" t="n">
        <v>0</v>
      </c>
    </row>
    <row r="28" customFormat="false" ht="15" hidden="false" customHeight="false" outlineLevel="0" collapsed="false">
      <c r="A28" s="37" t="n">
        <v>0</v>
      </c>
      <c r="B28" s="37" t="n">
        <v>0</v>
      </c>
      <c r="C28" s="37" t="n">
        <v>0</v>
      </c>
      <c r="D28" s="37" t="n">
        <v>0</v>
      </c>
      <c r="E28" s="37" t="n">
        <v>20</v>
      </c>
      <c r="F28" s="37" t="n">
        <v>10</v>
      </c>
      <c r="G28" s="37" t="s">
        <v>197</v>
      </c>
      <c r="H28" s="38" t="n">
        <v>198.253313064889</v>
      </c>
      <c r="I28" s="38" t="n">
        <v>195.365547584519</v>
      </c>
      <c r="J28" s="38" t="n">
        <v>190.388080393824</v>
      </c>
      <c r="K28" s="38" t="n">
        <v>217.041317623674</v>
      </c>
      <c r="L28" s="38" t="n">
        <v>101.294100174107</v>
      </c>
      <c r="M28" s="38" t="n">
        <v>106.221671665564</v>
      </c>
      <c r="N28" s="38" t="n">
        <v>113.591609315421</v>
      </c>
      <c r="O28" s="38" t="n">
        <v>62.987104800398</v>
      </c>
      <c r="P28" s="37" t="n">
        <v>0</v>
      </c>
      <c r="Q28" s="38" t="n">
        <v>0</v>
      </c>
      <c r="R28" s="38" t="n">
        <v>70.5</v>
      </c>
      <c r="S28" s="37" t="n">
        <v>1</v>
      </c>
    </row>
    <row r="29" customFormat="false" ht="15" hidden="false" customHeight="false" outlineLevel="0" collapsed="false">
      <c r="A29" s="37" t="n">
        <v>0</v>
      </c>
      <c r="B29" s="37" t="n">
        <v>0</v>
      </c>
      <c r="C29" s="37" t="n">
        <v>0</v>
      </c>
      <c r="D29" s="37" t="n">
        <v>0</v>
      </c>
      <c r="E29" s="37" t="n">
        <v>20</v>
      </c>
      <c r="F29" s="37" t="n">
        <v>10</v>
      </c>
      <c r="G29" s="37" t="s">
        <v>196</v>
      </c>
      <c r="H29" s="38" t="n">
        <v>198.253313064889</v>
      </c>
      <c r="I29" s="38" t="n">
        <v>195.304741934769</v>
      </c>
      <c r="J29" s="38" t="n">
        <v>188.702821998024</v>
      </c>
      <c r="K29" s="38" t="n">
        <v>214.368242707061</v>
      </c>
      <c r="L29" s="38" t="n">
        <v>98.3295919134099</v>
      </c>
      <c r="M29" s="38" t="n">
        <v>97.8969511634033</v>
      </c>
      <c r="N29" s="38" t="n">
        <v>98.6734571456611</v>
      </c>
      <c r="O29" s="38" t="n">
        <v>57.2649927554309</v>
      </c>
      <c r="P29" s="37" t="n">
        <v>0</v>
      </c>
      <c r="Q29" s="38" t="n">
        <v>0</v>
      </c>
      <c r="R29" s="38" t="n">
        <v>69.6040571428571</v>
      </c>
      <c r="S29" s="37" t="n">
        <v>0</v>
      </c>
    </row>
    <row r="30" customFormat="false" ht="15" hidden="false" customHeight="false" outlineLevel="0" collapsed="false">
      <c r="A30" s="37" t="n">
        <v>0</v>
      </c>
      <c r="B30" s="37" t="n">
        <v>0</v>
      </c>
      <c r="C30" s="37" t="n">
        <v>0</v>
      </c>
      <c r="D30" s="37" t="n">
        <v>0</v>
      </c>
      <c r="E30" s="37" t="n">
        <v>25</v>
      </c>
      <c r="F30" s="37" t="n">
        <v>5</v>
      </c>
      <c r="G30" s="37" t="s">
        <v>188</v>
      </c>
      <c r="H30" s="38" t="n">
        <v>198.270271336079</v>
      </c>
      <c r="I30" s="38" t="n">
        <v>195.43379169181</v>
      </c>
      <c r="J30" s="38" t="n">
        <v>185.602536244616</v>
      </c>
      <c r="K30" s="38" t="n">
        <v>210.808478828157</v>
      </c>
      <c r="L30" s="38" t="n">
        <v>46.2872723425596</v>
      </c>
      <c r="M30" s="38" t="n">
        <v>95.2755648543709</v>
      </c>
      <c r="N30" s="38" t="n">
        <v>89.7543136002843</v>
      </c>
      <c r="O30" s="38" t="n">
        <v>53.2424862793222</v>
      </c>
      <c r="P30" s="37" t="n">
        <v>0</v>
      </c>
      <c r="Q30" s="38" t="n">
        <v>0</v>
      </c>
      <c r="R30" s="38" t="n">
        <v>70.5</v>
      </c>
      <c r="S30" s="37" t="n">
        <v>0</v>
      </c>
    </row>
    <row r="31" customFormat="false" ht="15" hidden="false" customHeight="false" outlineLevel="0" collapsed="false">
      <c r="A31" s="37" t="n">
        <v>0</v>
      </c>
      <c r="B31" s="37" t="n">
        <v>0</v>
      </c>
      <c r="C31" s="37" t="n">
        <v>0</v>
      </c>
      <c r="D31" s="37" t="n">
        <v>0</v>
      </c>
      <c r="E31" s="37" t="n">
        <v>25</v>
      </c>
      <c r="F31" s="37" t="n">
        <v>5</v>
      </c>
      <c r="G31" s="37" t="s">
        <v>192</v>
      </c>
      <c r="H31" s="38" t="n">
        <v>198.270271336079</v>
      </c>
      <c r="I31" s="38" t="n">
        <v>195.435293784872</v>
      </c>
      <c r="J31" s="38" t="n">
        <v>189.26210709196</v>
      </c>
      <c r="K31" s="38" t="n">
        <v>215.6384257717</v>
      </c>
      <c r="L31" s="38" t="n">
        <v>53.8134353211945</v>
      </c>
      <c r="M31" s="38" t="n">
        <v>92.2781242314668</v>
      </c>
      <c r="N31" s="38" t="n">
        <v>91.8987456363742</v>
      </c>
      <c r="O31" s="38" t="n">
        <v>54.3533774196147</v>
      </c>
      <c r="P31" s="37" t="n">
        <v>0</v>
      </c>
      <c r="Q31" s="38" t="n">
        <v>0</v>
      </c>
      <c r="R31" s="38" t="n">
        <v>70.5</v>
      </c>
      <c r="S31" s="37" t="n">
        <v>0</v>
      </c>
    </row>
    <row r="32" customFormat="false" ht="15" hidden="false" customHeight="false" outlineLevel="0" collapsed="false">
      <c r="A32" s="37" t="n">
        <v>0</v>
      </c>
      <c r="B32" s="37" t="n">
        <v>0</v>
      </c>
      <c r="C32" s="37" t="n">
        <v>0</v>
      </c>
      <c r="D32" s="37" t="n">
        <v>0</v>
      </c>
      <c r="E32" s="37" t="n">
        <v>25</v>
      </c>
      <c r="F32" s="37" t="n">
        <v>5</v>
      </c>
      <c r="G32" s="37" t="s">
        <v>195</v>
      </c>
      <c r="H32" s="38" t="n">
        <v>198.270271336079</v>
      </c>
      <c r="I32" s="38" t="n">
        <v>195.441000158335</v>
      </c>
      <c r="J32" s="38" t="n">
        <v>185.499309923532</v>
      </c>
      <c r="K32" s="38" t="n">
        <v>207.115923246454</v>
      </c>
      <c r="L32" s="38" t="n">
        <v>48.038334687926</v>
      </c>
      <c r="M32" s="38" t="n">
        <v>95.2931295512054</v>
      </c>
      <c r="N32" s="38" t="n">
        <v>87.8350286496533</v>
      </c>
      <c r="O32" s="38" t="n">
        <v>53.5247434681778</v>
      </c>
      <c r="P32" s="37" t="n">
        <v>0</v>
      </c>
      <c r="Q32" s="38" t="n">
        <v>0</v>
      </c>
      <c r="R32" s="38" t="n">
        <v>68.4517234324416</v>
      </c>
      <c r="S32" s="37" t="n">
        <v>0</v>
      </c>
    </row>
    <row r="33" customFormat="false" ht="15" hidden="false" customHeight="false" outlineLevel="0" collapsed="false">
      <c r="A33" s="37" t="n">
        <v>0</v>
      </c>
      <c r="B33" s="37" t="n">
        <v>0</v>
      </c>
      <c r="C33" s="37" t="n">
        <v>0</v>
      </c>
      <c r="D33" s="37" t="n">
        <v>0</v>
      </c>
      <c r="E33" s="37" t="n">
        <v>25</v>
      </c>
      <c r="F33" s="37" t="n">
        <v>5</v>
      </c>
      <c r="G33" s="37" t="s">
        <v>197</v>
      </c>
      <c r="H33" s="38" t="n">
        <v>198.270271336079</v>
      </c>
      <c r="I33" s="38" t="n">
        <v>195.509341258161</v>
      </c>
      <c r="J33" s="38" t="n">
        <v>189.847551432368</v>
      </c>
      <c r="K33" s="38" t="n">
        <v>217.046854839795</v>
      </c>
      <c r="L33" s="38" t="n">
        <v>70.5468548397954</v>
      </c>
      <c r="M33" s="38" t="n">
        <v>107.854502009347</v>
      </c>
      <c r="N33" s="38" t="n">
        <v>111.113195286895</v>
      </c>
      <c r="O33" s="38" t="n">
        <v>61.4429669362331</v>
      </c>
      <c r="P33" s="37" t="n">
        <v>0</v>
      </c>
      <c r="Q33" s="38" t="n">
        <v>0</v>
      </c>
      <c r="R33" s="38" t="n">
        <v>70.5</v>
      </c>
      <c r="S33" s="37" t="n">
        <v>1</v>
      </c>
    </row>
    <row r="34" customFormat="false" ht="15" hidden="false" customHeight="false" outlineLevel="0" collapsed="false">
      <c r="A34" s="37" t="n">
        <v>0</v>
      </c>
      <c r="B34" s="37" t="n">
        <v>0</v>
      </c>
      <c r="C34" s="37" t="n">
        <v>0</v>
      </c>
      <c r="D34" s="37" t="n">
        <v>0</v>
      </c>
      <c r="E34" s="37" t="n">
        <v>25</v>
      </c>
      <c r="F34" s="37" t="n">
        <v>5</v>
      </c>
      <c r="G34" s="37" t="s">
        <v>196</v>
      </c>
      <c r="H34" s="38" t="n">
        <v>198.270271336079</v>
      </c>
      <c r="I34" s="38" t="n">
        <v>195.435850450242</v>
      </c>
      <c r="J34" s="38" t="n">
        <v>189.491820833486</v>
      </c>
      <c r="K34" s="38" t="n">
        <v>216.04936594556</v>
      </c>
      <c r="L34" s="38" t="n">
        <v>59.9989596347408</v>
      </c>
      <c r="M34" s="38" t="n">
        <v>98.6751399377516</v>
      </c>
      <c r="N34" s="38" t="n">
        <v>100.501340267964</v>
      </c>
      <c r="O34" s="38" t="n">
        <v>56.3634777304449</v>
      </c>
      <c r="P34" s="37" t="n">
        <v>0</v>
      </c>
      <c r="Q34" s="38" t="n">
        <v>0</v>
      </c>
      <c r="R34" s="38" t="n">
        <v>69.6012358187367</v>
      </c>
      <c r="S34" s="37" t="n">
        <v>0</v>
      </c>
    </row>
    <row r="35" customFormat="false" ht="15" hidden="false" customHeight="false" outlineLevel="0" collapsed="false">
      <c r="A35" s="37" t="n">
        <v>0</v>
      </c>
      <c r="B35" s="37" t="n">
        <v>0</v>
      </c>
      <c r="C35" s="37" t="n">
        <v>0</v>
      </c>
      <c r="D35" s="37" t="n">
        <v>0</v>
      </c>
      <c r="E35" s="37" t="n">
        <v>30</v>
      </c>
      <c r="F35" s="37" t="n">
        <v>0</v>
      </c>
      <c r="G35" s="37" t="s">
        <v>188</v>
      </c>
      <c r="H35" s="38" t="n">
        <v>198.287194283214</v>
      </c>
      <c r="I35" s="38" t="n">
        <v>195.552645862494</v>
      </c>
      <c r="J35" s="38" t="n">
        <v>186.149475947264</v>
      </c>
      <c r="K35" s="38" t="n">
        <v>212.168341136543</v>
      </c>
      <c r="L35" s="38" t="n">
        <v>24.9980459058435</v>
      </c>
      <c r="M35" s="38" t="n">
        <v>95.7860812508527</v>
      </c>
      <c r="N35" s="38" t="n">
        <v>77.4843609293925</v>
      </c>
      <c r="O35" s="38" t="n">
        <v>49.5572979159905</v>
      </c>
      <c r="P35" s="37" t="n">
        <v>0</v>
      </c>
      <c r="Q35" s="38" t="n">
        <v>0.00195409415650261</v>
      </c>
      <c r="R35" s="38" t="n">
        <v>70.5</v>
      </c>
      <c r="S35" s="37" t="n">
        <v>0</v>
      </c>
    </row>
    <row r="36" customFormat="false" ht="15" hidden="false" customHeight="false" outlineLevel="0" collapsed="false">
      <c r="A36" s="37" t="n">
        <v>0</v>
      </c>
      <c r="B36" s="37" t="n">
        <v>0</v>
      </c>
      <c r="C36" s="37" t="n">
        <v>0</v>
      </c>
      <c r="D36" s="37" t="n">
        <v>0</v>
      </c>
      <c r="E36" s="37" t="n">
        <v>30</v>
      </c>
      <c r="F36" s="37" t="n">
        <v>0</v>
      </c>
      <c r="G36" s="37" t="s">
        <v>192</v>
      </c>
      <c r="H36" s="38" t="n">
        <v>198.287194283214</v>
      </c>
      <c r="I36" s="38" t="n">
        <v>195.554147126436</v>
      </c>
      <c r="J36" s="38" t="n">
        <v>189.893837987391</v>
      </c>
      <c r="K36" s="38" t="n">
        <v>217.04246861488</v>
      </c>
      <c r="L36" s="38" t="n">
        <v>26.4662457521231</v>
      </c>
      <c r="M36" s="38" t="n">
        <v>92.7887293422911</v>
      </c>
      <c r="N36" s="38" t="n">
        <v>81.2514878909194</v>
      </c>
      <c r="O36" s="38" t="n">
        <v>50.8351567376293</v>
      </c>
      <c r="P36" s="37" t="n">
        <v>0</v>
      </c>
      <c r="Q36" s="38" t="n">
        <v>0</v>
      </c>
      <c r="R36" s="38" t="n">
        <v>70.5</v>
      </c>
      <c r="S36" s="37" t="n">
        <v>0</v>
      </c>
    </row>
    <row r="37" customFormat="false" ht="15" hidden="false" customHeight="false" outlineLevel="0" collapsed="false">
      <c r="A37" s="37" t="n">
        <v>0</v>
      </c>
      <c r="B37" s="37" t="n">
        <v>0</v>
      </c>
      <c r="C37" s="37" t="n">
        <v>0</v>
      </c>
      <c r="D37" s="37" t="n">
        <v>0</v>
      </c>
      <c r="E37" s="37" t="n">
        <v>30</v>
      </c>
      <c r="F37" s="37" t="n">
        <v>0</v>
      </c>
      <c r="G37" s="37" t="s">
        <v>195</v>
      </c>
      <c r="H37" s="38" t="n">
        <v>198.287194283214</v>
      </c>
      <c r="I37" s="38" t="n">
        <v>195.561041506501</v>
      </c>
      <c r="J37" s="38" t="n">
        <v>186.114732768708</v>
      </c>
      <c r="K37" s="38" t="n">
        <v>208.504400642413</v>
      </c>
      <c r="L37" s="38" t="n">
        <v>24.9982274848899</v>
      </c>
      <c r="M37" s="38" t="n">
        <v>95.8068595927162</v>
      </c>
      <c r="N37" s="38" t="n">
        <v>75.8689703620275</v>
      </c>
      <c r="O37" s="38" t="n">
        <v>49.8771049335753</v>
      </c>
      <c r="P37" s="37" t="n">
        <v>0</v>
      </c>
      <c r="Q37" s="38" t="n">
        <v>0.0017725151101331</v>
      </c>
      <c r="R37" s="38" t="n">
        <v>68.4376716272115</v>
      </c>
      <c r="S37" s="37" t="n">
        <v>0</v>
      </c>
    </row>
    <row r="38" customFormat="false" ht="15" hidden="false" customHeight="false" outlineLevel="0" collapsed="false">
      <c r="A38" s="37" t="n">
        <v>0</v>
      </c>
      <c r="B38" s="37" t="n">
        <v>0</v>
      </c>
      <c r="C38" s="37" t="n">
        <v>0</v>
      </c>
      <c r="D38" s="37" t="n">
        <v>0</v>
      </c>
      <c r="E38" s="37" t="n">
        <v>30</v>
      </c>
      <c r="F38" s="37" t="n">
        <v>0</v>
      </c>
      <c r="G38" s="37" t="s">
        <v>197</v>
      </c>
      <c r="H38" s="38" t="n">
        <v>198.287194283214</v>
      </c>
      <c r="I38" s="38" t="n">
        <v>195.640700237777</v>
      </c>
      <c r="J38" s="38" t="n">
        <v>190.773505347924</v>
      </c>
      <c r="K38" s="38" t="n">
        <v>218.922041116199</v>
      </c>
      <c r="L38" s="38" t="n">
        <v>37.4220411161986</v>
      </c>
      <c r="M38" s="38" t="n">
        <v>109.277061453833</v>
      </c>
      <c r="N38" s="38" t="n">
        <v>111.107861581178</v>
      </c>
      <c r="O38" s="38" t="n">
        <v>60.8841187793358</v>
      </c>
      <c r="P38" s="37" t="n">
        <v>0</v>
      </c>
      <c r="Q38" s="38" t="n">
        <v>0</v>
      </c>
      <c r="R38" s="38" t="n">
        <v>70.5</v>
      </c>
      <c r="S38" s="37" t="n">
        <v>1</v>
      </c>
    </row>
    <row r="39" customFormat="false" ht="15" hidden="false" customHeight="false" outlineLevel="0" collapsed="false">
      <c r="A39" s="37" t="n">
        <v>0</v>
      </c>
      <c r="B39" s="37" t="n">
        <v>0</v>
      </c>
      <c r="C39" s="37" t="n">
        <v>0</v>
      </c>
      <c r="D39" s="37" t="n">
        <v>0</v>
      </c>
      <c r="E39" s="37" t="n">
        <v>30</v>
      </c>
      <c r="F39" s="37" t="n">
        <v>0</v>
      </c>
      <c r="G39" s="37" t="s">
        <v>196</v>
      </c>
      <c r="H39" s="38" t="n">
        <v>198.287194283214</v>
      </c>
      <c r="I39" s="38" t="n">
        <v>195.554785215718</v>
      </c>
      <c r="J39" s="38" t="n">
        <v>190.022171965086</v>
      </c>
      <c r="K39" s="38" t="n">
        <v>217.364108725023</v>
      </c>
      <c r="L39" s="38" t="n">
        <v>31.7894435951904</v>
      </c>
      <c r="M39" s="38" t="n">
        <v>99.3514497334983</v>
      </c>
      <c r="N39" s="38" t="n">
        <v>94.4216115538633</v>
      </c>
      <c r="O39" s="38" t="n">
        <v>52.4771350864187</v>
      </c>
      <c r="P39" s="37" t="n">
        <v>0</v>
      </c>
      <c r="Q39" s="38" t="n">
        <v>0</v>
      </c>
      <c r="R39" s="38" t="n">
        <v>69.5820803688401</v>
      </c>
      <c r="S39" s="37" t="n">
        <v>0</v>
      </c>
    </row>
    <row r="40" customFormat="false" ht="15" hidden="false" customHeight="false" outlineLevel="0" collapsed="false">
      <c r="A40" s="37" t="n">
        <v>0</v>
      </c>
      <c r="B40" s="37" t="n">
        <v>0</v>
      </c>
      <c r="C40" s="37" t="n">
        <v>0</v>
      </c>
      <c r="D40" s="37" t="n">
        <v>5</v>
      </c>
      <c r="E40" s="37" t="n">
        <v>0</v>
      </c>
      <c r="F40" s="37" t="n">
        <v>25</v>
      </c>
      <c r="G40" s="37" t="s">
        <v>188</v>
      </c>
      <c r="H40" s="38" t="n">
        <v>198.297563413828</v>
      </c>
      <c r="I40" s="38" t="n">
        <v>195.204916089661</v>
      </c>
      <c r="J40" s="38" t="n">
        <v>180.415545398429</v>
      </c>
      <c r="K40" s="38" t="n">
        <v>188.881522371743</v>
      </c>
      <c r="L40" s="38" t="n">
        <v>195.209851825006</v>
      </c>
      <c r="M40" s="38" t="n">
        <v>90.6797425882438</v>
      </c>
      <c r="N40" s="38" t="n">
        <v>67.4604015648014</v>
      </c>
      <c r="O40" s="38" t="n">
        <v>53.7587747325759</v>
      </c>
      <c r="P40" s="37" t="n">
        <v>0</v>
      </c>
      <c r="Q40" s="38" t="n">
        <v>0</v>
      </c>
      <c r="R40" s="38" t="n">
        <v>72</v>
      </c>
      <c r="S40" s="37" t="n">
        <v>0</v>
      </c>
    </row>
    <row r="41" customFormat="false" ht="15" hidden="false" customHeight="false" outlineLevel="0" collapsed="false">
      <c r="A41" s="37" t="n">
        <v>0</v>
      </c>
      <c r="B41" s="37" t="n">
        <v>0</v>
      </c>
      <c r="C41" s="37" t="n">
        <v>0</v>
      </c>
      <c r="D41" s="37" t="n">
        <v>5</v>
      </c>
      <c r="E41" s="37" t="n">
        <v>0</v>
      </c>
      <c r="F41" s="37" t="n">
        <v>25</v>
      </c>
      <c r="G41" s="37" t="s">
        <v>192</v>
      </c>
      <c r="H41" s="38" t="n">
        <v>198.297563413828</v>
      </c>
      <c r="I41" s="38" t="n">
        <v>195.207021016189</v>
      </c>
      <c r="J41" s="38" t="n">
        <v>184.395620407768</v>
      </c>
      <c r="K41" s="38" t="n">
        <v>194.072061672395</v>
      </c>
      <c r="L41" s="38" t="n">
        <v>203.811471657268</v>
      </c>
      <c r="M41" s="38" t="n">
        <v>87.6831580448917</v>
      </c>
      <c r="N41" s="38" t="n">
        <v>70.712851373395</v>
      </c>
      <c r="O41" s="38" t="n">
        <v>54.0636941366283</v>
      </c>
      <c r="P41" s="37" t="n">
        <v>0</v>
      </c>
      <c r="Q41" s="38" t="n">
        <v>0</v>
      </c>
      <c r="R41" s="38" t="n">
        <v>72</v>
      </c>
      <c r="S41" s="37" t="n">
        <v>0</v>
      </c>
    </row>
    <row r="42" customFormat="false" ht="15" hidden="false" customHeight="false" outlineLevel="0" collapsed="false">
      <c r="A42" s="37" t="n">
        <v>0</v>
      </c>
      <c r="B42" s="37" t="n">
        <v>0</v>
      </c>
      <c r="C42" s="37" t="n">
        <v>0</v>
      </c>
      <c r="D42" s="37" t="n">
        <v>5</v>
      </c>
      <c r="E42" s="37" t="n">
        <v>0</v>
      </c>
      <c r="F42" s="37" t="n">
        <v>25</v>
      </c>
      <c r="G42" s="37" t="s">
        <v>195</v>
      </c>
      <c r="H42" s="38" t="n">
        <v>198.297563413828</v>
      </c>
      <c r="I42" s="38" t="n">
        <v>195.231750818363</v>
      </c>
      <c r="J42" s="38" t="n">
        <v>181.954993638879</v>
      </c>
      <c r="K42" s="38" t="n">
        <v>188.100942684071</v>
      </c>
      <c r="L42" s="38" t="n">
        <v>201.648714112642</v>
      </c>
      <c r="M42" s="38" t="n">
        <v>92.3530523089566</v>
      </c>
      <c r="N42" s="38" t="n">
        <v>72.3653746488998</v>
      </c>
      <c r="O42" s="38" t="n">
        <v>55.5682092956097</v>
      </c>
      <c r="P42" s="37" t="n">
        <v>0</v>
      </c>
      <c r="Q42" s="38" t="n">
        <v>0</v>
      </c>
      <c r="R42" s="38" t="n">
        <v>70.3643314285714</v>
      </c>
      <c r="S42" s="37" t="n">
        <v>0</v>
      </c>
    </row>
    <row r="43" customFormat="false" ht="15" hidden="false" customHeight="false" outlineLevel="0" collapsed="false">
      <c r="A43" s="37" t="n">
        <v>0</v>
      </c>
      <c r="B43" s="37" t="n">
        <v>0</v>
      </c>
      <c r="C43" s="37" t="n">
        <v>0</v>
      </c>
      <c r="D43" s="37" t="n">
        <v>5</v>
      </c>
      <c r="E43" s="37" t="n">
        <v>0</v>
      </c>
      <c r="F43" s="37" t="n">
        <v>25</v>
      </c>
      <c r="G43" s="37" t="s">
        <v>197</v>
      </c>
      <c r="H43" s="38" t="n">
        <v>198.297563413828</v>
      </c>
      <c r="I43" s="38" t="n">
        <v>195.207013857268</v>
      </c>
      <c r="J43" s="38" t="n">
        <v>183.702737328332</v>
      </c>
      <c r="K43" s="38" t="n">
        <v>193.173876042404</v>
      </c>
      <c r="L43" s="38" t="n">
        <v>205.701082269236</v>
      </c>
      <c r="M43" s="38" t="n">
        <v>92.4831457601425</v>
      </c>
      <c r="N43" s="38" t="n">
        <v>72.4124056645186</v>
      </c>
      <c r="O43" s="38" t="n">
        <v>55.5188985989839</v>
      </c>
      <c r="P43" s="37" t="n">
        <v>0</v>
      </c>
      <c r="Q43" s="38" t="n">
        <v>0</v>
      </c>
      <c r="R43" s="38" t="n">
        <v>72</v>
      </c>
      <c r="S43" s="37" t="n">
        <v>0</v>
      </c>
    </row>
    <row r="44" customFormat="false" ht="15" hidden="false" customHeight="false" outlineLevel="0" collapsed="false">
      <c r="A44" s="37" t="n">
        <v>0</v>
      </c>
      <c r="B44" s="37" t="n">
        <v>0</v>
      </c>
      <c r="C44" s="37" t="n">
        <v>0</v>
      </c>
      <c r="D44" s="37" t="n">
        <v>5</v>
      </c>
      <c r="E44" s="37" t="n">
        <v>0</v>
      </c>
      <c r="F44" s="37" t="n">
        <v>25</v>
      </c>
      <c r="G44" s="37" t="s">
        <v>196</v>
      </c>
      <c r="H44" s="38" t="n">
        <v>198.297563413828</v>
      </c>
      <c r="I44" s="38" t="n">
        <v>195.207013857268</v>
      </c>
      <c r="J44" s="38" t="n">
        <v>177.774788797966</v>
      </c>
      <c r="K44" s="38" t="n">
        <v>196.493632854718</v>
      </c>
      <c r="L44" s="38" t="n">
        <v>202.938077299163</v>
      </c>
      <c r="M44" s="38" t="n">
        <v>92.6463457601425</v>
      </c>
      <c r="N44" s="38" t="n">
        <v>77.1983992732742</v>
      </c>
      <c r="O44" s="38" t="n">
        <v>56.10935758831</v>
      </c>
      <c r="P44" s="37" t="n">
        <v>0</v>
      </c>
      <c r="Q44" s="38" t="n">
        <v>0</v>
      </c>
      <c r="R44" s="38" t="n">
        <v>70.6416761904762</v>
      </c>
      <c r="S44" s="37" t="n">
        <v>1</v>
      </c>
    </row>
    <row r="45" customFormat="false" ht="15" hidden="false" customHeight="false" outlineLevel="0" collapsed="false">
      <c r="A45" s="37" t="n">
        <v>0</v>
      </c>
      <c r="B45" s="37" t="n">
        <v>0</v>
      </c>
      <c r="C45" s="37" t="n">
        <v>0</v>
      </c>
      <c r="D45" s="37" t="n">
        <v>5</v>
      </c>
      <c r="E45" s="37" t="n">
        <v>5</v>
      </c>
      <c r="F45" s="37" t="n">
        <v>20</v>
      </c>
      <c r="G45" s="37" t="s">
        <v>188</v>
      </c>
      <c r="H45" s="38" t="n">
        <v>198.33267398267</v>
      </c>
      <c r="I45" s="38" t="n">
        <v>195.525713527491</v>
      </c>
      <c r="J45" s="38" t="n">
        <v>183.599281537947</v>
      </c>
      <c r="K45" s="38" t="n">
        <v>194.631300905054</v>
      </c>
      <c r="L45" s="38" t="n">
        <v>161.194933875008</v>
      </c>
      <c r="M45" s="38" t="n">
        <v>92.1638676125952</v>
      </c>
      <c r="N45" s="38" t="n">
        <v>75.7064638612085</v>
      </c>
      <c r="O45" s="38" t="n">
        <v>55.0371078530656</v>
      </c>
      <c r="P45" s="37" t="n">
        <v>0</v>
      </c>
      <c r="Q45" s="38" t="n">
        <v>0</v>
      </c>
      <c r="R45" s="38" t="n">
        <v>72</v>
      </c>
      <c r="S45" s="37" t="n">
        <v>0</v>
      </c>
    </row>
    <row r="46" customFormat="false" ht="15" hidden="false" customHeight="false" outlineLevel="0" collapsed="false">
      <c r="A46" s="37" t="n">
        <v>0</v>
      </c>
      <c r="B46" s="37" t="n">
        <v>0</v>
      </c>
      <c r="C46" s="37" t="n">
        <v>0</v>
      </c>
      <c r="D46" s="37" t="n">
        <v>5</v>
      </c>
      <c r="E46" s="37" t="n">
        <v>5</v>
      </c>
      <c r="F46" s="37" t="n">
        <v>20</v>
      </c>
      <c r="G46" s="37" t="s">
        <v>192</v>
      </c>
      <c r="H46" s="38" t="n">
        <v>198.33267398267</v>
      </c>
      <c r="I46" s="38" t="n">
        <v>195.527585095487</v>
      </c>
      <c r="J46" s="38" t="n">
        <v>187.516382992273</v>
      </c>
      <c r="K46" s="38" t="n">
        <v>199.726954405585</v>
      </c>
      <c r="L46" s="38" t="n">
        <v>158.212751973124</v>
      </c>
      <c r="M46" s="38" t="n">
        <v>89.1666350202241</v>
      </c>
      <c r="N46" s="38" t="n">
        <v>79.1427495452966</v>
      </c>
      <c r="O46" s="38" t="n">
        <v>58.4122749347642</v>
      </c>
      <c r="P46" s="37" t="n">
        <v>0</v>
      </c>
      <c r="Q46" s="38" t="n">
        <v>0</v>
      </c>
      <c r="R46" s="38" t="n">
        <v>72</v>
      </c>
      <c r="S46" s="37" t="n">
        <v>0</v>
      </c>
    </row>
    <row r="47" customFormat="false" ht="15" hidden="false" customHeight="false" outlineLevel="0" collapsed="false">
      <c r="A47" s="37" t="n">
        <v>0</v>
      </c>
      <c r="B47" s="37" t="n">
        <v>0</v>
      </c>
      <c r="C47" s="37" t="n">
        <v>0</v>
      </c>
      <c r="D47" s="37" t="n">
        <v>5</v>
      </c>
      <c r="E47" s="37" t="n">
        <v>5</v>
      </c>
      <c r="F47" s="37" t="n">
        <v>20</v>
      </c>
      <c r="G47" s="37" t="s">
        <v>195</v>
      </c>
      <c r="H47" s="38" t="n">
        <v>198.33267398267</v>
      </c>
      <c r="I47" s="38" t="n">
        <v>195.560293945276</v>
      </c>
      <c r="J47" s="38" t="n">
        <v>185.179672123569</v>
      </c>
      <c r="K47" s="38" t="n">
        <v>193.994990367604</v>
      </c>
      <c r="L47" s="38" t="n">
        <v>167.542358638617</v>
      </c>
      <c r="M47" s="38" t="n">
        <v>93.8563015360886</v>
      </c>
      <c r="N47" s="38" t="n">
        <v>80.7315861693511</v>
      </c>
      <c r="O47" s="38" t="n">
        <v>57.2375178177445</v>
      </c>
      <c r="P47" s="37" t="n">
        <v>0</v>
      </c>
      <c r="Q47" s="38" t="n">
        <v>0</v>
      </c>
      <c r="R47" s="38" t="n">
        <v>70.3642104813039</v>
      </c>
      <c r="S47" s="37" t="n">
        <v>0</v>
      </c>
    </row>
    <row r="48" customFormat="false" ht="15" hidden="false" customHeight="false" outlineLevel="0" collapsed="false">
      <c r="A48" s="37" t="n">
        <v>0</v>
      </c>
      <c r="B48" s="37" t="n">
        <v>0</v>
      </c>
      <c r="C48" s="37" t="n">
        <v>0</v>
      </c>
      <c r="D48" s="37" t="n">
        <v>5</v>
      </c>
      <c r="E48" s="37" t="n">
        <v>5</v>
      </c>
      <c r="F48" s="37" t="n">
        <v>20</v>
      </c>
      <c r="G48" s="37" t="s">
        <v>197</v>
      </c>
      <c r="H48" s="38" t="n">
        <v>198.33267398267</v>
      </c>
      <c r="I48" s="38" t="n">
        <v>195.536808711803</v>
      </c>
      <c r="J48" s="38" t="n">
        <v>187.444355994686</v>
      </c>
      <c r="K48" s="38" t="n">
        <v>199.789971023701</v>
      </c>
      <c r="L48" s="38" t="n">
        <v>157.903509586449</v>
      </c>
      <c r="M48" s="38" t="n">
        <v>97.3732895091875</v>
      </c>
      <c r="N48" s="38" t="n">
        <v>91.0509568385648</v>
      </c>
      <c r="O48" s="38" t="n">
        <v>64.1518553258953</v>
      </c>
      <c r="P48" s="37" t="n">
        <v>0</v>
      </c>
      <c r="Q48" s="38" t="n">
        <v>0</v>
      </c>
      <c r="R48" s="38" t="n">
        <v>72</v>
      </c>
      <c r="S48" s="37" t="n">
        <v>1</v>
      </c>
    </row>
    <row r="49" customFormat="false" ht="15" hidden="false" customHeight="false" outlineLevel="0" collapsed="false">
      <c r="A49" s="37" t="n">
        <v>0</v>
      </c>
      <c r="B49" s="37" t="n">
        <v>0</v>
      </c>
      <c r="C49" s="37" t="n">
        <v>0</v>
      </c>
      <c r="D49" s="37" t="n">
        <v>5</v>
      </c>
      <c r="E49" s="37" t="n">
        <v>5</v>
      </c>
      <c r="F49" s="37" t="n">
        <v>20</v>
      </c>
      <c r="G49" s="37" t="s">
        <v>196</v>
      </c>
      <c r="H49" s="38" t="n">
        <v>198.33267398267</v>
      </c>
      <c r="I49" s="38" t="n">
        <v>195.527855479011</v>
      </c>
      <c r="J49" s="38" t="n">
        <v>180.657269998385</v>
      </c>
      <c r="K49" s="38" t="n">
        <v>201.873532389063</v>
      </c>
      <c r="L49" s="38" t="n">
        <v>168.317976833508</v>
      </c>
      <c r="M49" s="38" t="n">
        <v>94.8020097804059</v>
      </c>
      <c r="N49" s="38" t="n">
        <v>86.5645081592382</v>
      </c>
      <c r="O49" s="38" t="n">
        <v>58.6759008418129</v>
      </c>
      <c r="P49" s="37" t="n">
        <v>0</v>
      </c>
      <c r="Q49" s="38" t="n">
        <v>0</v>
      </c>
      <c r="R49" s="38" t="n">
        <v>70.6415656475624</v>
      </c>
      <c r="S49" s="37" t="n">
        <v>0</v>
      </c>
    </row>
    <row r="50" customFormat="false" ht="15" hidden="false" customHeight="false" outlineLevel="0" collapsed="false">
      <c r="A50" s="37" t="n">
        <v>0</v>
      </c>
      <c r="B50" s="37" t="n">
        <v>0</v>
      </c>
      <c r="C50" s="37" t="n">
        <v>0</v>
      </c>
      <c r="D50" s="37" t="n">
        <v>5</v>
      </c>
      <c r="E50" s="37" t="n">
        <v>10</v>
      </c>
      <c r="F50" s="37" t="n">
        <v>15</v>
      </c>
      <c r="G50" s="37" t="s">
        <v>188</v>
      </c>
      <c r="H50" s="38" t="n">
        <v>198.366685972773</v>
      </c>
      <c r="I50" s="38" t="n">
        <v>195.865185508054</v>
      </c>
      <c r="J50" s="38" t="n">
        <v>186.397546493332</v>
      </c>
      <c r="K50" s="38" t="n">
        <v>199.817358986763</v>
      </c>
      <c r="L50" s="38" t="n">
        <v>115.388854728755</v>
      </c>
      <c r="M50" s="38" t="n">
        <v>93.5918170845549</v>
      </c>
      <c r="N50" s="38" t="n">
        <v>83.3882419467417</v>
      </c>
      <c r="O50" s="38" t="n">
        <v>58.3174463208735</v>
      </c>
      <c r="P50" s="37" t="n">
        <v>0</v>
      </c>
      <c r="Q50" s="38" t="n">
        <v>0</v>
      </c>
      <c r="R50" s="38" t="n">
        <v>72</v>
      </c>
      <c r="S50" s="37" t="n">
        <v>0</v>
      </c>
    </row>
    <row r="51" customFormat="false" ht="15" hidden="false" customHeight="false" outlineLevel="0" collapsed="false">
      <c r="A51" s="37" t="n">
        <v>0</v>
      </c>
      <c r="B51" s="37" t="n">
        <v>0</v>
      </c>
      <c r="C51" s="37" t="n">
        <v>0</v>
      </c>
      <c r="D51" s="37" t="n">
        <v>5</v>
      </c>
      <c r="E51" s="37" t="n">
        <v>10</v>
      </c>
      <c r="F51" s="37" t="n">
        <v>15</v>
      </c>
      <c r="G51" s="37" t="s">
        <v>192</v>
      </c>
      <c r="H51" s="38" t="n">
        <v>198.366685972773</v>
      </c>
      <c r="I51" s="38" t="n">
        <v>195.867017331406</v>
      </c>
      <c r="J51" s="38" t="n">
        <v>190.088627666517</v>
      </c>
      <c r="K51" s="38" t="n">
        <v>204.696457254026</v>
      </c>
      <c r="L51" s="38" t="n">
        <v>123.177444350444</v>
      </c>
      <c r="M51" s="38" t="n">
        <v>90.5944467178719</v>
      </c>
      <c r="N51" s="38" t="n">
        <v>85.6253641557227</v>
      </c>
      <c r="O51" s="38" t="n">
        <v>58.7086497730685</v>
      </c>
      <c r="P51" s="37" t="n">
        <v>0</v>
      </c>
      <c r="Q51" s="38" t="n">
        <v>0</v>
      </c>
      <c r="R51" s="38" t="n">
        <v>72</v>
      </c>
      <c r="S51" s="37" t="n">
        <v>0</v>
      </c>
    </row>
    <row r="52" customFormat="false" ht="15" hidden="false" customHeight="false" outlineLevel="0" collapsed="false">
      <c r="A52" s="37" t="n">
        <v>0</v>
      </c>
      <c r="B52" s="37" t="n">
        <v>0</v>
      </c>
      <c r="C52" s="37" t="n">
        <v>0</v>
      </c>
      <c r="D52" s="37" t="n">
        <v>5</v>
      </c>
      <c r="E52" s="37" t="n">
        <v>10</v>
      </c>
      <c r="F52" s="37" t="n">
        <v>15</v>
      </c>
      <c r="G52" s="37" t="s">
        <v>195</v>
      </c>
      <c r="H52" s="38" t="n">
        <v>198.366685972773</v>
      </c>
      <c r="I52" s="38" t="n">
        <v>195.907779602269</v>
      </c>
      <c r="J52" s="38" t="n">
        <v>188.026692647516</v>
      </c>
      <c r="K52" s="38" t="n">
        <v>199.337597679774</v>
      </c>
      <c r="L52" s="38" t="n">
        <v>121.62866310486</v>
      </c>
      <c r="M52" s="38" t="n">
        <v>95.3011239028079</v>
      </c>
      <c r="N52" s="38" t="n">
        <v>88.2838915073328</v>
      </c>
      <c r="O52" s="38" t="n">
        <v>60.8987262147379</v>
      </c>
      <c r="P52" s="37" t="n">
        <v>0</v>
      </c>
      <c r="Q52" s="38" t="n">
        <v>0</v>
      </c>
      <c r="R52" s="38" t="n">
        <v>70.3623196275257</v>
      </c>
      <c r="S52" s="37" t="n">
        <v>0</v>
      </c>
    </row>
    <row r="53" customFormat="false" ht="15" hidden="false" customHeight="false" outlineLevel="0" collapsed="false">
      <c r="A53" s="37" t="n">
        <v>0</v>
      </c>
      <c r="B53" s="37" t="n">
        <v>0</v>
      </c>
      <c r="C53" s="37" t="n">
        <v>0</v>
      </c>
      <c r="D53" s="37" t="n">
        <v>5</v>
      </c>
      <c r="E53" s="37" t="n">
        <v>10</v>
      </c>
      <c r="F53" s="37" t="n">
        <v>15</v>
      </c>
      <c r="G53" s="37" t="s">
        <v>197</v>
      </c>
      <c r="H53" s="38" t="n">
        <v>198.366685972773</v>
      </c>
      <c r="I53" s="38" t="n">
        <v>195.895926795792</v>
      </c>
      <c r="J53" s="38" t="n">
        <v>190.956783916436</v>
      </c>
      <c r="K53" s="38" t="n">
        <v>206.137636666403</v>
      </c>
      <c r="L53" s="38" t="n">
        <v>125.002175014948</v>
      </c>
      <c r="M53" s="38" t="n">
        <v>101.58571486656</v>
      </c>
      <c r="N53" s="38" t="n">
        <v>105.927641295366</v>
      </c>
      <c r="O53" s="38" t="n">
        <v>66.0358956600804</v>
      </c>
      <c r="P53" s="37" t="n">
        <v>0</v>
      </c>
      <c r="Q53" s="38" t="n">
        <v>0</v>
      </c>
      <c r="R53" s="38" t="n">
        <v>72</v>
      </c>
      <c r="S53" s="37" t="n">
        <v>1</v>
      </c>
    </row>
    <row r="54" customFormat="false" ht="15" hidden="false" customHeight="false" outlineLevel="0" collapsed="false">
      <c r="A54" s="37" t="n">
        <v>0</v>
      </c>
      <c r="B54" s="37" t="n">
        <v>0</v>
      </c>
      <c r="C54" s="37" t="n">
        <v>0</v>
      </c>
      <c r="D54" s="37" t="n">
        <v>5</v>
      </c>
      <c r="E54" s="37" t="n">
        <v>10</v>
      </c>
      <c r="F54" s="37" t="n">
        <v>15</v>
      </c>
      <c r="G54" s="37" t="s">
        <v>196</v>
      </c>
      <c r="H54" s="38" t="n">
        <v>198.366685972773</v>
      </c>
      <c r="I54" s="38" t="n">
        <v>195.867697865538</v>
      </c>
      <c r="J54" s="38" t="n">
        <v>183.098981687454</v>
      </c>
      <c r="K54" s="38" t="n">
        <v>206.683130169417</v>
      </c>
      <c r="L54" s="38" t="n">
        <v>133.127574613861</v>
      </c>
      <c r="M54" s="38" t="n">
        <v>96.7669705754564</v>
      </c>
      <c r="N54" s="38" t="n">
        <v>94.2184725789999</v>
      </c>
      <c r="O54" s="38" t="n">
        <v>59.7503606979146</v>
      </c>
      <c r="P54" s="37" t="n">
        <v>0</v>
      </c>
      <c r="Q54" s="38" t="n">
        <v>0</v>
      </c>
      <c r="R54" s="38" t="n">
        <v>70.6411240043239</v>
      </c>
      <c r="S54" s="37" t="n">
        <v>0</v>
      </c>
    </row>
    <row r="55" customFormat="false" ht="15" hidden="false" customHeight="false" outlineLevel="0" collapsed="false">
      <c r="A55" s="37" t="n">
        <v>0</v>
      </c>
      <c r="B55" s="37" t="n">
        <v>0</v>
      </c>
      <c r="C55" s="37" t="n">
        <v>0</v>
      </c>
      <c r="D55" s="37" t="n">
        <v>5</v>
      </c>
      <c r="E55" s="37" t="n">
        <v>15</v>
      </c>
      <c r="F55" s="37" t="n">
        <v>10</v>
      </c>
      <c r="G55" s="37" t="s">
        <v>188</v>
      </c>
      <c r="H55" s="38" t="n">
        <v>198.399632085842</v>
      </c>
      <c r="I55" s="38" t="n">
        <v>196.139659287708</v>
      </c>
      <c r="J55" s="38" t="n">
        <v>188.402812770732</v>
      </c>
      <c r="K55" s="38" t="n">
        <v>203.74650987929</v>
      </c>
      <c r="L55" s="38" t="n">
        <v>79.5557301297712</v>
      </c>
      <c r="M55" s="38" t="n">
        <v>94.7606220759402</v>
      </c>
      <c r="N55" s="38" t="n">
        <v>88.3189327348235</v>
      </c>
      <c r="O55" s="38" t="n">
        <v>58.0123146660075</v>
      </c>
      <c r="P55" s="37" t="n">
        <v>0</v>
      </c>
      <c r="Q55" s="38" t="n">
        <v>0</v>
      </c>
      <c r="R55" s="38" t="n">
        <v>72</v>
      </c>
      <c r="S55" s="37" t="n">
        <v>0</v>
      </c>
    </row>
    <row r="56" customFormat="false" ht="15" hidden="false" customHeight="false" outlineLevel="0" collapsed="false">
      <c r="A56" s="37" t="n">
        <v>0</v>
      </c>
      <c r="B56" s="37" t="n">
        <v>0</v>
      </c>
      <c r="C56" s="37" t="n">
        <v>0</v>
      </c>
      <c r="D56" s="37" t="n">
        <v>5</v>
      </c>
      <c r="E56" s="37" t="n">
        <v>15</v>
      </c>
      <c r="F56" s="37" t="n">
        <v>10</v>
      </c>
      <c r="G56" s="37" t="s">
        <v>192</v>
      </c>
      <c r="H56" s="38" t="n">
        <v>198.399632085842</v>
      </c>
      <c r="I56" s="38" t="n">
        <v>196.141464529656</v>
      </c>
      <c r="J56" s="38" t="n">
        <v>192.012809529108</v>
      </c>
      <c r="K56" s="38" t="n">
        <v>208.516968300873</v>
      </c>
      <c r="L56" s="38" t="n">
        <v>86.9935171484478</v>
      </c>
      <c r="M56" s="38" t="n">
        <v>91.7631808033406</v>
      </c>
      <c r="N56" s="38" t="n">
        <v>90.3398360461012</v>
      </c>
      <c r="O56" s="38" t="n">
        <v>58.5002949036987</v>
      </c>
      <c r="P56" s="37" t="n">
        <v>0</v>
      </c>
      <c r="Q56" s="38" t="n">
        <v>0</v>
      </c>
      <c r="R56" s="38" t="n">
        <v>72</v>
      </c>
      <c r="S56" s="37" t="n">
        <v>0</v>
      </c>
    </row>
    <row r="57" customFormat="false" ht="15" hidden="false" customHeight="false" outlineLevel="0" collapsed="false">
      <c r="A57" s="37" t="n">
        <v>0</v>
      </c>
      <c r="B57" s="37" t="n">
        <v>0</v>
      </c>
      <c r="C57" s="37" t="n">
        <v>0</v>
      </c>
      <c r="D57" s="37" t="n">
        <v>5</v>
      </c>
      <c r="E57" s="37" t="n">
        <v>15</v>
      </c>
      <c r="F57" s="37" t="n">
        <v>10</v>
      </c>
      <c r="G57" s="37" t="s">
        <v>195</v>
      </c>
      <c r="H57" s="38" t="n">
        <v>198.399632085842</v>
      </c>
      <c r="I57" s="38" t="n">
        <v>196.190807881286</v>
      </c>
      <c r="J57" s="38" t="n">
        <v>190.136437532437</v>
      </c>
      <c r="K57" s="38" t="n">
        <v>203.471253029265</v>
      </c>
      <c r="L57" s="38" t="n">
        <v>85.7559525718174</v>
      </c>
      <c r="M57" s="38" t="n">
        <v>96.4886648182154</v>
      </c>
      <c r="N57" s="38" t="n">
        <v>93.3865956635259</v>
      </c>
      <c r="O57" s="38" t="n">
        <v>60.9170704825278</v>
      </c>
      <c r="P57" s="37" t="n">
        <v>0</v>
      </c>
      <c r="Q57" s="38" t="n">
        <v>0</v>
      </c>
      <c r="R57" s="38" t="n">
        <v>70.3604098627658</v>
      </c>
      <c r="S57" s="37" t="n">
        <v>0</v>
      </c>
    </row>
    <row r="58" customFormat="false" ht="15" hidden="false" customHeight="false" outlineLevel="0" collapsed="false">
      <c r="A58" s="37" t="n">
        <v>0</v>
      </c>
      <c r="B58" s="37" t="n">
        <v>0</v>
      </c>
      <c r="C58" s="37" t="n">
        <v>0</v>
      </c>
      <c r="D58" s="37" t="n">
        <v>5</v>
      </c>
      <c r="E58" s="37" t="n">
        <v>15</v>
      </c>
      <c r="F58" s="37" t="n">
        <v>10</v>
      </c>
      <c r="G58" s="37" t="s">
        <v>197</v>
      </c>
      <c r="H58" s="38" t="n">
        <v>198.399632085842</v>
      </c>
      <c r="I58" s="38" t="n">
        <v>196.187663495118</v>
      </c>
      <c r="J58" s="38" t="n">
        <v>191.967077162465</v>
      </c>
      <c r="K58" s="38" t="n">
        <v>208.848608497749</v>
      </c>
      <c r="L58" s="38" t="n">
        <v>92.3486084977485</v>
      </c>
      <c r="M58" s="38" t="n">
        <v>104.520704200659</v>
      </c>
      <c r="N58" s="38" t="n">
        <v>107.700051230761</v>
      </c>
      <c r="O58" s="38" t="n">
        <v>65.2472290453845</v>
      </c>
      <c r="P58" s="37" t="n">
        <v>0</v>
      </c>
      <c r="Q58" s="38" t="n">
        <v>0</v>
      </c>
      <c r="R58" s="38" t="n">
        <v>72</v>
      </c>
      <c r="S58" s="37" t="n">
        <v>1</v>
      </c>
    </row>
    <row r="59" customFormat="false" ht="15" hidden="false" customHeight="false" outlineLevel="0" collapsed="false">
      <c r="A59" s="37" t="n">
        <v>0</v>
      </c>
      <c r="B59" s="37" t="n">
        <v>0</v>
      </c>
      <c r="C59" s="37" t="n">
        <v>0</v>
      </c>
      <c r="D59" s="37" t="n">
        <v>5</v>
      </c>
      <c r="E59" s="37" t="n">
        <v>15</v>
      </c>
      <c r="F59" s="37" t="n">
        <v>10</v>
      </c>
      <c r="G59" s="37" t="s">
        <v>196</v>
      </c>
      <c r="H59" s="38" t="n">
        <v>198.399632085842</v>
      </c>
      <c r="I59" s="38" t="n">
        <v>196.142412960116</v>
      </c>
      <c r="J59" s="38" t="n">
        <v>184.926304309191</v>
      </c>
      <c r="K59" s="38" t="n">
        <v>210.386034366041</v>
      </c>
      <c r="L59" s="38" t="n">
        <v>96.8304788104852</v>
      </c>
      <c r="M59" s="38" t="n">
        <v>98.2704300574705</v>
      </c>
      <c r="N59" s="38" t="n">
        <v>98.8432452733273</v>
      </c>
      <c r="O59" s="38" t="n">
        <v>59.3715488282998</v>
      </c>
      <c r="P59" s="37" t="n">
        <v>0</v>
      </c>
      <c r="Q59" s="38" t="n">
        <v>0</v>
      </c>
      <c r="R59" s="38" t="n">
        <v>70.6406370918631</v>
      </c>
      <c r="S59" s="37" t="n">
        <v>0</v>
      </c>
    </row>
    <row r="60" customFormat="false" ht="15" hidden="false" customHeight="false" outlineLevel="0" collapsed="false">
      <c r="A60" s="37" t="n">
        <v>0</v>
      </c>
      <c r="B60" s="37" t="n">
        <v>0</v>
      </c>
      <c r="C60" s="37" t="n">
        <v>0</v>
      </c>
      <c r="D60" s="37" t="n">
        <v>5</v>
      </c>
      <c r="E60" s="37" t="n">
        <v>20</v>
      </c>
      <c r="F60" s="37" t="n">
        <v>5</v>
      </c>
      <c r="G60" s="37" t="s">
        <v>188</v>
      </c>
      <c r="H60" s="38" t="n">
        <v>198.430890585649</v>
      </c>
      <c r="I60" s="38" t="n">
        <v>196.399345202856</v>
      </c>
      <c r="J60" s="38" t="n">
        <v>190.228625948006</v>
      </c>
      <c r="K60" s="38" t="n">
        <v>207.401757577984</v>
      </c>
      <c r="L60" s="38" t="n">
        <v>43.4422059690748</v>
      </c>
      <c r="M60" s="38" t="n">
        <v>95.8932822383638</v>
      </c>
      <c r="N60" s="38" t="n">
        <v>92.716878773917</v>
      </c>
      <c r="O60" s="38" t="n">
        <v>57.6373821447513</v>
      </c>
      <c r="P60" s="37" t="n">
        <v>0</v>
      </c>
      <c r="Q60" s="38" t="n">
        <v>0</v>
      </c>
      <c r="R60" s="38" t="n">
        <v>72</v>
      </c>
      <c r="S60" s="37" t="n">
        <v>0</v>
      </c>
    </row>
    <row r="61" customFormat="false" ht="15" hidden="false" customHeight="false" outlineLevel="0" collapsed="false">
      <c r="A61" s="37" t="n">
        <v>0</v>
      </c>
      <c r="B61" s="37" t="n">
        <v>0</v>
      </c>
      <c r="C61" s="37" t="n">
        <v>0</v>
      </c>
      <c r="D61" s="37" t="n">
        <v>5</v>
      </c>
      <c r="E61" s="37" t="n">
        <v>20</v>
      </c>
      <c r="F61" s="37" t="n">
        <v>5</v>
      </c>
      <c r="G61" s="37" t="s">
        <v>192</v>
      </c>
      <c r="H61" s="38" t="n">
        <v>198.430890585649</v>
      </c>
      <c r="I61" s="38" t="n">
        <v>196.401131120684</v>
      </c>
      <c r="J61" s="38" t="n">
        <v>193.757288887882</v>
      </c>
      <c r="K61" s="38" t="n">
        <v>212.063961111565</v>
      </c>
      <c r="L61" s="38" t="n">
        <v>50.5357540702822</v>
      </c>
      <c r="M61" s="38" t="n">
        <v>92.8958138773916</v>
      </c>
      <c r="N61" s="38" t="n">
        <v>94.5274784744303</v>
      </c>
      <c r="O61" s="38" t="n">
        <v>58.2211702437306</v>
      </c>
      <c r="P61" s="37" t="n">
        <v>0</v>
      </c>
      <c r="Q61" s="38" t="n">
        <v>0</v>
      </c>
      <c r="R61" s="38" t="n">
        <v>72</v>
      </c>
      <c r="S61" s="37" t="n">
        <v>0</v>
      </c>
    </row>
    <row r="62" customFormat="false" ht="15" hidden="false" customHeight="false" outlineLevel="0" collapsed="false">
      <c r="A62" s="37" t="n">
        <v>0</v>
      </c>
      <c r="B62" s="37" t="n">
        <v>0</v>
      </c>
      <c r="C62" s="37" t="n">
        <v>0</v>
      </c>
      <c r="D62" s="37" t="n">
        <v>5</v>
      </c>
      <c r="E62" s="37" t="n">
        <v>20</v>
      </c>
      <c r="F62" s="37" t="n">
        <v>5</v>
      </c>
      <c r="G62" s="37" t="s">
        <v>195</v>
      </c>
      <c r="H62" s="38" t="n">
        <v>198.430890585649</v>
      </c>
      <c r="I62" s="38" t="n">
        <v>196.459320368592</v>
      </c>
      <c r="J62" s="38" t="n">
        <v>192.063237108515</v>
      </c>
      <c r="K62" s="38" t="n">
        <v>207.327987408188</v>
      </c>
      <c r="L62" s="38" t="n">
        <v>49.6048359798442</v>
      </c>
      <c r="M62" s="38" t="n">
        <v>97.6377069992654</v>
      </c>
      <c r="N62" s="38" t="n">
        <v>97.8268210820716</v>
      </c>
      <c r="O62" s="38" t="n">
        <v>60.8410178862362</v>
      </c>
      <c r="P62" s="37" t="n">
        <v>0</v>
      </c>
      <c r="Q62" s="38" t="n">
        <v>0</v>
      </c>
      <c r="R62" s="38" t="n">
        <v>70.3580545714967</v>
      </c>
      <c r="S62" s="37" t="n">
        <v>0</v>
      </c>
    </row>
    <row r="63" customFormat="false" ht="15" hidden="false" customHeight="false" outlineLevel="0" collapsed="false">
      <c r="A63" s="37" t="n">
        <v>0</v>
      </c>
      <c r="B63" s="37" t="n">
        <v>0</v>
      </c>
      <c r="C63" s="37" t="n">
        <v>0</v>
      </c>
      <c r="D63" s="37" t="n">
        <v>5</v>
      </c>
      <c r="E63" s="37" t="n">
        <v>20</v>
      </c>
      <c r="F63" s="37" t="n">
        <v>5</v>
      </c>
      <c r="G63" s="37" t="s">
        <v>197</v>
      </c>
      <c r="H63" s="38" t="n">
        <v>198.430890585649</v>
      </c>
      <c r="I63" s="38" t="n">
        <v>196.467656902523</v>
      </c>
      <c r="J63" s="38" t="n">
        <v>194.303742981023</v>
      </c>
      <c r="K63" s="38" t="n">
        <v>213.355100838254</v>
      </c>
      <c r="L63" s="38" t="n">
        <v>61.8551008382536</v>
      </c>
      <c r="M63" s="38" t="n">
        <v>107.415122230624</v>
      </c>
      <c r="N63" s="38" t="n">
        <v>113.580743003576</v>
      </c>
      <c r="O63" s="38" t="n">
        <v>65.481611947013</v>
      </c>
      <c r="P63" s="37" t="n">
        <v>0</v>
      </c>
      <c r="Q63" s="38" t="n">
        <v>0</v>
      </c>
      <c r="R63" s="38" t="n">
        <v>72</v>
      </c>
      <c r="S63" s="37" t="n">
        <v>1</v>
      </c>
    </row>
    <row r="64" customFormat="false" ht="15" hidden="false" customHeight="false" outlineLevel="0" collapsed="false">
      <c r="A64" s="37" t="n">
        <v>0</v>
      </c>
      <c r="B64" s="37" t="n">
        <v>0</v>
      </c>
      <c r="C64" s="37" t="n">
        <v>0</v>
      </c>
      <c r="D64" s="37" t="n">
        <v>5</v>
      </c>
      <c r="E64" s="37" t="n">
        <v>20</v>
      </c>
      <c r="F64" s="37" t="n">
        <v>5</v>
      </c>
      <c r="G64" s="37" t="s">
        <v>196</v>
      </c>
      <c r="H64" s="38" t="n">
        <v>198.430890585649</v>
      </c>
      <c r="I64" s="38" t="n">
        <v>196.402123152302</v>
      </c>
      <c r="J64" s="38" t="n">
        <v>186.574712600045</v>
      </c>
      <c r="K64" s="38" t="n">
        <v>213.81404739638</v>
      </c>
      <c r="L64" s="38" t="n">
        <v>60.2584918408241</v>
      </c>
      <c r="M64" s="38" t="n">
        <v>99.7303475591627</v>
      </c>
      <c r="N64" s="38" t="n">
        <v>102.822077389449</v>
      </c>
      <c r="O64" s="38" t="n">
        <v>58.9184836334302</v>
      </c>
      <c r="P64" s="37" t="n">
        <v>0</v>
      </c>
      <c r="Q64" s="38" t="n">
        <v>0</v>
      </c>
      <c r="R64" s="38" t="n">
        <v>70.6398921495024</v>
      </c>
      <c r="S64" s="37" t="n">
        <v>0</v>
      </c>
    </row>
    <row r="65" customFormat="false" ht="15" hidden="false" customHeight="false" outlineLevel="0" collapsed="false">
      <c r="A65" s="37" t="n">
        <v>0</v>
      </c>
      <c r="B65" s="37" t="n">
        <v>0</v>
      </c>
      <c r="C65" s="37" t="n">
        <v>0</v>
      </c>
      <c r="D65" s="37" t="n">
        <v>5</v>
      </c>
      <c r="E65" s="37" t="n">
        <v>25</v>
      </c>
      <c r="F65" s="37" t="n">
        <v>0</v>
      </c>
      <c r="G65" s="37" t="s">
        <v>188</v>
      </c>
      <c r="H65" s="38" t="n">
        <v>198.441644911852</v>
      </c>
      <c r="I65" s="38" t="n">
        <v>196.500615404236</v>
      </c>
      <c r="J65" s="38" t="n">
        <v>190.794552760246</v>
      </c>
      <c r="K65" s="38" t="n">
        <v>208.748591670733</v>
      </c>
      <c r="L65" s="38" t="n">
        <v>24.9831302014398</v>
      </c>
      <c r="M65" s="38" t="n">
        <v>96.3827916064304</v>
      </c>
      <c r="N65" s="38" t="n">
        <v>80.5196969218388</v>
      </c>
      <c r="O65" s="38" t="n">
        <v>53.9104370766671</v>
      </c>
      <c r="P65" s="37" t="n">
        <v>0</v>
      </c>
      <c r="Q65" s="38" t="n">
        <v>0.0168697985602364</v>
      </c>
      <c r="R65" s="38" t="n">
        <v>72</v>
      </c>
      <c r="S65" s="37" t="n">
        <v>0</v>
      </c>
    </row>
    <row r="66" customFormat="false" ht="15" hidden="false" customHeight="false" outlineLevel="0" collapsed="false">
      <c r="A66" s="37" t="n">
        <v>0</v>
      </c>
      <c r="B66" s="37" t="n">
        <v>0</v>
      </c>
      <c r="C66" s="37" t="n">
        <v>0</v>
      </c>
      <c r="D66" s="37" t="n">
        <v>5</v>
      </c>
      <c r="E66" s="37" t="n">
        <v>25</v>
      </c>
      <c r="F66" s="37" t="n">
        <v>0</v>
      </c>
      <c r="G66" s="37" t="s">
        <v>192</v>
      </c>
      <c r="H66" s="38" t="n">
        <v>198.441644911852</v>
      </c>
      <c r="I66" s="38" t="n">
        <v>196.502256280636</v>
      </c>
      <c r="J66" s="38" t="n">
        <v>194.428516035852</v>
      </c>
      <c r="K66" s="38" t="n">
        <v>213.462805824845</v>
      </c>
      <c r="L66" s="38" t="n">
        <v>24.9965451965987</v>
      </c>
      <c r="M66" s="38" t="n">
        <v>93.3847632479748</v>
      </c>
      <c r="N66" s="38" t="n">
        <v>82.7516860484697</v>
      </c>
      <c r="O66" s="38" t="n">
        <v>54.7257036019888</v>
      </c>
      <c r="P66" s="37" t="n">
        <v>0</v>
      </c>
      <c r="Q66" s="38" t="n">
        <v>0.00345480340135396</v>
      </c>
      <c r="R66" s="38" t="n">
        <v>72</v>
      </c>
      <c r="S66" s="37" t="n">
        <v>0</v>
      </c>
    </row>
    <row r="67" customFormat="false" ht="15" hidden="false" customHeight="false" outlineLevel="0" collapsed="false">
      <c r="A67" s="37" t="n">
        <v>0</v>
      </c>
      <c r="B67" s="37" t="n">
        <v>0</v>
      </c>
      <c r="C67" s="37" t="n">
        <v>0</v>
      </c>
      <c r="D67" s="37" t="n">
        <v>5</v>
      </c>
      <c r="E67" s="37" t="n">
        <v>25</v>
      </c>
      <c r="F67" s="37" t="n">
        <v>0</v>
      </c>
      <c r="G67" s="37" t="s">
        <v>195</v>
      </c>
      <c r="H67" s="38" t="n">
        <v>198.441644911852</v>
      </c>
      <c r="I67" s="38" t="n">
        <v>196.564131666173</v>
      </c>
      <c r="J67" s="38" t="n">
        <v>192.713754703222</v>
      </c>
      <c r="K67" s="38" t="n">
        <v>208.775766446801</v>
      </c>
      <c r="L67" s="38" t="n">
        <v>24.9984697200781</v>
      </c>
      <c r="M67" s="38" t="n">
        <v>98.1141296568855</v>
      </c>
      <c r="N67" s="38" t="n">
        <v>85.9837182955443</v>
      </c>
      <c r="O67" s="38" t="n">
        <v>57.2622647186021</v>
      </c>
      <c r="P67" s="37" t="n">
        <v>0</v>
      </c>
      <c r="Q67" s="38" t="n">
        <v>0.00153027992192278</v>
      </c>
      <c r="R67" s="38" t="n">
        <v>70.3529353164807</v>
      </c>
      <c r="S67" s="37" t="n">
        <v>0</v>
      </c>
    </row>
    <row r="68" customFormat="false" ht="15" hidden="false" customHeight="false" outlineLevel="0" collapsed="false">
      <c r="A68" s="37" t="n">
        <v>0</v>
      </c>
      <c r="B68" s="37" t="n">
        <v>0</v>
      </c>
      <c r="C68" s="37" t="n">
        <v>0</v>
      </c>
      <c r="D68" s="37" t="n">
        <v>5</v>
      </c>
      <c r="E68" s="37" t="n">
        <v>25</v>
      </c>
      <c r="F68" s="37" t="n">
        <v>0</v>
      </c>
      <c r="G68" s="37" t="s">
        <v>197</v>
      </c>
      <c r="H68" s="38" t="n">
        <v>198.441644911852</v>
      </c>
      <c r="I68" s="38" t="n">
        <v>196.581490024308</v>
      </c>
      <c r="J68" s="38" t="n">
        <v>195.313049392241</v>
      </c>
      <c r="K68" s="38" t="n">
        <v>215.283919510839</v>
      </c>
      <c r="L68" s="38" t="n">
        <v>33.7839195108392</v>
      </c>
      <c r="M68" s="38" t="n">
        <v>108.832907122664</v>
      </c>
      <c r="N68" s="38" t="n">
        <v>110.641560103019</v>
      </c>
      <c r="O68" s="38" t="n">
        <v>62.3606666080859</v>
      </c>
      <c r="P68" s="37" t="n">
        <v>0</v>
      </c>
      <c r="Q68" s="38" t="n">
        <v>0</v>
      </c>
      <c r="R68" s="38" t="n">
        <v>72</v>
      </c>
      <c r="S68" s="37" t="n">
        <v>1</v>
      </c>
    </row>
    <row r="69" customFormat="false" ht="15" hidden="false" customHeight="false" outlineLevel="0" collapsed="false">
      <c r="A69" s="37" t="n">
        <v>0</v>
      </c>
      <c r="B69" s="37" t="n">
        <v>0</v>
      </c>
      <c r="C69" s="37" t="n">
        <v>0</v>
      </c>
      <c r="D69" s="37" t="n">
        <v>5</v>
      </c>
      <c r="E69" s="37" t="n">
        <v>25</v>
      </c>
      <c r="F69" s="37" t="n">
        <v>0</v>
      </c>
      <c r="G69" s="37" t="s">
        <v>196</v>
      </c>
      <c r="H69" s="38" t="n">
        <v>198.441644911852</v>
      </c>
      <c r="I69" s="38" t="n">
        <v>196.504302876949</v>
      </c>
      <c r="J69" s="38" t="n">
        <v>187.158396803561</v>
      </c>
      <c r="K69" s="38" t="n">
        <v>215.151857291645</v>
      </c>
      <c r="L69" s="38" t="n">
        <v>32.1518572916448</v>
      </c>
      <c r="M69" s="38" t="n">
        <v>100.385971610851</v>
      </c>
      <c r="N69" s="38" t="n">
        <v>97.2329200977662</v>
      </c>
      <c r="O69" s="38" t="n">
        <v>55.1827921348453</v>
      </c>
      <c r="P69" s="37" t="n">
        <v>0</v>
      </c>
      <c r="Q69" s="38" t="n">
        <v>0</v>
      </c>
      <c r="R69" s="38" t="n">
        <v>70.6383894082404</v>
      </c>
      <c r="S69" s="37" t="n">
        <v>0</v>
      </c>
    </row>
    <row r="70" customFormat="false" ht="15" hidden="false" customHeight="false" outlineLevel="0" collapsed="false">
      <c r="A70" s="37" t="n">
        <v>0</v>
      </c>
      <c r="B70" s="37" t="n">
        <v>0</v>
      </c>
      <c r="C70" s="37" t="n">
        <v>0</v>
      </c>
      <c r="D70" s="37" t="n">
        <v>10</v>
      </c>
      <c r="E70" s="37" t="n">
        <v>0</v>
      </c>
      <c r="F70" s="37" t="n">
        <v>20</v>
      </c>
      <c r="G70" s="37" t="s">
        <v>188</v>
      </c>
      <c r="H70" s="38" t="n">
        <v>198.526402768529</v>
      </c>
      <c r="I70" s="38" t="n">
        <v>196.119818323925</v>
      </c>
      <c r="J70" s="38" t="n">
        <v>183.673575313686</v>
      </c>
      <c r="K70" s="38" t="n">
        <v>188.631990197153</v>
      </c>
      <c r="L70" s="38" t="n">
        <v>155.435042407469</v>
      </c>
      <c r="M70" s="38" t="n">
        <v>91.4628681878338</v>
      </c>
      <c r="N70" s="38" t="n">
        <v>70.4452667406567</v>
      </c>
      <c r="O70" s="38" t="n">
        <v>55.3307375818953</v>
      </c>
      <c r="P70" s="37" t="n">
        <v>0</v>
      </c>
      <c r="Q70" s="38" t="n">
        <v>0</v>
      </c>
      <c r="R70" s="38" t="n">
        <v>72</v>
      </c>
      <c r="S70" s="37" t="n">
        <v>0</v>
      </c>
    </row>
    <row r="71" customFormat="false" ht="15" hidden="false" customHeight="false" outlineLevel="0" collapsed="false">
      <c r="A71" s="37" t="n">
        <v>0</v>
      </c>
      <c r="B71" s="37" t="n">
        <v>0</v>
      </c>
      <c r="C71" s="37" t="n">
        <v>0</v>
      </c>
      <c r="D71" s="37" t="n">
        <v>10</v>
      </c>
      <c r="E71" s="37" t="n">
        <v>0</v>
      </c>
      <c r="F71" s="37" t="n">
        <v>20</v>
      </c>
      <c r="G71" s="37" t="s">
        <v>192</v>
      </c>
      <c r="H71" s="38" t="n">
        <v>198.526402768529</v>
      </c>
      <c r="I71" s="38" t="n">
        <v>196.122129110051</v>
      </c>
      <c r="J71" s="38" t="n">
        <v>187.604578574682</v>
      </c>
      <c r="K71" s="38" t="n">
        <v>193.7445468768</v>
      </c>
      <c r="L71" s="38" t="n">
        <v>163.724853147983</v>
      </c>
      <c r="M71" s="38" t="n">
        <v>88.4666107733309</v>
      </c>
      <c r="N71" s="38" t="n">
        <v>73.5349588445048</v>
      </c>
      <c r="O71" s="38" t="n">
        <v>55.3301822447183</v>
      </c>
      <c r="P71" s="37" t="n">
        <v>0</v>
      </c>
      <c r="Q71" s="38" t="n">
        <v>0</v>
      </c>
      <c r="R71" s="38" t="n">
        <v>72</v>
      </c>
      <c r="S71" s="37" t="n">
        <v>0</v>
      </c>
    </row>
    <row r="72" customFormat="false" ht="15" hidden="false" customHeight="false" outlineLevel="0" collapsed="false">
      <c r="A72" s="37" t="n">
        <v>0</v>
      </c>
      <c r="B72" s="37" t="n">
        <v>0</v>
      </c>
      <c r="C72" s="37" t="n">
        <v>0</v>
      </c>
      <c r="D72" s="37" t="n">
        <v>10</v>
      </c>
      <c r="E72" s="37" t="n">
        <v>0</v>
      </c>
      <c r="F72" s="37" t="n">
        <v>20</v>
      </c>
      <c r="G72" s="37" t="s">
        <v>195</v>
      </c>
      <c r="H72" s="38" t="n">
        <v>198.526402768529</v>
      </c>
      <c r="I72" s="38" t="n">
        <v>196.199881124191</v>
      </c>
      <c r="J72" s="38" t="n">
        <v>185.642758685809</v>
      </c>
      <c r="K72" s="38" t="n">
        <v>191.552382392005</v>
      </c>
      <c r="L72" s="38" t="n">
        <v>169.552382392005</v>
      </c>
      <c r="M72" s="38" t="n">
        <v>94.4726185999619</v>
      </c>
      <c r="N72" s="38" t="n">
        <v>80.5296186333074</v>
      </c>
      <c r="O72" s="38" t="n">
        <v>58.4615473106356</v>
      </c>
      <c r="P72" s="37" t="n">
        <v>0</v>
      </c>
      <c r="Q72" s="38" t="n">
        <v>0</v>
      </c>
      <c r="R72" s="38" t="n">
        <v>67.30492</v>
      </c>
      <c r="S72" s="37" t="n">
        <v>0</v>
      </c>
    </row>
    <row r="73" customFormat="false" ht="15" hidden="false" customHeight="false" outlineLevel="0" collapsed="false">
      <c r="A73" s="37" t="n">
        <v>0</v>
      </c>
      <c r="B73" s="37" t="n">
        <v>0</v>
      </c>
      <c r="C73" s="37" t="n">
        <v>0</v>
      </c>
      <c r="D73" s="37" t="n">
        <v>10</v>
      </c>
      <c r="E73" s="37" t="n">
        <v>0</v>
      </c>
      <c r="F73" s="37" t="n">
        <v>20</v>
      </c>
      <c r="G73" s="37" t="s">
        <v>197</v>
      </c>
      <c r="H73" s="38" t="n">
        <v>198.526402768529</v>
      </c>
      <c r="I73" s="38" t="n">
        <v>196.122121462465</v>
      </c>
      <c r="J73" s="38" t="n">
        <v>186.956279198678</v>
      </c>
      <c r="K73" s="38" t="n">
        <v>192.904287938105</v>
      </c>
      <c r="L73" s="38" t="n">
        <v>165.64241974561</v>
      </c>
      <c r="M73" s="38" t="n">
        <v>93.2665976736428</v>
      </c>
      <c r="N73" s="38" t="n">
        <v>75.4212955049368</v>
      </c>
      <c r="O73" s="38" t="n">
        <v>57.1042942703516</v>
      </c>
      <c r="P73" s="37" t="n">
        <v>0</v>
      </c>
      <c r="Q73" s="38" t="n">
        <v>0</v>
      </c>
      <c r="R73" s="38" t="n">
        <v>72</v>
      </c>
      <c r="S73" s="37" t="n">
        <v>0</v>
      </c>
    </row>
    <row r="74" customFormat="false" ht="15" hidden="false" customHeight="false" outlineLevel="0" collapsed="false">
      <c r="A74" s="37" t="n">
        <v>0</v>
      </c>
      <c r="B74" s="37" t="n">
        <v>0</v>
      </c>
      <c r="C74" s="37" t="n">
        <v>0</v>
      </c>
      <c r="D74" s="37" t="n">
        <v>10</v>
      </c>
      <c r="E74" s="37" t="n">
        <v>0</v>
      </c>
      <c r="F74" s="37" t="n">
        <v>20</v>
      </c>
      <c r="G74" s="37" t="s">
        <v>196</v>
      </c>
      <c r="H74" s="38" t="n">
        <v>198.526402768529</v>
      </c>
      <c r="I74" s="38" t="n">
        <v>196.122121462465</v>
      </c>
      <c r="J74" s="38" t="n">
        <v>180.983729109236</v>
      </c>
      <c r="K74" s="38" t="n">
        <v>196.133521461296</v>
      </c>
      <c r="L74" s="38" t="n">
        <v>162.577965905741</v>
      </c>
      <c r="M74" s="38" t="n">
        <v>93.9121976736428</v>
      </c>
      <c r="N74" s="38" t="n">
        <v>80.8159017062801</v>
      </c>
      <c r="O74" s="38" t="n">
        <v>57.3808917354783</v>
      </c>
      <c r="P74" s="37" t="n">
        <v>0</v>
      </c>
      <c r="Q74" s="38" t="n">
        <v>0</v>
      </c>
      <c r="R74" s="38" t="n">
        <v>70.7373333333333</v>
      </c>
      <c r="S74" s="37" t="n">
        <v>1</v>
      </c>
    </row>
    <row r="75" customFormat="false" ht="15" hidden="false" customHeight="false" outlineLevel="0" collapsed="false">
      <c r="A75" s="37" t="n">
        <v>0</v>
      </c>
      <c r="B75" s="37" t="n">
        <v>0</v>
      </c>
      <c r="C75" s="37" t="n">
        <v>0</v>
      </c>
      <c r="D75" s="37" t="n">
        <v>10</v>
      </c>
      <c r="E75" s="37" t="n">
        <v>5</v>
      </c>
      <c r="F75" s="37" t="n">
        <v>15</v>
      </c>
      <c r="G75" s="37" t="s">
        <v>188</v>
      </c>
      <c r="H75" s="38" t="n">
        <v>198.563446823223</v>
      </c>
      <c r="I75" s="38" t="n">
        <v>196.45994534444</v>
      </c>
      <c r="J75" s="38" t="n">
        <v>187.095581205567</v>
      </c>
      <c r="K75" s="38" t="n">
        <v>194.771937771613</v>
      </c>
      <c r="L75" s="38" t="n">
        <v>121.854952412862</v>
      </c>
      <c r="M75" s="38" t="n">
        <v>92.9819969924019</v>
      </c>
      <c r="N75" s="38" t="n">
        <v>79.02156814815</v>
      </c>
      <c r="O75" s="38" t="n">
        <v>55.8279970495359</v>
      </c>
      <c r="P75" s="37" t="n">
        <v>0</v>
      </c>
      <c r="Q75" s="38" t="n">
        <v>0</v>
      </c>
      <c r="R75" s="38" t="n">
        <v>72</v>
      </c>
      <c r="S75" s="37" t="n">
        <v>0</v>
      </c>
    </row>
    <row r="76" customFormat="false" ht="15" hidden="false" customHeight="false" outlineLevel="0" collapsed="false">
      <c r="A76" s="37" t="n">
        <v>0</v>
      </c>
      <c r="B76" s="37" t="n">
        <v>0</v>
      </c>
      <c r="C76" s="37" t="n">
        <v>0</v>
      </c>
      <c r="D76" s="37" t="n">
        <v>10</v>
      </c>
      <c r="E76" s="37" t="n">
        <v>5</v>
      </c>
      <c r="F76" s="37" t="n">
        <v>15</v>
      </c>
      <c r="G76" s="37" t="s">
        <v>192</v>
      </c>
      <c r="H76" s="38" t="n">
        <v>198.563446823223</v>
      </c>
      <c r="I76" s="38" t="n">
        <v>196.461807377506</v>
      </c>
      <c r="J76" s="38" t="n">
        <v>190.953109343797</v>
      </c>
      <c r="K76" s="38" t="n">
        <v>199.767410007994</v>
      </c>
      <c r="L76" s="38" t="n">
        <v>118.493498744063</v>
      </c>
      <c r="M76" s="38" t="n">
        <v>89.9845520855929</v>
      </c>
      <c r="N76" s="38" t="n">
        <v>82.2847442566402</v>
      </c>
      <c r="O76" s="38" t="n">
        <v>58.8040921932907</v>
      </c>
      <c r="P76" s="37" t="n">
        <v>0</v>
      </c>
      <c r="Q76" s="38" t="n">
        <v>0</v>
      </c>
      <c r="R76" s="38" t="n">
        <v>72</v>
      </c>
      <c r="S76" s="37" t="n">
        <v>0</v>
      </c>
    </row>
    <row r="77" customFormat="false" ht="15" hidden="false" customHeight="false" outlineLevel="0" collapsed="false">
      <c r="A77" s="37" t="n">
        <v>0</v>
      </c>
      <c r="B77" s="37" t="n">
        <v>0</v>
      </c>
      <c r="C77" s="37" t="n">
        <v>0</v>
      </c>
      <c r="D77" s="37" t="n">
        <v>10</v>
      </c>
      <c r="E77" s="37" t="n">
        <v>5</v>
      </c>
      <c r="F77" s="37" t="n">
        <v>15</v>
      </c>
      <c r="G77" s="37" t="s">
        <v>195</v>
      </c>
      <c r="H77" s="38" t="n">
        <v>198.563446823223</v>
      </c>
      <c r="I77" s="38" t="n">
        <v>196.555006214254</v>
      </c>
      <c r="J77" s="38" t="n">
        <v>189.21705568594</v>
      </c>
      <c r="K77" s="38" t="n">
        <v>198.000878030963</v>
      </c>
      <c r="L77" s="38" t="n">
        <v>124.750878030963</v>
      </c>
      <c r="M77" s="38" t="n">
        <v>96.0290174199146</v>
      </c>
      <c r="N77" s="38" t="n">
        <v>89.6978055927826</v>
      </c>
      <c r="O77" s="38" t="n">
        <v>62.2503456231156</v>
      </c>
      <c r="P77" s="37" t="n">
        <v>0</v>
      </c>
      <c r="Q77" s="38" t="n">
        <v>0</v>
      </c>
      <c r="R77" s="38" t="n">
        <v>67.30492</v>
      </c>
      <c r="S77" s="37" t="n">
        <v>0</v>
      </c>
    </row>
    <row r="78" customFormat="false" ht="15" hidden="false" customHeight="false" outlineLevel="0" collapsed="false">
      <c r="A78" s="37" t="n">
        <v>0</v>
      </c>
      <c r="B78" s="37" t="n">
        <v>0</v>
      </c>
      <c r="C78" s="37" t="n">
        <v>0</v>
      </c>
      <c r="D78" s="37" t="n">
        <v>10</v>
      </c>
      <c r="E78" s="37" t="n">
        <v>5</v>
      </c>
      <c r="F78" s="37" t="n">
        <v>15</v>
      </c>
      <c r="G78" s="37" t="s">
        <v>197</v>
      </c>
      <c r="H78" s="38" t="n">
        <v>198.563446823223</v>
      </c>
      <c r="I78" s="38" t="n">
        <v>196.472392351836</v>
      </c>
      <c r="J78" s="38" t="n">
        <v>190.952984415164</v>
      </c>
      <c r="K78" s="38" t="n">
        <v>199.938244393654</v>
      </c>
      <c r="L78" s="38" t="n">
        <v>118.262881056882</v>
      </c>
      <c r="M78" s="38" t="n">
        <v>98.1965263494044</v>
      </c>
      <c r="N78" s="38" t="n">
        <v>94.4115736133365</v>
      </c>
      <c r="O78" s="38" t="n">
        <v>64.8478824722324</v>
      </c>
      <c r="P78" s="37" t="n">
        <v>0</v>
      </c>
      <c r="Q78" s="38" t="n">
        <v>0</v>
      </c>
      <c r="R78" s="38" t="n">
        <v>72</v>
      </c>
      <c r="S78" s="37" t="n">
        <v>1</v>
      </c>
    </row>
    <row r="79" customFormat="false" ht="15" hidden="false" customHeight="false" outlineLevel="0" collapsed="false">
      <c r="A79" s="37" t="n">
        <v>0</v>
      </c>
      <c r="B79" s="37" t="n">
        <v>0</v>
      </c>
      <c r="C79" s="37" t="n">
        <v>0</v>
      </c>
      <c r="D79" s="37" t="n">
        <v>10</v>
      </c>
      <c r="E79" s="37" t="n">
        <v>5</v>
      </c>
      <c r="F79" s="37" t="n">
        <v>15</v>
      </c>
      <c r="G79" s="37" t="s">
        <v>196</v>
      </c>
      <c r="H79" s="38" t="n">
        <v>198.563446823223</v>
      </c>
      <c r="I79" s="38" t="n">
        <v>196.46217551549</v>
      </c>
      <c r="J79" s="38" t="n">
        <v>184.048029143476</v>
      </c>
      <c r="K79" s="38" t="n">
        <v>201.833671558938</v>
      </c>
      <c r="L79" s="38" t="n">
        <v>128.278116003382</v>
      </c>
      <c r="M79" s="38" t="n">
        <v>96.1016670670157</v>
      </c>
      <c r="N79" s="38" t="n">
        <v>90.4193963567668</v>
      </c>
      <c r="O79" s="38" t="n">
        <v>59.5690611292292</v>
      </c>
      <c r="P79" s="37" t="n">
        <v>0</v>
      </c>
      <c r="Q79" s="38" t="n">
        <v>0</v>
      </c>
      <c r="R79" s="38" t="n">
        <v>70.7373333333333</v>
      </c>
      <c r="S79" s="37" t="n">
        <v>0</v>
      </c>
    </row>
    <row r="80" customFormat="false" ht="15" hidden="false" customHeight="false" outlineLevel="0" collapsed="false">
      <c r="A80" s="37" t="n">
        <v>0</v>
      </c>
      <c r="B80" s="37" t="n">
        <v>0</v>
      </c>
      <c r="C80" s="37" t="n">
        <v>0</v>
      </c>
      <c r="D80" s="37" t="n">
        <v>10</v>
      </c>
      <c r="E80" s="37" t="n">
        <v>10</v>
      </c>
      <c r="F80" s="37" t="n">
        <v>10</v>
      </c>
      <c r="G80" s="37" t="s">
        <v>188</v>
      </c>
      <c r="H80" s="38" t="n">
        <v>198.599288296108</v>
      </c>
      <c r="I80" s="38" t="n">
        <v>196.816644961659</v>
      </c>
      <c r="J80" s="38" t="n">
        <v>190.077833223915</v>
      </c>
      <c r="K80" s="38" t="n">
        <v>200.260571591978</v>
      </c>
      <c r="L80" s="38" t="n">
        <v>76.352954558956</v>
      </c>
      <c r="M80" s="38" t="n">
        <v>94.4405619557698</v>
      </c>
      <c r="N80" s="38" t="n">
        <v>86.9549940051036</v>
      </c>
      <c r="O80" s="38" t="n">
        <v>58.8607742323102</v>
      </c>
      <c r="P80" s="37" t="n">
        <v>0</v>
      </c>
      <c r="Q80" s="38" t="n">
        <v>0</v>
      </c>
      <c r="R80" s="38" t="n">
        <v>72</v>
      </c>
      <c r="S80" s="37" t="n">
        <v>0</v>
      </c>
    </row>
    <row r="81" customFormat="false" ht="15" hidden="false" customHeight="false" outlineLevel="0" collapsed="false">
      <c r="A81" s="37" t="n">
        <v>0</v>
      </c>
      <c r="B81" s="37" t="n">
        <v>0</v>
      </c>
      <c r="C81" s="37" t="n">
        <v>0</v>
      </c>
      <c r="D81" s="37" t="n">
        <v>10</v>
      </c>
      <c r="E81" s="37" t="n">
        <v>10</v>
      </c>
      <c r="F81" s="37" t="n">
        <v>10</v>
      </c>
      <c r="G81" s="37" t="s">
        <v>192</v>
      </c>
      <c r="H81" s="38" t="n">
        <v>198.599288296108</v>
      </c>
      <c r="I81" s="38" t="n">
        <v>196.818445505285</v>
      </c>
      <c r="J81" s="38" t="n">
        <v>193.685914851551</v>
      </c>
      <c r="K81" s="38" t="n">
        <v>205.018149955572</v>
      </c>
      <c r="L81" s="38" t="n">
        <v>83.7384734353621</v>
      </c>
      <c r="M81" s="38" t="n">
        <v>91.4429017647373</v>
      </c>
      <c r="N81" s="38" t="n">
        <v>88.9689832561601</v>
      </c>
      <c r="O81" s="38" t="n">
        <v>58.92254799316</v>
      </c>
      <c r="P81" s="37" t="n">
        <v>0</v>
      </c>
      <c r="Q81" s="38" t="n">
        <v>0</v>
      </c>
      <c r="R81" s="38" t="n">
        <v>72</v>
      </c>
      <c r="S81" s="37" t="n">
        <v>0</v>
      </c>
    </row>
    <row r="82" customFormat="false" ht="15" hidden="false" customHeight="false" outlineLevel="0" collapsed="false">
      <c r="A82" s="37" t="n">
        <v>0</v>
      </c>
      <c r="B82" s="37" t="n">
        <v>0</v>
      </c>
      <c r="C82" s="37" t="n">
        <v>0</v>
      </c>
      <c r="D82" s="37" t="n">
        <v>10</v>
      </c>
      <c r="E82" s="37" t="n">
        <v>10</v>
      </c>
      <c r="F82" s="37" t="n">
        <v>10</v>
      </c>
      <c r="G82" s="37" t="s">
        <v>195</v>
      </c>
      <c r="H82" s="38" t="n">
        <v>198.599288296108</v>
      </c>
      <c r="I82" s="38" t="n">
        <v>196.926399705556</v>
      </c>
      <c r="J82" s="38" t="n">
        <v>192.197221743831</v>
      </c>
      <c r="K82" s="38" t="n">
        <v>203.703770028642</v>
      </c>
      <c r="L82" s="38" t="n">
        <v>90.4537700286415</v>
      </c>
      <c r="M82" s="38" t="n">
        <v>97.5195662378278</v>
      </c>
      <c r="N82" s="38" t="n">
        <v>96.8896141991834</v>
      </c>
      <c r="O82" s="38" t="n">
        <v>62.6663661458035</v>
      </c>
      <c r="P82" s="37" t="n">
        <v>0</v>
      </c>
      <c r="Q82" s="38" t="n">
        <v>0</v>
      </c>
      <c r="R82" s="38" t="n">
        <v>67.3027324100991</v>
      </c>
      <c r="S82" s="37" t="n">
        <v>0</v>
      </c>
    </row>
    <row r="83" customFormat="false" ht="15" hidden="false" customHeight="false" outlineLevel="0" collapsed="false">
      <c r="A83" s="37" t="n">
        <v>0</v>
      </c>
      <c r="B83" s="37" t="n">
        <v>0</v>
      </c>
      <c r="C83" s="37" t="n">
        <v>0</v>
      </c>
      <c r="D83" s="37" t="n">
        <v>10</v>
      </c>
      <c r="E83" s="37" t="n">
        <v>10</v>
      </c>
      <c r="F83" s="37" t="n">
        <v>10</v>
      </c>
      <c r="G83" s="37" t="s">
        <v>197</v>
      </c>
      <c r="H83" s="38" t="n">
        <v>198.599288296108</v>
      </c>
      <c r="I83" s="38" t="n">
        <v>196.849738193461</v>
      </c>
      <c r="J83" s="38" t="n">
        <v>194.662096957473</v>
      </c>
      <c r="K83" s="38" t="n">
        <v>206.618154377116</v>
      </c>
      <c r="L83" s="38" t="n">
        <v>85.6931035550181</v>
      </c>
      <c r="M83" s="38" t="n">
        <v>102.442962954304</v>
      </c>
      <c r="N83" s="38" t="n">
        <v>109.508100437269</v>
      </c>
      <c r="O83" s="38" t="n">
        <v>66.5488085182436</v>
      </c>
      <c r="P83" s="37" t="n">
        <v>0</v>
      </c>
      <c r="Q83" s="38" t="n">
        <v>0</v>
      </c>
      <c r="R83" s="38" t="n">
        <v>72</v>
      </c>
      <c r="S83" s="37" t="n">
        <v>1</v>
      </c>
    </row>
    <row r="84" customFormat="false" ht="15" hidden="false" customHeight="false" outlineLevel="0" collapsed="false">
      <c r="A84" s="37" t="n">
        <v>0</v>
      </c>
      <c r="B84" s="37" t="n">
        <v>0</v>
      </c>
      <c r="C84" s="37" t="n">
        <v>0</v>
      </c>
      <c r="D84" s="37" t="n">
        <v>10</v>
      </c>
      <c r="E84" s="37" t="n">
        <v>10</v>
      </c>
      <c r="F84" s="37" t="n">
        <v>10</v>
      </c>
      <c r="G84" s="37" t="s">
        <v>196</v>
      </c>
      <c r="H84" s="38" t="n">
        <v>198.599288296108</v>
      </c>
      <c r="I84" s="38" t="n">
        <v>196.819346116815</v>
      </c>
      <c r="J84" s="38" t="n">
        <v>186.63777132811</v>
      </c>
      <c r="K84" s="38" t="n">
        <v>206.911275698217</v>
      </c>
      <c r="L84" s="38" t="n">
        <v>93.3557201426613</v>
      </c>
      <c r="M84" s="38" t="n">
        <v>98.0968300225145</v>
      </c>
      <c r="N84" s="38" t="n">
        <v>98.2620888072438</v>
      </c>
      <c r="O84" s="38" t="n">
        <v>60.1537595596311</v>
      </c>
      <c r="P84" s="37" t="n">
        <v>0</v>
      </c>
      <c r="Q84" s="38" t="n">
        <v>0</v>
      </c>
      <c r="R84" s="38" t="n">
        <v>70.7373333333333</v>
      </c>
      <c r="S84" s="37" t="n">
        <v>0</v>
      </c>
    </row>
    <row r="85" customFormat="false" ht="15" hidden="false" customHeight="false" outlineLevel="0" collapsed="false">
      <c r="A85" s="37" t="n">
        <v>0</v>
      </c>
      <c r="B85" s="37" t="n">
        <v>0</v>
      </c>
      <c r="C85" s="37" t="n">
        <v>0</v>
      </c>
      <c r="D85" s="37" t="n">
        <v>10</v>
      </c>
      <c r="E85" s="37" t="n">
        <v>15</v>
      </c>
      <c r="F85" s="37" t="n">
        <v>5</v>
      </c>
      <c r="G85" s="37" t="s">
        <v>188</v>
      </c>
      <c r="H85" s="38" t="n">
        <v>198.633014086797</v>
      </c>
      <c r="I85" s="38" t="n">
        <v>197.10294672316</v>
      </c>
      <c r="J85" s="38" t="n">
        <v>192.201972282867</v>
      </c>
      <c r="K85" s="38" t="n">
        <v>204.394485863618</v>
      </c>
      <c r="L85" s="38" t="n">
        <v>40.7247480414724</v>
      </c>
      <c r="M85" s="38" t="n">
        <v>95.6288819926459</v>
      </c>
      <c r="N85" s="38" t="n">
        <v>92.0334676379461</v>
      </c>
      <c r="O85" s="38" t="n">
        <v>58.6183272999408</v>
      </c>
      <c r="P85" s="37" t="n">
        <v>0</v>
      </c>
      <c r="Q85" s="38" t="n">
        <v>0</v>
      </c>
      <c r="R85" s="38" t="n">
        <v>72</v>
      </c>
      <c r="S85" s="37" t="n">
        <v>0</v>
      </c>
    </row>
    <row r="86" customFormat="false" ht="15" hidden="false" customHeight="false" outlineLevel="0" collapsed="false">
      <c r="A86" s="37" t="n">
        <v>0</v>
      </c>
      <c r="B86" s="37" t="n">
        <v>0</v>
      </c>
      <c r="C86" s="37" t="n">
        <v>0</v>
      </c>
      <c r="D86" s="37" t="n">
        <v>10</v>
      </c>
      <c r="E86" s="37" t="n">
        <v>15</v>
      </c>
      <c r="F86" s="37" t="n">
        <v>5</v>
      </c>
      <c r="G86" s="37" t="s">
        <v>192</v>
      </c>
      <c r="H86" s="38" t="n">
        <v>198.633014086797</v>
      </c>
      <c r="I86" s="38" t="n">
        <v>197.104703346159</v>
      </c>
      <c r="J86" s="38" t="n">
        <v>195.725769773878</v>
      </c>
      <c r="K86" s="38" t="n">
        <v>209.0396738291</v>
      </c>
      <c r="L86" s="38" t="n">
        <v>47.7544648190818</v>
      </c>
      <c r="M86" s="38" t="n">
        <v>92.6310832672094</v>
      </c>
      <c r="N86" s="38" t="n">
        <v>93.8274105130027</v>
      </c>
      <c r="O86" s="38" t="n">
        <v>58.7729405468491</v>
      </c>
      <c r="P86" s="37" t="n">
        <v>0</v>
      </c>
      <c r="Q86" s="38" t="n">
        <v>0</v>
      </c>
      <c r="R86" s="38" t="n">
        <v>72</v>
      </c>
      <c r="S86" s="37" t="n">
        <v>0</v>
      </c>
    </row>
    <row r="87" customFormat="false" ht="15" hidden="false" customHeight="false" outlineLevel="0" collapsed="false">
      <c r="A87" s="37" t="n">
        <v>0</v>
      </c>
      <c r="B87" s="37" t="n">
        <v>0</v>
      </c>
      <c r="C87" s="37" t="n">
        <v>0</v>
      </c>
      <c r="D87" s="37" t="n">
        <v>10</v>
      </c>
      <c r="E87" s="37" t="n">
        <v>15</v>
      </c>
      <c r="F87" s="37" t="n">
        <v>5</v>
      </c>
      <c r="G87" s="37" t="s">
        <v>195</v>
      </c>
      <c r="H87" s="38" t="n">
        <v>198.633014086797</v>
      </c>
      <c r="I87" s="38" t="n">
        <v>197.227319190111</v>
      </c>
      <c r="J87" s="38" t="n">
        <v>194.471379851953</v>
      </c>
      <c r="K87" s="38" t="n">
        <v>208.153381731435</v>
      </c>
      <c r="L87" s="38" t="n">
        <v>54.9033817314352</v>
      </c>
      <c r="M87" s="38" t="n">
        <v>98.7379783241621</v>
      </c>
      <c r="N87" s="38" t="n">
        <v>102.146482874703</v>
      </c>
      <c r="O87" s="38" t="n">
        <v>62.7630494856942</v>
      </c>
      <c r="P87" s="37" t="n">
        <v>0</v>
      </c>
      <c r="Q87" s="38" t="n">
        <v>0</v>
      </c>
      <c r="R87" s="38" t="n">
        <v>67.2988459653011</v>
      </c>
      <c r="S87" s="37" t="n">
        <v>0</v>
      </c>
    </row>
    <row r="88" customFormat="false" ht="15" hidden="false" customHeight="false" outlineLevel="0" collapsed="false">
      <c r="A88" s="37" t="n">
        <v>0</v>
      </c>
      <c r="B88" s="37" t="n">
        <v>0</v>
      </c>
      <c r="C88" s="37" t="n">
        <v>0</v>
      </c>
      <c r="D88" s="37" t="n">
        <v>10</v>
      </c>
      <c r="E88" s="37" t="n">
        <v>15</v>
      </c>
      <c r="F88" s="37" t="n">
        <v>5</v>
      </c>
      <c r="G88" s="37" t="s">
        <v>197</v>
      </c>
      <c r="H88" s="38" t="n">
        <v>198.633014086797</v>
      </c>
      <c r="I88" s="38" t="n">
        <v>197.15396036146</v>
      </c>
      <c r="J88" s="38" t="n">
        <v>195.843435307995</v>
      </c>
      <c r="K88" s="38" t="n">
        <v>209.622153018085</v>
      </c>
      <c r="L88" s="38" t="n">
        <v>53.1221530180848</v>
      </c>
      <c r="M88" s="38" t="n">
        <v>105.394265745063</v>
      </c>
      <c r="N88" s="38" t="n">
        <v>111.637843713389</v>
      </c>
      <c r="O88" s="38" t="n">
        <v>65.8325557380242</v>
      </c>
      <c r="P88" s="37" t="n">
        <v>0</v>
      </c>
      <c r="Q88" s="38" t="n">
        <v>0</v>
      </c>
      <c r="R88" s="38" t="n">
        <v>72</v>
      </c>
      <c r="S88" s="37" t="n">
        <v>1</v>
      </c>
    </row>
    <row r="89" customFormat="false" ht="15" hidden="false" customHeight="false" outlineLevel="0" collapsed="false">
      <c r="A89" s="37" t="n">
        <v>0</v>
      </c>
      <c r="B89" s="37" t="n">
        <v>0</v>
      </c>
      <c r="C89" s="37" t="n">
        <v>0</v>
      </c>
      <c r="D89" s="37" t="n">
        <v>10</v>
      </c>
      <c r="E89" s="37" t="n">
        <v>15</v>
      </c>
      <c r="F89" s="37" t="n">
        <v>5</v>
      </c>
      <c r="G89" s="37" t="s">
        <v>196</v>
      </c>
      <c r="H89" s="38" t="n">
        <v>198.633014086797</v>
      </c>
      <c r="I89" s="38" t="n">
        <v>197.105933276069</v>
      </c>
      <c r="J89" s="38" t="n">
        <v>188.571738707818</v>
      </c>
      <c r="K89" s="38" t="n">
        <v>210.805349314712</v>
      </c>
      <c r="L89" s="38" t="n">
        <v>57.2497937591565</v>
      </c>
      <c r="M89" s="38" t="n">
        <v>99.6174583104903</v>
      </c>
      <c r="N89" s="38" t="n">
        <v>103.021011061206</v>
      </c>
      <c r="O89" s="38" t="n">
        <v>59.825350822959</v>
      </c>
      <c r="P89" s="37" t="n">
        <v>0</v>
      </c>
      <c r="Q89" s="38" t="n">
        <v>0</v>
      </c>
      <c r="R89" s="38" t="n">
        <v>70.7373333333333</v>
      </c>
      <c r="S89" s="37" t="n">
        <v>0</v>
      </c>
    </row>
    <row r="90" customFormat="false" ht="15" hidden="false" customHeight="false" outlineLevel="0" collapsed="false">
      <c r="A90" s="37" t="n">
        <v>0</v>
      </c>
      <c r="B90" s="37" t="n">
        <v>0</v>
      </c>
      <c r="C90" s="37" t="n">
        <v>0</v>
      </c>
      <c r="D90" s="37" t="n">
        <v>10</v>
      </c>
      <c r="E90" s="37" t="n">
        <v>20</v>
      </c>
      <c r="F90" s="37" t="n">
        <v>0</v>
      </c>
      <c r="G90" s="37" t="s">
        <v>188</v>
      </c>
      <c r="H90" s="38" t="n">
        <v>198.658200590388</v>
      </c>
      <c r="I90" s="38" t="n">
        <v>197.34278077942</v>
      </c>
      <c r="J90" s="38" t="n">
        <v>193.819773528707</v>
      </c>
      <c r="K90" s="38" t="n">
        <v>207.818333157063</v>
      </c>
      <c r="L90" s="38" t="n">
        <v>24.980370150583</v>
      </c>
      <c r="M90" s="38" t="n">
        <v>96.7013280174785</v>
      </c>
      <c r="N90" s="38" t="n">
        <v>82.3294124143607</v>
      </c>
      <c r="O90" s="38" t="n">
        <v>55.5491332052192</v>
      </c>
      <c r="P90" s="37" t="n">
        <v>0</v>
      </c>
      <c r="Q90" s="38" t="n">
        <v>0.0196298494169582</v>
      </c>
      <c r="R90" s="38" t="n">
        <v>72</v>
      </c>
      <c r="S90" s="37" t="n">
        <v>0</v>
      </c>
    </row>
    <row r="91" customFormat="false" ht="15" hidden="false" customHeight="false" outlineLevel="0" collapsed="false">
      <c r="A91" s="37" t="n">
        <v>0</v>
      </c>
      <c r="B91" s="37" t="n">
        <v>0</v>
      </c>
      <c r="C91" s="37" t="n">
        <v>0</v>
      </c>
      <c r="D91" s="37" t="n">
        <v>10</v>
      </c>
      <c r="E91" s="37" t="n">
        <v>20</v>
      </c>
      <c r="F91" s="37" t="n">
        <v>0</v>
      </c>
      <c r="G91" s="37" t="s">
        <v>192</v>
      </c>
      <c r="H91" s="38" t="n">
        <v>198.658200590388</v>
      </c>
      <c r="I91" s="38" t="n">
        <v>197.344504521378</v>
      </c>
      <c r="J91" s="38" t="n">
        <v>197.421032417348</v>
      </c>
      <c r="K91" s="38" t="n">
        <v>212.457104623873</v>
      </c>
      <c r="L91" s="38" t="n">
        <v>24.99440241408</v>
      </c>
      <c r="M91" s="38" t="n">
        <v>93.7034408886642</v>
      </c>
      <c r="N91" s="38" t="n">
        <v>84.4595036637047</v>
      </c>
      <c r="O91" s="38" t="n">
        <v>55.9437695160119</v>
      </c>
      <c r="P91" s="37" t="n">
        <v>0</v>
      </c>
      <c r="Q91" s="38" t="n">
        <v>0.005597585920043</v>
      </c>
      <c r="R91" s="38" t="n">
        <v>72</v>
      </c>
      <c r="S91" s="37" t="n">
        <v>0</v>
      </c>
    </row>
    <row r="92" customFormat="false" ht="15" hidden="false" customHeight="false" outlineLevel="0" collapsed="false">
      <c r="A92" s="37" t="n">
        <v>0</v>
      </c>
      <c r="B92" s="37" t="n">
        <v>0</v>
      </c>
      <c r="C92" s="37" t="n">
        <v>0</v>
      </c>
      <c r="D92" s="37" t="n">
        <v>10</v>
      </c>
      <c r="E92" s="37" t="n">
        <v>20</v>
      </c>
      <c r="F92" s="37" t="n">
        <v>0</v>
      </c>
      <c r="G92" s="37" t="s">
        <v>195</v>
      </c>
      <c r="H92" s="38" t="n">
        <v>198.658200590388</v>
      </c>
      <c r="I92" s="38" t="n">
        <v>197.479328148105</v>
      </c>
      <c r="J92" s="38" t="n">
        <v>196.306072745094</v>
      </c>
      <c r="K92" s="38" t="n">
        <v>211.885970435093</v>
      </c>
      <c r="L92" s="38" t="n">
        <v>29.8859704350928</v>
      </c>
      <c r="M92" s="38" t="n">
        <v>99.8093177853324</v>
      </c>
      <c r="N92" s="38" t="n">
        <v>97.1961829283426</v>
      </c>
      <c r="O92" s="38" t="n">
        <v>60.2288235365935</v>
      </c>
      <c r="P92" s="37" t="n">
        <v>0</v>
      </c>
      <c r="Q92" s="38" t="n">
        <v>0</v>
      </c>
      <c r="R92" s="38" t="n">
        <v>67.289972477385</v>
      </c>
      <c r="S92" s="37" t="n">
        <v>0</v>
      </c>
    </row>
    <row r="93" customFormat="false" ht="15" hidden="false" customHeight="false" outlineLevel="0" collapsed="false">
      <c r="A93" s="37" t="n">
        <v>0</v>
      </c>
      <c r="B93" s="37" t="n">
        <v>0</v>
      </c>
      <c r="C93" s="37" t="n">
        <v>0</v>
      </c>
      <c r="D93" s="37" t="n">
        <v>10</v>
      </c>
      <c r="E93" s="37" t="n">
        <v>20</v>
      </c>
      <c r="F93" s="37" t="n">
        <v>0</v>
      </c>
      <c r="G93" s="37" t="s">
        <v>197</v>
      </c>
      <c r="H93" s="38" t="n">
        <v>198.658200590388</v>
      </c>
      <c r="I93" s="38" t="n">
        <v>197.413592175692</v>
      </c>
      <c r="J93" s="38" t="n">
        <v>198.164187821147</v>
      </c>
      <c r="K93" s="38" t="n">
        <v>214.012726287484</v>
      </c>
      <c r="L93" s="38" t="n">
        <v>32.5127262874841</v>
      </c>
      <c r="M93" s="38" t="n">
        <v>108.142516193771</v>
      </c>
      <c r="N93" s="38" t="n">
        <v>110.903443154202</v>
      </c>
      <c r="O93" s="38" t="n">
        <v>63.6532932047838</v>
      </c>
      <c r="P93" s="37" t="n">
        <v>0</v>
      </c>
      <c r="Q93" s="38" t="n">
        <v>0</v>
      </c>
      <c r="R93" s="38" t="n">
        <v>72</v>
      </c>
      <c r="S93" s="37" t="n">
        <v>1</v>
      </c>
    </row>
    <row r="94" customFormat="false" ht="15" hidden="false" customHeight="false" outlineLevel="0" collapsed="false">
      <c r="A94" s="37" t="n">
        <v>0</v>
      </c>
      <c r="B94" s="37" t="n">
        <v>0</v>
      </c>
      <c r="C94" s="37" t="n">
        <v>0</v>
      </c>
      <c r="D94" s="37" t="n">
        <v>10</v>
      </c>
      <c r="E94" s="37" t="n">
        <v>20</v>
      </c>
      <c r="F94" s="37" t="n">
        <v>0</v>
      </c>
      <c r="G94" s="37" t="s">
        <v>196</v>
      </c>
      <c r="H94" s="38" t="n">
        <v>198.658200590388</v>
      </c>
      <c r="I94" s="38" t="n">
        <v>197.345774725648</v>
      </c>
      <c r="J94" s="38" t="n">
        <v>190.10477212623</v>
      </c>
      <c r="K94" s="38" t="n">
        <v>214.057184155413</v>
      </c>
      <c r="L94" s="38" t="n">
        <v>31.0571841554132</v>
      </c>
      <c r="M94" s="38" t="n">
        <v>100.990464140512</v>
      </c>
      <c r="N94" s="38" t="n">
        <v>98.7365279255423</v>
      </c>
      <c r="O94" s="38" t="n">
        <v>56.591595396273</v>
      </c>
      <c r="P94" s="37" t="n">
        <v>0</v>
      </c>
      <c r="Q94" s="38" t="n">
        <v>0</v>
      </c>
      <c r="R94" s="38" t="n">
        <v>70.7373333333333</v>
      </c>
      <c r="S94" s="37" t="n">
        <v>0</v>
      </c>
    </row>
    <row r="95" customFormat="false" ht="15" hidden="false" customHeight="false" outlineLevel="0" collapsed="false">
      <c r="A95" s="37" t="n">
        <v>0</v>
      </c>
      <c r="B95" s="37" t="n">
        <v>0</v>
      </c>
      <c r="C95" s="37" t="n">
        <v>0</v>
      </c>
      <c r="D95" s="37" t="n">
        <v>15</v>
      </c>
      <c r="E95" s="37" t="n">
        <v>0</v>
      </c>
      <c r="F95" s="37" t="n">
        <v>15</v>
      </c>
      <c r="G95" s="37" t="s">
        <v>188</v>
      </c>
      <c r="H95" s="38" t="n">
        <v>198.69059789706</v>
      </c>
      <c r="I95" s="38" t="n">
        <v>196.789379770271</v>
      </c>
      <c r="J95" s="38" t="n">
        <v>186.073609373621</v>
      </c>
      <c r="K95" s="38" t="n">
        <v>186.23608386734</v>
      </c>
      <c r="L95" s="38" t="n">
        <v>113.474576804327</v>
      </c>
      <c r="M95" s="38" t="n">
        <v>91.8279476688039</v>
      </c>
      <c r="N95" s="38" t="n">
        <v>72.0977522600767</v>
      </c>
      <c r="O95" s="38" t="n">
        <v>54.4913629302054</v>
      </c>
      <c r="P95" s="37" t="n">
        <v>0</v>
      </c>
      <c r="Q95" s="38" t="n">
        <v>0</v>
      </c>
      <c r="R95" s="38" t="n">
        <v>72</v>
      </c>
      <c r="S95" s="37" t="n">
        <v>0</v>
      </c>
    </row>
    <row r="96" customFormat="false" ht="15" hidden="false" customHeight="false" outlineLevel="0" collapsed="false">
      <c r="A96" s="37" t="n">
        <v>0</v>
      </c>
      <c r="B96" s="37" t="n">
        <v>0</v>
      </c>
      <c r="C96" s="37" t="n">
        <v>0</v>
      </c>
      <c r="D96" s="37" t="n">
        <v>15</v>
      </c>
      <c r="E96" s="37" t="n">
        <v>0</v>
      </c>
      <c r="F96" s="37" t="n">
        <v>15</v>
      </c>
      <c r="G96" s="37" t="s">
        <v>192</v>
      </c>
      <c r="H96" s="38" t="n">
        <v>198.69059789706</v>
      </c>
      <c r="I96" s="38" t="n">
        <v>196.7918160546</v>
      </c>
      <c r="J96" s="38" t="n">
        <v>189.918002074883</v>
      </c>
      <c r="K96" s="38" t="n">
        <v>191.228071226735</v>
      </c>
      <c r="L96" s="38" t="n">
        <v>121.419446357717</v>
      </c>
      <c r="M96" s="38" t="n">
        <v>88.8318906406144</v>
      </c>
      <c r="N96" s="38" t="n">
        <v>74.9949017620349</v>
      </c>
      <c r="O96" s="38" t="n">
        <v>54.5834539536296</v>
      </c>
      <c r="P96" s="37" t="n">
        <v>0</v>
      </c>
      <c r="Q96" s="38" t="n">
        <v>0</v>
      </c>
      <c r="R96" s="38" t="n">
        <v>72</v>
      </c>
      <c r="S96" s="37" t="n">
        <v>0</v>
      </c>
    </row>
    <row r="97" customFormat="false" ht="15" hidden="false" customHeight="false" outlineLevel="0" collapsed="false">
      <c r="A97" s="37" t="n">
        <v>0</v>
      </c>
      <c r="B97" s="37" t="n">
        <v>0</v>
      </c>
      <c r="C97" s="37" t="n">
        <v>0</v>
      </c>
      <c r="D97" s="37" t="n">
        <v>15</v>
      </c>
      <c r="E97" s="37" t="n">
        <v>0</v>
      </c>
      <c r="F97" s="37" t="n">
        <v>15</v>
      </c>
      <c r="G97" s="37" t="s">
        <v>195</v>
      </c>
      <c r="H97" s="38" t="n">
        <v>198.69059789706</v>
      </c>
      <c r="I97" s="38" t="n">
        <v>196.925821495184</v>
      </c>
      <c r="J97" s="38" t="n">
        <v>188.93664418197</v>
      </c>
      <c r="K97" s="38" t="n">
        <v>190.698242611916</v>
      </c>
      <c r="L97" s="38" t="n">
        <v>128.698242611916</v>
      </c>
      <c r="M97" s="38" t="n">
        <v>95.779669360736</v>
      </c>
      <c r="N97" s="38" t="n">
        <v>83.896212965697</v>
      </c>
      <c r="O97" s="38" t="n">
        <v>58.7651991544601</v>
      </c>
      <c r="P97" s="37" t="n">
        <v>0</v>
      </c>
      <c r="Q97" s="38" t="n">
        <v>0</v>
      </c>
      <c r="R97" s="38" t="n">
        <v>67.36</v>
      </c>
      <c r="S97" s="37" t="n">
        <v>1</v>
      </c>
    </row>
    <row r="98" customFormat="false" ht="15" hidden="false" customHeight="false" outlineLevel="0" collapsed="false">
      <c r="A98" s="37" t="n">
        <v>0</v>
      </c>
      <c r="B98" s="37" t="n">
        <v>0</v>
      </c>
      <c r="C98" s="37" t="n">
        <v>0</v>
      </c>
      <c r="D98" s="37" t="n">
        <v>15</v>
      </c>
      <c r="E98" s="37" t="n">
        <v>0</v>
      </c>
      <c r="F98" s="37" t="n">
        <v>15</v>
      </c>
      <c r="G98" s="37" t="s">
        <v>197</v>
      </c>
      <c r="H98" s="38" t="n">
        <v>198.69059789706</v>
      </c>
      <c r="I98" s="38" t="n">
        <v>196.791807966886</v>
      </c>
      <c r="J98" s="38" t="n">
        <v>189.298176287013</v>
      </c>
      <c r="K98" s="38" t="n">
        <v>190.426889111177</v>
      </c>
      <c r="L98" s="38" t="n">
        <v>123.348753115357</v>
      </c>
      <c r="M98" s="38" t="n">
        <v>93.6318767965219</v>
      </c>
      <c r="N98" s="38" t="n">
        <v>77.0185367831879</v>
      </c>
      <c r="O98" s="38" t="n">
        <v>56.6027683209832</v>
      </c>
      <c r="P98" s="37" t="n">
        <v>0</v>
      </c>
      <c r="Q98" s="38" t="n">
        <v>0</v>
      </c>
      <c r="R98" s="38" t="n">
        <v>72</v>
      </c>
      <c r="S98" s="37" t="n">
        <v>0</v>
      </c>
    </row>
    <row r="99" customFormat="false" ht="15" hidden="false" customHeight="false" outlineLevel="0" collapsed="false">
      <c r="A99" s="37" t="n">
        <v>0</v>
      </c>
      <c r="B99" s="37" t="n">
        <v>0</v>
      </c>
      <c r="C99" s="37" t="n">
        <v>0</v>
      </c>
      <c r="D99" s="37" t="n">
        <v>15</v>
      </c>
      <c r="E99" s="37" t="n">
        <v>0</v>
      </c>
      <c r="F99" s="37" t="n">
        <v>15</v>
      </c>
      <c r="G99" s="37" t="s">
        <v>196</v>
      </c>
      <c r="H99" s="38" t="n">
        <v>198.69059789706</v>
      </c>
      <c r="I99" s="38" t="n">
        <v>196.791807966886</v>
      </c>
      <c r="J99" s="38" t="n">
        <v>183.185914648386</v>
      </c>
      <c r="K99" s="38" t="n">
        <v>193.449907318313</v>
      </c>
      <c r="L99" s="38" t="n">
        <v>119.894351762757</v>
      </c>
      <c r="M99" s="38" t="n">
        <v>94.5990767965219</v>
      </c>
      <c r="N99" s="38" t="n">
        <v>82.0923564923909</v>
      </c>
      <c r="O99" s="38" t="n">
        <v>56.5132934125965</v>
      </c>
      <c r="P99" s="37" t="n">
        <v>0</v>
      </c>
      <c r="Q99" s="38" t="n">
        <v>0</v>
      </c>
      <c r="R99" s="38" t="n">
        <v>70.7373333333333</v>
      </c>
      <c r="S99" s="37" t="n">
        <v>0</v>
      </c>
    </row>
    <row r="100" customFormat="false" ht="15" hidden="false" customHeight="false" outlineLevel="0" collapsed="false">
      <c r="A100" s="37" t="n">
        <v>0</v>
      </c>
      <c r="B100" s="37" t="n">
        <v>0</v>
      </c>
      <c r="C100" s="37" t="n">
        <v>0</v>
      </c>
      <c r="D100" s="37" t="n">
        <v>15</v>
      </c>
      <c r="E100" s="37" t="n">
        <v>5</v>
      </c>
      <c r="F100" s="37" t="n">
        <v>10</v>
      </c>
      <c r="G100" s="37" t="s">
        <v>188</v>
      </c>
      <c r="H100" s="38" t="n">
        <v>198.728869483631</v>
      </c>
      <c r="I100" s="38" t="n">
        <v>197.141814782938</v>
      </c>
      <c r="J100" s="38" t="n">
        <v>189.607622577407</v>
      </c>
      <c r="K100" s="38" t="n">
        <v>192.579343420476</v>
      </c>
      <c r="L100" s="38" t="n">
        <v>80.0986932633713</v>
      </c>
      <c r="M100" s="38" t="n">
        <v>93.3694344018687</v>
      </c>
      <c r="N100" s="38" t="n">
        <v>80.8030788591242</v>
      </c>
      <c r="O100" s="38" t="n">
        <v>54.8585343548659</v>
      </c>
      <c r="P100" s="37" t="n">
        <v>0</v>
      </c>
      <c r="Q100" s="38" t="n">
        <v>0</v>
      </c>
      <c r="R100" s="38" t="n">
        <v>72</v>
      </c>
      <c r="S100" s="37" t="n">
        <v>0</v>
      </c>
    </row>
    <row r="101" customFormat="false" ht="15" hidden="false" customHeight="false" outlineLevel="0" collapsed="false">
      <c r="A101" s="37" t="n">
        <v>0</v>
      </c>
      <c r="B101" s="37" t="n">
        <v>0</v>
      </c>
      <c r="C101" s="37" t="n">
        <v>0</v>
      </c>
      <c r="D101" s="37" t="n">
        <v>15</v>
      </c>
      <c r="E101" s="37" t="n">
        <v>5</v>
      </c>
      <c r="F101" s="37" t="n">
        <v>10</v>
      </c>
      <c r="G101" s="37" t="s">
        <v>192</v>
      </c>
      <c r="H101" s="38" t="n">
        <v>198.728869483631</v>
      </c>
      <c r="I101" s="38" t="n">
        <v>197.143581125418</v>
      </c>
      <c r="J101" s="38" t="n">
        <v>193.3843199611</v>
      </c>
      <c r="K101" s="38" t="n">
        <v>197.456595310805</v>
      </c>
      <c r="L101" s="38" t="n">
        <v>76.3927439260704</v>
      </c>
      <c r="M101" s="38" t="n">
        <v>90.3716447513872</v>
      </c>
      <c r="N101" s="38" t="n">
        <v>83.8907442557257</v>
      </c>
      <c r="O101" s="38" t="n">
        <v>57.6836555849208</v>
      </c>
      <c r="P101" s="37" t="n">
        <v>0</v>
      </c>
      <c r="Q101" s="38" t="n">
        <v>0</v>
      </c>
      <c r="R101" s="38" t="n">
        <v>72</v>
      </c>
      <c r="S101" s="37" t="n">
        <v>0</v>
      </c>
    </row>
    <row r="102" customFormat="false" ht="15" hidden="false" customHeight="false" outlineLevel="0" collapsed="false">
      <c r="A102" s="37" t="n">
        <v>0</v>
      </c>
      <c r="B102" s="37" t="n">
        <v>0</v>
      </c>
      <c r="C102" s="37" t="n">
        <v>0</v>
      </c>
      <c r="D102" s="37" t="n">
        <v>15</v>
      </c>
      <c r="E102" s="37" t="n">
        <v>5</v>
      </c>
      <c r="F102" s="37" t="n">
        <v>10</v>
      </c>
      <c r="G102" s="37" t="s">
        <v>195</v>
      </c>
      <c r="H102" s="38" t="n">
        <v>198.728869483631</v>
      </c>
      <c r="I102" s="38" t="n">
        <v>197.299153441517</v>
      </c>
      <c r="J102" s="38" t="n">
        <v>192.640590367333</v>
      </c>
      <c r="K102" s="38" t="n">
        <v>197.454953567199</v>
      </c>
      <c r="L102" s="38" t="n">
        <v>95.4549535671987</v>
      </c>
      <c r="M102" s="38" t="n">
        <v>97.3726640073426</v>
      </c>
      <c r="N102" s="38" t="n">
        <v>92.8087281513249</v>
      </c>
      <c r="O102" s="38" t="n">
        <v>59.5765857481311</v>
      </c>
      <c r="P102" s="37" t="n">
        <v>0</v>
      </c>
      <c r="Q102" s="38" t="n">
        <v>0</v>
      </c>
      <c r="R102" s="38" t="n">
        <v>67.36</v>
      </c>
      <c r="S102" s="37" t="n">
        <v>0</v>
      </c>
    </row>
    <row r="103" customFormat="false" ht="15" hidden="false" customHeight="false" outlineLevel="0" collapsed="false">
      <c r="A103" s="37" t="n">
        <v>0</v>
      </c>
      <c r="B103" s="37" t="n">
        <v>0</v>
      </c>
      <c r="C103" s="37" t="n">
        <v>0</v>
      </c>
      <c r="D103" s="37" t="n">
        <v>15</v>
      </c>
      <c r="E103" s="37" t="n">
        <v>5</v>
      </c>
      <c r="F103" s="37" t="n">
        <v>10</v>
      </c>
      <c r="G103" s="37" t="s">
        <v>197</v>
      </c>
      <c r="H103" s="38" t="n">
        <v>198.728869483631</v>
      </c>
      <c r="I103" s="38" t="n">
        <v>197.155209263851</v>
      </c>
      <c r="J103" s="38" t="n">
        <v>193.440440132134</v>
      </c>
      <c r="K103" s="38" t="n">
        <v>197.710795451834</v>
      </c>
      <c r="L103" s="38" t="n">
        <v>76.218457418062</v>
      </c>
      <c r="M103" s="38" t="n">
        <v>98.5872201743219</v>
      </c>
      <c r="N103" s="38" t="n">
        <v>96.1950516084701</v>
      </c>
      <c r="O103" s="38" t="n">
        <v>63.9211212810161</v>
      </c>
      <c r="P103" s="37" t="n">
        <v>0</v>
      </c>
      <c r="Q103" s="38" t="n">
        <v>0</v>
      </c>
      <c r="R103" s="38" t="n">
        <v>72</v>
      </c>
      <c r="S103" s="37" t="n">
        <v>1</v>
      </c>
    </row>
    <row r="104" customFormat="false" ht="15" hidden="false" customHeight="false" outlineLevel="0" collapsed="false">
      <c r="A104" s="37" t="n">
        <v>0</v>
      </c>
      <c r="B104" s="37" t="n">
        <v>0</v>
      </c>
      <c r="C104" s="37" t="n">
        <v>0</v>
      </c>
      <c r="D104" s="37" t="n">
        <v>15</v>
      </c>
      <c r="E104" s="37" t="n">
        <v>5</v>
      </c>
      <c r="F104" s="37" t="n">
        <v>10</v>
      </c>
      <c r="G104" s="37" t="s">
        <v>196</v>
      </c>
      <c r="H104" s="38" t="n">
        <v>198.728869483631</v>
      </c>
      <c r="I104" s="38" t="n">
        <v>197.144017183933</v>
      </c>
      <c r="J104" s="38" t="n">
        <v>186.351023775114</v>
      </c>
      <c r="K104" s="38" t="n">
        <v>199.338227282104</v>
      </c>
      <c r="L104" s="38" t="n">
        <v>85.7826717265488</v>
      </c>
      <c r="M104" s="38" t="n">
        <v>96.8093709374687</v>
      </c>
      <c r="N104" s="38" t="n">
        <v>91.812466151201</v>
      </c>
      <c r="O104" s="38" t="n">
        <v>58.3496210143755</v>
      </c>
      <c r="P104" s="37" t="n">
        <v>0</v>
      </c>
      <c r="Q104" s="38" t="n">
        <v>0</v>
      </c>
      <c r="R104" s="38" t="n">
        <v>70.7373333333333</v>
      </c>
      <c r="S104" s="37" t="n">
        <v>0</v>
      </c>
    </row>
    <row r="105" customFormat="false" ht="15" hidden="false" customHeight="false" outlineLevel="0" collapsed="false">
      <c r="A105" s="37" t="n">
        <v>0</v>
      </c>
      <c r="B105" s="37" t="n">
        <v>0</v>
      </c>
      <c r="C105" s="37" t="n">
        <v>0</v>
      </c>
      <c r="D105" s="37" t="n">
        <v>15</v>
      </c>
      <c r="E105" s="37" t="n">
        <v>10</v>
      </c>
      <c r="F105" s="37" t="n">
        <v>5</v>
      </c>
      <c r="G105" s="37" t="s">
        <v>188</v>
      </c>
      <c r="H105" s="38" t="n">
        <v>198.765872543279</v>
      </c>
      <c r="I105" s="38" t="n">
        <v>197.509732663946</v>
      </c>
      <c r="J105" s="38" t="n">
        <v>192.689698232338</v>
      </c>
      <c r="K105" s="38" t="n">
        <v>198.248400157823</v>
      </c>
      <c r="L105" s="38" t="n">
        <v>34.7776877211739</v>
      </c>
      <c r="M105" s="38" t="n">
        <v>94.8480670956327</v>
      </c>
      <c r="N105" s="38" t="n">
        <v>84.3372496983538</v>
      </c>
      <c r="O105" s="38" t="n">
        <v>57.9220045202595</v>
      </c>
      <c r="P105" s="37" t="n">
        <v>0</v>
      </c>
      <c r="Q105" s="38" t="n">
        <v>0</v>
      </c>
      <c r="R105" s="38" t="n">
        <v>72</v>
      </c>
      <c r="S105" s="37" t="n">
        <v>0</v>
      </c>
    </row>
    <row r="106" customFormat="false" ht="15" hidden="false" customHeight="false" outlineLevel="0" collapsed="false">
      <c r="A106" s="37" t="n">
        <v>0</v>
      </c>
      <c r="B106" s="37" t="n">
        <v>0</v>
      </c>
      <c r="C106" s="37" t="n">
        <v>0</v>
      </c>
      <c r="D106" s="37" t="n">
        <v>15</v>
      </c>
      <c r="E106" s="37" t="n">
        <v>10</v>
      </c>
      <c r="F106" s="37" t="n">
        <v>5</v>
      </c>
      <c r="G106" s="37" t="s">
        <v>192</v>
      </c>
      <c r="H106" s="38" t="n">
        <v>198.765872543279</v>
      </c>
      <c r="I106" s="38" t="n">
        <v>197.511415730856</v>
      </c>
      <c r="J106" s="38" t="n">
        <v>196.211350181627</v>
      </c>
      <c r="K106" s="38" t="n">
        <v>202.882300836807</v>
      </c>
      <c r="L106" s="38" t="n">
        <v>41.8119373527613</v>
      </c>
      <c r="M106" s="38" t="n">
        <v>91.8499919312394</v>
      </c>
      <c r="N106" s="38" t="n">
        <v>90.6836947400033</v>
      </c>
      <c r="O106" s="38" t="n">
        <v>57.8314545242601</v>
      </c>
      <c r="P106" s="37" t="n">
        <v>0</v>
      </c>
      <c r="Q106" s="38" t="n">
        <v>0</v>
      </c>
      <c r="R106" s="38" t="n">
        <v>72</v>
      </c>
      <c r="S106" s="37" t="n">
        <v>0</v>
      </c>
    </row>
    <row r="107" customFormat="false" ht="15" hidden="false" customHeight="false" outlineLevel="0" collapsed="false">
      <c r="A107" s="37" t="n">
        <v>0</v>
      </c>
      <c r="B107" s="37" t="n">
        <v>0</v>
      </c>
      <c r="C107" s="37" t="n">
        <v>0</v>
      </c>
      <c r="D107" s="37" t="n">
        <v>15</v>
      </c>
      <c r="E107" s="37" t="n">
        <v>10</v>
      </c>
      <c r="F107" s="37" t="n">
        <v>5</v>
      </c>
      <c r="G107" s="37" t="s">
        <v>195</v>
      </c>
      <c r="H107" s="38" t="n">
        <v>198.765872543279</v>
      </c>
      <c r="I107" s="38" t="n">
        <v>197.687092385376</v>
      </c>
      <c r="J107" s="38" t="n">
        <v>195.869299358323</v>
      </c>
      <c r="K107" s="38" t="n">
        <v>203.537191849277</v>
      </c>
      <c r="L107" s="38" t="n">
        <v>50.287191849277</v>
      </c>
      <c r="M107" s="38" t="n">
        <v>98.8957795911209</v>
      </c>
      <c r="N107" s="38" t="n">
        <v>100.512761373839</v>
      </c>
      <c r="O107" s="38" t="n">
        <v>62.4893505903293</v>
      </c>
      <c r="P107" s="37" t="n">
        <v>0</v>
      </c>
      <c r="Q107" s="38" t="n">
        <v>0</v>
      </c>
      <c r="R107" s="38" t="n">
        <v>67.36</v>
      </c>
      <c r="S107" s="37" t="n">
        <v>0</v>
      </c>
    </row>
    <row r="108" customFormat="false" ht="15" hidden="false" customHeight="false" outlineLevel="0" collapsed="false">
      <c r="A108" s="37" t="n">
        <v>0</v>
      </c>
      <c r="B108" s="37" t="n">
        <v>0</v>
      </c>
      <c r="C108" s="37" t="n">
        <v>0</v>
      </c>
      <c r="D108" s="37" t="n">
        <v>15</v>
      </c>
      <c r="E108" s="37" t="n">
        <v>10</v>
      </c>
      <c r="F108" s="37" t="n">
        <v>5</v>
      </c>
      <c r="G108" s="37" t="s">
        <v>197</v>
      </c>
      <c r="H108" s="38" t="n">
        <v>198.765872543279</v>
      </c>
      <c r="I108" s="38" t="n">
        <v>197.544740478567</v>
      </c>
      <c r="J108" s="38" t="n">
        <v>197.272693499131</v>
      </c>
      <c r="K108" s="38" t="n">
        <v>204.605841661285</v>
      </c>
      <c r="L108" s="38" t="n">
        <v>43.8634689740091</v>
      </c>
      <c r="M108" s="38" t="n">
        <v>102.857294418206</v>
      </c>
      <c r="N108" s="38" t="n">
        <v>111.427107057141</v>
      </c>
      <c r="O108" s="38" t="n">
        <v>65.6567439898382</v>
      </c>
      <c r="P108" s="37" t="n">
        <v>0</v>
      </c>
      <c r="Q108" s="38" t="n">
        <v>0</v>
      </c>
      <c r="R108" s="38" t="n">
        <v>72</v>
      </c>
      <c r="S108" s="37" t="n">
        <v>1</v>
      </c>
    </row>
    <row r="109" customFormat="false" ht="15" hidden="false" customHeight="false" outlineLevel="0" collapsed="false">
      <c r="A109" s="37" t="n">
        <v>0</v>
      </c>
      <c r="B109" s="37" t="n">
        <v>0</v>
      </c>
      <c r="C109" s="37" t="n">
        <v>0</v>
      </c>
      <c r="D109" s="37" t="n">
        <v>15</v>
      </c>
      <c r="E109" s="37" t="n">
        <v>10</v>
      </c>
      <c r="F109" s="37" t="n">
        <v>5</v>
      </c>
      <c r="G109" s="37" t="s">
        <v>196</v>
      </c>
      <c r="H109" s="38" t="n">
        <v>198.765872543279</v>
      </c>
      <c r="I109" s="38" t="n">
        <v>197.512469014876</v>
      </c>
      <c r="J109" s="38" t="n">
        <v>189.027985483752</v>
      </c>
      <c r="K109" s="38" t="n">
        <v>204.582375861372</v>
      </c>
      <c r="L109" s="38" t="n">
        <v>51.0268203058164</v>
      </c>
      <c r="M109" s="38" t="n">
        <v>98.8243152083028</v>
      </c>
      <c r="N109" s="38" t="n">
        <v>99.7576168079264</v>
      </c>
      <c r="O109" s="38" t="n">
        <v>58.9614635294856</v>
      </c>
      <c r="P109" s="37" t="n">
        <v>0</v>
      </c>
      <c r="Q109" s="38" t="n">
        <v>0</v>
      </c>
      <c r="R109" s="38" t="n">
        <v>70.7373333333333</v>
      </c>
      <c r="S109" s="37" t="n">
        <v>0</v>
      </c>
    </row>
    <row r="110" customFormat="false" ht="15" hidden="false" customHeight="false" outlineLevel="0" collapsed="false">
      <c r="A110" s="37" t="n">
        <v>0</v>
      </c>
      <c r="B110" s="37" t="n">
        <v>0</v>
      </c>
      <c r="C110" s="37" t="n">
        <v>0</v>
      </c>
      <c r="D110" s="37" t="n">
        <v>15</v>
      </c>
      <c r="E110" s="37" t="n">
        <v>15</v>
      </c>
      <c r="F110" s="37" t="n">
        <v>0</v>
      </c>
      <c r="G110" s="37" t="s">
        <v>188</v>
      </c>
      <c r="H110" s="38" t="n">
        <v>198.793460544474</v>
      </c>
      <c r="I110" s="38" t="n">
        <v>197.778388972562</v>
      </c>
      <c r="J110" s="38" t="n">
        <v>194.55382447495</v>
      </c>
      <c r="K110" s="38" t="n">
        <v>202.249260077161</v>
      </c>
      <c r="L110" s="38" t="n">
        <v>24.966761356347</v>
      </c>
      <c r="M110" s="38" t="n">
        <v>95.9923140271381</v>
      </c>
      <c r="N110" s="38" t="n">
        <v>79.7999029004309</v>
      </c>
      <c r="O110" s="38" t="n">
        <v>55.1158452119554</v>
      </c>
      <c r="P110" s="37" t="n">
        <v>0</v>
      </c>
      <c r="Q110" s="38" t="n">
        <v>0.0332386436530499</v>
      </c>
      <c r="R110" s="38" t="n">
        <v>72</v>
      </c>
      <c r="S110" s="37" t="n">
        <v>0</v>
      </c>
    </row>
    <row r="111" customFormat="false" ht="15" hidden="false" customHeight="false" outlineLevel="0" collapsed="false">
      <c r="A111" s="37" t="n">
        <v>0</v>
      </c>
      <c r="B111" s="37" t="n">
        <v>0</v>
      </c>
      <c r="C111" s="37" t="n">
        <v>0</v>
      </c>
      <c r="D111" s="37" t="n">
        <v>15</v>
      </c>
      <c r="E111" s="37" t="n">
        <v>15</v>
      </c>
      <c r="F111" s="37" t="n">
        <v>0</v>
      </c>
      <c r="G111" s="37" t="s">
        <v>192</v>
      </c>
      <c r="H111" s="38" t="n">
        <v>198.793460544474</v>
      </c>
      <c r="I111" s="38" t="n">
        <v>197.780015069252</v>
      </c>
      <c r="J111" s="38" t="n">
        <v>198.171376234498</v>
      </c>
      <c r="K111" s="38" t="n">
        <v>206.790030267802</v>
      </c>
      <c r="L111" s="38" t="n">
        <v>24.9809167198511</v>
      </c>
      <c r="M111" s="38" t="n">
        <v>92.9940495291131</v>
      </c>
      <c r="N111" s="38" t="n">
        <v>81.9244049973091</v>
      </c>
      <c r="O111" s="38" t="n">
        <v>55.2638538895905</v>
      </c>
      <c r="P111" s="37" t="n">
        <v>0</v>
      </c>
      <c r="Q111" s="38" t="n">
        <v>0.0190832801489478</v>
      </c>
      <c r="R111" s="38" t="n">
        <v>72</v>
      </c>
      <c r="S111" s="37" t="n">
        <v>0</v>
      </c>
    </row>
    <row r="112" customFormat="false" ht="15" hidden="false" customHeight="false" outlineLevel="0" collapsed="false">
      <c r="A112" s="37" t="n">
        <v>0</v>
      </c>
      <c r="B112" s="37" t="n">
        <v>0</v>
      </c>
      <c r="C112" s="37" t="n">
        <v>0</v>
      </c>
      <c r="D112" s="37" t="n">
        <v>15</v>
      </c>
      <c r="E112" s="37" t="n">
        <v>15</v>
      </c>
      <c r="F112" s="37" t="n">
        <v>0</v>
      </c>
      <c r="G112" s="37" t="s">
        <v>195</v>
      </c>
      <c r="H112" s="38" t="n">
        <v>198.793460544474</v>
      </c>
      <c r="I112" s="38" t="n">
        <v>197.972737018384</v>
      </c>
      <c r="J112" s="38" t="n">
        <v>198.134597954507</v>
      </c>
      <c r="K112" s="38" t="n">
        <v>207.958915163885</v>
      </c>
      <c r="L112" s="38" t="n">
        <v>25.9589151638853</v>
      </c>
      <c r="M112" s="38" t="n">
        <v>100.055275837081</v>
      </c>
      <c r="N112" s="38" t="n">
        <v>93.4130028847811</v>
      </c>
      <c r="O112" s="38" t="n">
        <v>60.1806465025316</v>
      </c>
      <c r="P112" s="37" t="n">
        <v>0</v>
      </c>
      <c r="Q112" s="38" t="n">
        <v>0</v>
      </c>
      <c r="R112" s="38" t="n">
        <v>67.36</v>
      </c>
      <c r="S112" s="37" t="n">
        <v>0</v>
      </c>
    </row>
    <row r="113" customFormat="false" ht="15" hidden="false" customHeight="false" outlineLevel="0" collapsed="false">
      <c r="A113" s="37" t="n">
        <v>0</v>
      </c>
      <c r="B113" s="37" t="n">
        <v>0</v>
      </c>
      <c r="C113" s="37" t="n">
        <v>0</v>
      </c>
      <c r="D113" s="37" t="n">
        <v>15</v>
      </c>
      <c r="E113" s="37" t="n">
        <v>15</v>
      </c>
      <c r="F113" s="37" t="n">
        <v>0</v>
      </c>
      <c r="G113" s="37" t="s">
        <v>197</v>
      </c>
      <c r="H113" s="38" t="n">
        <v>198.793460544474</v>
      </c>
      <c r="I113" s="38" t="n">
        <v>197.83118020051</v>
      </c>
      <c r="J113" s="38" t="n">
        <v>198.466942878142</v>
      </c>
      <c r="K113" s="38" t="n">
        <v>207.57322987284</v>
      </c>
      <c r="L113" s="38" t="n">
        <v>26.07322987284</v>
      </c>
      <c r="M113" s="38" t="n">
        <v>105.714746095736</v>
      </c>
      <c r="N113" s="38" t="n">
        <v>101.506109028968</v>
      </c>
      <c r="O113" s="38" t="n">
        <v>62.6880962306374</v>
      </c>
      <c r="P113" s="37" t="n">
        <v>0</v>
      </c>
      <c r="Q113" s="38" t="n">
        <v>0</v>
      </c>
      <c r="R113" s="38" t="n">
        <v>72</v>
      </c>
      <c r="S113" s="37" t="n">
        <v>1</v>
      </c>
    </row>
    <row r="114" customFormat="false" ht="15" hidden="false" customHeight="false" outlineLevel="0" collapsed="false">
      <c r="A114" s="37" t="n">
        <v>0</v>
      </c>
      <c r="B114" s="37" t="n">
        <v>0</v>
      </c>
      <c r="C114" s="37" t="n">
        <v>0</v>
      </c>
      <c r="D114" s="37" t="n">
        <v>15</v>
      </c>
      <c r="E114" s="37" t="n">
        <v>15</v>
      </c>
      <c r="F114" s="37" t="n">
        <v>0</v>
      </c>
      <c r="G114" s="37" t="s">
        <v>196</v>
      </c>
      <c r="H114" s="38" t="n">
        <v>198.793460544474</v>
      </c>
      <c r="I114" s="38" t="n">
        <v>197.781444401145</v>
      </c>
      <c r="J114" s="38" t="n">
        <v>190.842059518773</v>
      </c>
      <c r="K114" s="38" t="n">
        <v>208.315211490876</v>
      </c>
      <c r="L114" s="38" t="n">
        <v>25.315211490876</v>
      </c>
      <c r="M114" s="38" t="n">
        <v>100.283081618636</v>
      </c>
      <c r="N114" s="38" t="n">
        <v>91.2790441548577</v>
      </c>
      <c r="O114" s="38" t="n">
        <v>55.8180107986495</v>
      </c>
      <c r="P114" s="37" t="n">
        <v>0</v>
      </c>
      <c r="Q114" s="38" t="n">
        <v>0</v>
      </c>
      <c r="R114" s="38" t="n">
        <v>70.7373333333333</v>
      </c>
      <c r="S114" s="37" t="n">
        <v>0</v>
      </c>
    </row>
    <row r="115" customFormat="false" ht="15" hidden="false" customHeight="false" outlineLevel="0" collapsed="false">
      <c r="A115" s="37" t="n">
        <v>0</v>
      </c>
      <c r="B115" s="37" t="n">
        <v>0</v>
      </c>
      <c r="C115" s="37" t="n">
        <v>0</v>
      </c>
      <c r="D115" s="37" t="n">
        <v>20</v>
      </c>
      <c r="E115" s="37" t="n">
        <v>0</v>
      </c>
      <c r="F115" s="37" t="n">
        <v>10</v>
      </c>
      <c r="G115" s="37" t="s">
        <v>188</v>
      </c>
      <c r="H115" s="38" t="n">
        <v>198.864737118584</v>
      </c>
      <c r="I115" s="38" t="n">
        <v>197.445939097655</v>
      </c>
      <c r="J115" s="38" t="n">
        <v>188.325552895162</v>
      </c>
      <c r="K115" s="38" t="n">
        <v>183.52418996221</v>
      </c>
      <c r="L115" s="38" t="n">
        <v>71.1871966505954</v>
      </c>
      <c r="M115" s="38" t="n">
        <v>92.1591900872601</v>
      </c>
      <c r="N115" s="38" t="n">
        <v>73.5292813214056</v>
      </c>
      <c r="O115" s="38" t="n">
        <v>53.4472242504678</v>
      </c>
      <c r="P115" s="37" t="n">
        <v>0</v>
      </c>
      <c r="Q115" s="38" t="n">
        <v>0</v>
      </c>
      <c r="R115" s="38" t="n">
        <v>72</v>
      </c>
      <c r="S115" s="37" t="n">
        <v>0</v>
      </c>
    </row>
    <row r="116" customFormat="false" ht="15" hidden="false" customHeight="false" outlineLevel="0" collapsed="false">
      <c r="A116" s="37" t="n">
        <v>0</v>
      </c>
      <c r="B116" s="37" t="n">
        <v>0</v>
      </c>
      <c r="C116" s="37" t="n">
        <v>0</v>
      </c>
      <c r="D116" s="37" t="n">
        <v>20</v>
      </c>
      <c r="E116" s="37" t="n">
        <v>0</v>
      </c>
      <c r="F116" s="37" t="n">
        <v>10</v>
      </c>
      <c r="G116" s="37" t="s">
        <v>192</v>
      </c>
      <c r="H116" s="38" t="n">
        <v>198.864737118584</v>
      </c>
      <c r="I116" s="38" t="n">
        <v>197.448233131362</v>
      </c>
      <c r="J116" s="38" t="n">
        <v>192.060801220983</v>
      </c>
      <c r="K116" s="38" t="n">
        <v>188.359289626983</v>
      </c>
      <c r="L116" s="38" t="n">
        <v>78.6417763867619</v>
      </c>
      <c r="M116" s="38" t="n">
        <v>89.1627670635399</v>
      </c>
      <c r="N116" s="38" t="n">
        <v>76.1977601930919</v>
      </c>
      <c r="O116" s="38" t="n">
        <v>53.3570817243955</v>
      </c>
      <c r="P116" s="37" t="n">
        <v>0</v>
      </c>
      <c r="Q116" s="38" t="n">
        <v>0</v>
      </c>
      <c r="R116" s="38" t="n">
        <v>72</v>
      </c>
      <c r="S116" s="37" t="n">
        <v>0</v>
      </c>
    </row>
    <row r="117" customFormat="false" ht="15" hidden="false" customHeight="false" outlineLevel="0" collapsed="false">
      <c r="A117" s="37" t="n">
        <v>0</v>
      </c>
      <c r="B117" s="37" t="n">
        <v>0</v>
      </c>
      <c r="C117" s="37" t="n">
        <v>0</v>
      </c>
      <c r="D117" s="37" t="n">
        <v>20</v>
      </c>
      <c r="E117" s="37" t="n">
        <v>0</v>
      </c>
      <c r="F117" s="37" t="n">
        <v>10</v>
      </c>
      <c r="G117" s="37" t="s">
        <v>195</v>
      </c>
      <c r="H117" s="38" t="n">
        <v>198.864737118584</v>
      </c>
      <c r="I117" s="38" t="n">
        <v>197.651646610983</v>
      </c>
      <c r="J117" s="38" t="n">
        <v>191.831988838719</v>
      </c>
      <c r="K117" s="38" t="n">
        <v>189.257747172309</v>
      </c>
      <c r="L117" s="38" t="n">
        <v>87.2577471723086</v>
      </c>
      <c r="M117" s="38" t="n">
        <v>97.0841394832192</v>
      </c>
      <c r="N117" s="38" t="n">
        <v>86.311243377683</v>
      </c>
      <c r="O117" s="38" t="n">
        <v>58.2444852992729</v>
      </c>
      <c r="P117" s="37" t="n">
        <v>0</v>
      </c>
      <c r="Q117" s="38" t="n">
        <v>0</v>
      </c>
      <c r="R117" s="38" t="n">
        <v>67.36</v>
      </c>
      <c r="S117" s="37" t="n">
        <v>1</v>
      </c>
    </row>
    <row r="118" customFormat="false" ht="15" hidden="false" customHeight="false" outlineLevel="0" collapsed="false">
      <c r="A118" s="37" t="n">
        <v>0</v>
      </c>
      <c r="B118" s="37" t="n">
        <v>0</v>
      </c>
      <c r="C118" s="37" t="n">
        <v>0</v>
      </c>
      <c r="D118" s="37" t="n">
        <v>20</v>
      </c>
      <c r="E118" s="37" t="n">
        <v>0</v>
      </c>
      <c r="F118" s="37" t="n">
        <v>10</v>
      </c>
      <c r="G118" s="37" t="s">
        <v>197</v>
      </c>
      <c r="H118" s="38" t="n">
        <v>198.864737118584</v>
      </c>
      <c r="I118" s="38" t="n">
        <v>197.448400691052</v>
      </c>
      <c r="J118" s="38" t="n">
        <v>191.456566850022</v>
      </c>
      <c r="K118" s="38" t="n">
        <v>187.58019795556</v>
      </c>
      <c r="L118" s="38" t="n">
        <v>80.5836750864655</v>
      </c>
      <c r="M118" s="38" t="n">
        <v>93.9631702738541</v>
      </c>
      <c r="N118" s="38" t="n">
        <v>78.2901575440885</v>
      </c>
      <c r="O118" s="38" t="n">
        <v>55.5071518646608</v>
      </c>
      <c r="P118" s="37" t="n">
        <v>0</v>
      </c>
      <c r="Q118" s="38" t="n">
        <v>0</v>
      </c>
      <c r="R118" s="38" t="n">
        <v>72</v>
      </c>
      <c r="S118" s="37" t="n">
        <v>0</v>
      </c>
    </row>
    <row r="119" customFormat="false" ht="15" hidden="false" customHeight="false" outlineLevel="0" collapsed="false">
      <c r="A119" s="37" t="n">
        <v>0</v>
      </c>
      <c r="B119" s="37" t="n">
        <v>0</v>
      </c>
      <c r="C119" s="37" t="n">
        <v>0</v>
      </c>
      <c r="D119" s="37" t="n">
        <v>20</v>
      </c>
      <c r="E119" s="37" t="n">
        <v>0</v>
      </c>
      <c r="F119" s="37" t="n">
        <v>10</v>
      </c>
      <c r="G119" s="37" t="s">
        <v>196</v>
      </c>
      <c r="H119" s="38" t="n">
        <v>198.864737118584</v>
      </c>
      <c r="I119" s="38" t="n">
        <v>197.447968953017</v>
      </c>
      <c r="J119" s="38" t="n">
        <v>185.237089544152</v>
      </c>
      <c r="K119" s="38" t="n">
        <v>190.441045812051</v>
      </c>
      <c r="L119" s="38" t="n">
        <v>76.885490256495</v>
      </c>
      <c r="M119" s="38" t="n">
        <v>95.2501950199639</v>
      </c>
      <c r="N119" s="38" t="n">
        <v>83.1550441229046</v>
      </c>
      <c r="O119" s="38" t="n">
        <v>55.2274822774966</v>
      </c>
      <c r="P119" s="37" t="n">
        <v>0</v>
      </c>
      <c r="Q119" s="38" t="n">
        <v>0</v>
      </c>
      <c r="R119" s="38" t="n">
        <v>70.7373333333333</v>
      </c>
      <c r="S119" s="37" t="n">
        <v>0</v>
      </c>
    </row>
    <row r="120" customFormat="false" ht="15" hidden="false" customHeight="false" outlineLevel="0" collapsed="false">
      <c r="A120" s="37" t="n">
        <v>0</v>
      </c>
      <c r="B120" s="37" t="n">
        <v>0</v>
      </c>
      <c r="C120" s="37" t="n">
        <v>0</v>
      </c>
      <c r="D120" s="37" t="n">
        <v>20</v>
      </c>
      <c r="E120" s="37" t="n">
        <v>5</v>
      </c>
      <c r="F120" s="37" t="n">
        <v>5</v>
      </c>
      <c r="G120" s="37" t="s">
        <v>188</v>
      </c>
      <c r="H120" s="38" t="n">
        <v>198.904188193912</v>
      </c>
      <c r="I120" s="38" t="n">
        <v>197.809543099427</v>
      </c>
      <c r="J120" s="38" t="n">
        <v>191.949793434568</v>
      </c>
      <c r="K120" s="38" t="n">
        <v>190.033807711459</v>
      </c>
      <c r="L120" s="38" t="n">
        <v>37.9774947431361</v>
      </c>
      <c r="M120" s="38" t="n">
        <v>93.7207361499233</v>
      </c>
      <c r="N120" s="38" t="n">
        <v>80.5834827286913</v>
      </c>
      <c r="O120" s="38" t="n">
        <v>53.8412253791701</v>
      </c>
      <c r="P120" s="37" t="n">
        <v>0</v>
      </c>
      <c r="Q120" s="38" t="n">
        <v>0</v>
      </c>
      <c r="R120" s="38" t="n">
        <v>72</v>
      </c>
      <c r="S120" s="37" t="n">
        <v>0</v>
      </c>
    </row>
    <row r="121" customFormat="false" ht="15" hidden="false" customHeight="false" outlineLevel="0" collapsed="false">
      <c r="A121" s="37" t="n">
        <v>0</v>
      </c>
      <c r="B121" s="37" t="n">
        <v>0</v>
      </c>
      <c r="C121" s="37" t="n">
        <v>0</v>
      </c>
      <c r="D121" s="37" t="n">
        <v>20</v>
      </c>
      <c r="E121" s="37" t="n">
        <v>5</v>
      </c>
      <c r="F121" s="37" t="n">
        <v>5</v>
      </c>
      <c r="G121" s="37" t="s">
        <v>192</v>
      </c>
      <c r="H121" s="38" t="n">
        <v>198.904188193912</v>
      </c>
      <c r="I121" s="38" t="n">
        <v>197.811096106347</v>
      </c>
      <c r="J121" s="38" t="n">
        <v>195.581866272274</v>
      </c>
      <c r="K121" s="38" t="n">
        <v>194.725069029383</v>
      </c>
      <c r="L121" s="38" t="n">
        <v>45.004869809598</v>
      </c>
      <c r="M121" s="38" t="n">
        <v>90.7223988069949</v>
      </c>
      <c r="N121" s="38" t="n">
        <v>84.6763903578489</v>
      </c>
      <c r="O121" s="38" t="n">
        <v>53.8301097496523</v>
      </c>
      <c r="P121" s="37" t="n">
        <v>0</v>
      </c>
      <c r="Q121" s="38" t="n">
        <v>0</v>
      </c>
      <c r="R121" s="38" t="n">
        <v>72</v>
      </c>
      <c r="S121" s="37" t="n">
        <v>0</v>
      </c>
    </row>
    <row r="122" customFormat="false" ht="15" hidden="false" customHeight="false" outlineLevel="0" collapsed="false">
      <c r="A122" s="37" t="n">
        <v>0</v>
      </c>
      <c r="B122" s="37" t="n">
        <v>0</v>
      </c>
      <c r="C122" s="37" t="n">
        <v>0</v>
      </c>
      <c r="D122" s="37" t="n">
        <v>20</v>
      </c>
      <c r="E122" s="37" t="n">
        <v>5</v>
      </c>
      <c r="F122" s="37" t="n">
        <v>5</v>
      </c>
      <c r="G122" s="37" t="s">
        <v>195</v>
      </c>
      <c r="H122" s="38" t="n">
        <v>198.904188193912</v>
      </c>
      <c r="I122" s="38" t="n">
        <v>198.042443531699</v>
      </c>
      <c r="J122" s="38" t="n">
        <v>195.70341657417</v>
      </c>
      <c r="K122" s="38" t="n">
        <v>196.3203815456</v>
      </c>
      <c r="L122" s="38" t="n">
        <v>54.3203815455995</v>
      </c>
      <c r="M122" s="38" t="n">
        <v>98.7122386995186</v>
      </c>
      <c r="N122" s="38" t="n">
        <v>95.4132505811585</v>
      </c>
      <c r="O122" s="38" t="n">
        <v>59.113975298997</v>
      </c>
      <c r="P122" s="37" t="n">
        <v>0</v>
      </c>
      <c r="Q122" s="38" t="n">
        <v>0</v>
      </c>
      <c r="R122" s="38" t="n">
        <v>67.36</v>
      </c>
      <c r="S122" s="37" t="n">
        <v>1</v>
      </c>
    </row>
    <row r="123" customFormat="false" ht="15" hidden="false" customHeight="false" outlineLevel="0" collapsed="false">
      <c r="A123" s="37" t="n">
        <v>0</v>
      </c>
      <c r="B123" s="37" t="n">
        <v>0</v>
      </c>
      <c r="C123" s="37" t="n">
        <v>0</v>
      </c>
      <c r="D123" s="37" t="n">
        <v>20</v>
      </c>
      <c r="E123" s="37" t="n">
        <v>5</v>
      </c>
      <c r="F123" s="37" t="n">
        <v>5</v>
      </c>
      <c r="G123" s="37" t="s">
        <v>197</v>
      </c>
      <c r="H123" s="38" t="n">
        <v>198.904188193912</v>
      </c>
      <c r="I123" s="38" t="n">
        <v>197.823773000123</v>
      </c>
      <c r="J123" s="38" t="n">
        <v>195.721322757694</v>
      </c>
      <c r="K123" s="38" t="n">
        <v>195.074239464693</v>
      </c>
      <c r="L123" s="38" t="n">
        <v>33.6634636193859</v>
      </c>
      <c r="M123" s="38" t="n">
        <v>98.9416446873133</v>
      </c>
      <c r="N123" s="38" t="n">
        <v>92.1417790520914</v>
      </c>
      <c r="O123" s="38" t="n">
        <v>62.8622690159694</v>
      </c>
      <c r="P123" s="37" t="n">
        <v>0</v>
      </c>
      <c r="Q123" s="38" t="n">
        <v>0</v>
      </c>
      <c r="R123" s="38" t="n">
        <v>72</v>
      </c>
      <c r="S123" s="37" t="n">
        <v>0</v>
      </c>
    </row>
    <row r="124" customFormat="false" ht="15" hidden="false" customHeight="false" outlineLevel="0" collapsed="false">
      <c r="A124" s="37" t="n">
        <v>0</v>
      </c>
      <c r="B124" s="37" t="n">
        <v>0</v>
      </c>
      <c r="C124" s="37" t="n">
        <v>0</v>
      </c>
      <c r="D124" s="37" t="n">
        <v>20</v>
      </c>
      <c r="E124" s="37" t="n">
        <v>5</v>
      </c>
      <c r="F124" s="37" t="n">
        <v>5</v>
      </c>
      <c r="G124" s="37" t="s">
        <v>196</v>
      </c>
      <c r="H124" s="38" t="n">
        <v>198.904188193912</v>
      </c>
      <c r="I124" s="38" t="n">
        <v>197.811589876958</v>
      </c>
      <c r="J124" s="38" t="n">
        <v>188.488800678396</v>
      </c>
      <c r="K124" s="38" t="n">
        <v>196.491668355631</v>
      </c>
      <c r="L124" s="38" t="n">
        <v>42.9361128000752</v>
      </c>
      <c r="M124" s="38" t="n">
        <v>97.4805273325551</v>
      </c>
      <c r="N124" s="38" t="n">
        <v>92.9717327075782</v>
      </c>
      <c r="O124" s="38" t="n">
        <v>57.0840536258524</v>
      </c>
      <c r="P124" s="37" t="n">
        <v>0</v>
      </c>
      <c r="Q124" s="38" t="n">
        <v>0</v>
      </c>
      <c r="R124" s="38" t="n">
        <v>70.7373333333333</v>
      </c>
      <c r="S124" s="37" t="n">
        <v>0</v>
      </c>
    </row>
    <row r="125" customFormat="false" ht="15" hidden="false" customHeight="false" outlineLevel="0" collapsed="false">
      <c r="A125" s="37" t="n">
        <v>0</v>
      </c>
      <c r="B125" s="37" t="n">
        <v>0</v>
      </c>
      <c r="C125" s="37" t="n">
        <v>0</v>
      </c>
      <c r="D125" s="37" t="n">
        <v>20</v>
      </c>
      <c r="E125" s="37" t="n">
        <v>10</v>
      </c>
      <c r="F125" s="37" t="n">
        <v>0</v>
      </c>
      <c r="G125" s="37" t="s">
        <v>188</v>
      </c>
      <c r="H125" s="38" t="n">
        <v>198.936091444055</v>
      </c>
      <c r="I125" s="38" t="n">
        <v>198.168692290069</v>
      </c>
      <c r="J125" s="38" t="n">
        <v>194.756502567966</v>
      </c>
      <c r="K125" s="38" t="n">
        <v>195.829695608781</v>
      </c>
      <c r="L125" s="38" t="n">
        <v>24.950563619738</v>
      </c>
      <c r="M125" s="38" t="n">
        <v>95.1800123054547</v>
      </c>
      <c r="N125" s="38" t="n">
        <v>76.3642507752569</v>
      </c>
      <c r="O125" s="38" t="n">
        <v>54.5652684135363</v>
      </c>
      <c r="P125" s="37" t="n">
        <v>0</v>
      </c>
      <c r="Q125" s="38" t="n">
        <v>0.0494363802620512</v>
      </c>
      <c r="R125" s="38" t="n">
        <v>72</v>
      </c>
      <c r="S125" s="37" t="n">
        <v>0</v>
      </c>
    </row>
    <row r="126" customFormat="false" ht="15" hidden="false" customHeight="false" outlineLevel="0" collapsed="false">
      <c r="A126" s="37" t="n">
        <v>0</v>
      </c>
      <c r="B126" s="37" t="n">
        <v>0</v>
      </c>
      <c r="C126" s="37" t="n">
        <v>0</v>
      </c>
      <c r="D126" s="37" t="n">
        <v>20</v>
      </c>
      <c r="E126" s="37" t="n">
        <v>10</v>
      </c>
      <c r="F126" s="37" t="n">
        <v>0</v>
      </c>
      <c r="G126" s="37" t="s">
        <v>192</v>
      </c>
      <c r="H126" s="38" t="n">
        <v>198.936091444055</v>
      </c>
      <c r="I126" s="38" t="n">
        <v>198.17014392365</v>
      </c>
      <c r="J126" s="38" t="n">
        <v>198.341459519927</v>
      </c>
      <c r="K126" s="38" t="n">
        <v>200.284029432083</v>
      </c>
      <c r="L126" s="38" t="n">
        <v>24.9606300275549</v>
      </c>
      <c r="M126" s="38" t="n">
        <v>92.1813304201933</v>
      </c>
      <c r="N126" s="38" t="n">
        <v>78.4302881747668</v>
      </c>
      <c r="O126" s="38" t="n">
        <v>54.4443862904404</v>
      </c>
      <c r="P126" s="37" t="n">
        <v>0</v>
      </c>
      <c r="Q126" s="38" t="n">
        <v>0.0393699724450869</v>
      </c>
      <c r="R126" s="38" t="n">
        <v>72</v>
      </c>
      <c r="S126" s="37" t="n">
        <v>0</v>
      </c>
    </row>
    <row r="127" customFormat="false" ht="15" hidden="false" customHeight="false" outlineLevel="0" collapsed="false">
      <c r="A127" s="37" t="n">
        <v>0</v>
      </c>
      <c r="B127" s="37" t="n">
        <v>0</v>
      </c>
      <c r="C127" s="37" t="n">
        <v>0</v>
      </c>
      <c r="D127" s="37" t="n">
        <v>20</v>
      </c>
      <c r="E127" s="37" t="n">
        <v>10</v>
      </c>
      <c r="F127" s="37" t="n">
        <v>0</v>
      </c>
      <c r="G127" s="37" t="s">
        <v>195</v>
      </c>
      <c r="H127" s="38" t="n">
        <v>198.936091444055</v>
      </c>
      <c r="I127" s="38" t="n">
        <v>198.425434156283</v>
      </c>
      <c r="J127" s="38" t="n">
        <v>198.940866248906</v>
      </c>
      <c r="K127" s="38" t="n">
        <v>202.448502128022</v>
      </c>
      <c r="L127" s="38" t="n">
        <v>24.9932110384607</v>
      </c>
      <c r="M127" s="38" t="n">
        <v>100.211435454401</v>
      </c>
      <c r="N127" s="38" t="n">
        <v>89.889428831008</v>
      </c>
      <c r="O127" s="38" t="n">
        <v>59.7547656799823</v>
      </c>
      <c r="P127" s="37" t="n">
        <v>0</v>
      </c>
      <c r="Q127" s="38" t="n">
        <v>0.00678896153934261</v>
      </c>
      <c r="R127" s="38" t="n">
        <v>67.36</v>
      </c>
      <c r="S127" s="37" t="n">
        <v>0</v>
      </c>
    </row>
    <row r="128" customFormat="false" ht="15" hidden="false" customHeight="false" outlineLevel="0" collapsed="false">
      <c r="A128" s="37" t="n">
        <v>0</v>
      </c>
      <c r="B128" s="37" t="n">
        <v>0</v>
      </c>
      <c r="C128" s="37" t="n">
        <v>0</v>
      </c>
      <c r="D128" s="37" t="n">
        <v>20</v>
      </c>
      <c r="E128" s="37" t="n">
        <v>10</v>
      </c>
      <c r="F128" s="37" t="n">
        <v>0</v>
      </c>
      <c r="G128" s="37" t="s">
        <v>197</v>
      </c>
      <c r="H128" s="38" t="n">
        <v>198.936091444055</v>
      </c>
      <c r="I128" s="38" t="n">
        <v>198.205151323703</v>
      </c>
      <c r="J128" s="38" t="n">
        <v>197.841703202768</v>
      </c>
      <c r="K128" s="38" t="n">
        <v>199.711365173106</v>
      </c>
      <c r="L128" s="38" t="n">
        <v>24.9763044126084</v>
      </c>
      <c r="M128" s="38" t="n">
        <v>103.172048584022</v>
      </c>
      <c r="N128" s="38" t="n">
        <v>94.0211103275722</v>
      </c>
      <c r="O128" s="38" t="n">
        <v>61.4174685115404</v>
      </c>
      <c r="P128" s="37" t="n">
        <v>0</v>
      </c>
      <c r="Q128" s="38" t="n">
        <v>0.0236955873915576</v>
      </c>
      <c r="R128" s="38" t="n">
        <v>72</v>
      </c>
      <c r="S128" s="37" t="n">
        <v>1</v>
      </c>
    </row>
    <row r="129" customFormat="false" ht="15" hidden="false" customHeight="false" outlineLevel="0" collapsed="false">
      <c r="A129" s="37" t="n">
        <v>0</v>
      </c>
      <c r="B129" s="37" t="n">
        <v>0</v>
      </c>
      <c r="C129" s="37" t="n">
        <v>0</v>
      </c>
      <c r="D129" s="37" t="n">
        <v>20</v>
      </c>
      <c r="E129" s="37" t="n">
        <v>10</v>
      </c>
      <c r="F129" s="37" t="n">
        <v>0</v>
      </c>
      <c r="G129" s="37" t="s">
        <v>196</v>
      </c>
      <c r="H129" s="38" t="n">
        <v>198.936091444055</v>
      </c>
      <c r="I129" s="38" t="n">
        <v>198.171320634985</v>
      </c>
      <c r="J129" s="38" t="n">
        <v>191.056363848886</v>
      </c>
      <c r="K129" s="38" t="n">
        <v>201.637209148112</v>
      </c>
      <c r="L129" s="38" t="n">
        <v>24.9832823969523</v>
      </c>
      <c r="M129" s="38" t="n">
        <v>99.4658872112355</v>
      </c>
      <c r="N129" s="38" t="n">
        <v>87.3873043650602</v>
      </c>
      <c r="O129" s="38" t="n">
        <v>55.0876908600195</v>
      </c>
      <c r="P129" s="37" t="n">
        <v>0</v>
      </c>
      <c r="Q129" s="38" t="n">
        <v>0.0167176030477378</v>
      </c>
      <c r="R129" s="38" t="n">
        <v>70.7373333333333</v>
      </c>
      <c r="S129" s="37" t="n">
        <v>0</v>
      </c>
    </row>
    <row r="130" customFormat="false" ht="15" hidden="false" customHeight="false" outlineLevel="0" collapsed="false">
      <c r="A130" s="37" t="n">
        <v>0</v>
      </c>
      <c r="B130" s="37" t="n">
        <v>0</v>
      </c>
      <c r="C130" s="37" t="n">
        <v>0</v>
      </c>
      <c r="D130" s="37" t="n">
        <v>25</v>
      </c>
      <c r="E130" s="37" t="n">
        <v>0</v>
      </c>
      <c r="F130" s="37" t="n">
        <v>5</v>
      </c>
      <c r="G130" s="37" t="s">
        <v>188</v>
      </c>
      <c r="H130" s="38" t="n">
        <v>198.956677594906</v>
      </c>
      <c r="I130" s="38" t="n">
        <v>197.797578908225</v>
      </c>
      <c r="J130" s="38" t="n">
        <v>189.525804323616</v>
      </c>
      <c r="K130" s="38" t="n">
        <v>178.142352985738</v>
      </c>
      <c r="L130" s="38" t="n">
        <v>26.0446275454091</v>
      </c>
      <c r="M130" s="38" t="n">
        <v>91.9758210364974</v>
      </c>
      <c r="N130" s="38" t="n">
        <v>61.3446483647384</v>
      </c>
      <c r="O130" s="38" t="n">
        <v>52.0022500804296</v>
      </c>
      <c r="P130" s="37" t="n">
        <v>0</v>
      </c>
      <c r="Q130" s="38" t="n">
        <v>0</v>
      </c>
      <c r="R130" s="38" t="n">
        <v>72</v>
      </c>
      <c r="S130" s="37" t="n">
        <v>0</v>
      </c>
    </row>
    <row r="131" customFormat="false" ht="15" hidden="false" customHeight="false" outlineLevel="0" collapsed="false">
      <c r="A131" s="37" t="n">
        <v>0</v>
      </c>
      <c r="B131" s="37" t="n">
        <v>0</v>
      </c>
      <c r="C131" s="37" t="n">
        <v>0</v>
      </c>
      <c r="D131" s="37" t="n">
        <v>25</v>
      </c>
      <c r="E131" s="37" t="n">
        <v>0</v>
      </c>
      <c r="F131" s="37" t="n">
        <v>5</v>
      </c>
      <c r="G131" s="37" t="s">
        <v>192</v>
      </c>
      <c r="H131" s="38" t="n">
        <v>198.956677594906</v>
      </c>
      <c r="I131" s="38" t="n">
        <v>197.799091750024</v>
      </c>
      <c r="J131" s="38" t="n">
        <v>193.192095662584</v>
      </c>
      <c r="K131" s="38" t="n">
        <v>182.87422547824</v>
      </c>
      <c r="L131" s="38" t="n">
        <v>33.1562490204972</v>
      </c>
      <c r="M131" s="38" t="n">
        <v>88.9775536972138</v>
      </c>
      <c r="N131" s="38" t="n">
        <v>70.0309979988504</v>
      </c>
      <c r="O131" s="38" t="n">
        <v>51.799428040112</v>
      </c>
      <c r="P131" s="37" t="n">
        <v>0</v>
      </c>
      <c r="Q131" s="38" t="n">
        <v>0</v>
      </c>
      <c r="R131" s="38" t="n">
        <v>72</v>
      </c>
      <c r="S131" s="37" t="n">
        <v>0</v>
      </c>
    </row>
    <row r="132" customFormat="false" ht="15" hidden="false" customHeight="false" outlineLevel="0" collapsed="false">
      <c r="A132" s="37" t="n">
        <v>0</v>
      </c>
      <c r="B132" s="37" t="n">
        <v>0</v>
      </c>
      <c r="C132" s="37" t="n">
        <v>0</v>
      </c>
      <c r="D132" s="37" t="n">
        <v>25</v>
      </c>
      <c r="E132" s="37" t="n">
        <v>0</v>
      </c>
      <c r="F132" s="37" t="n">
        <v>5</v>
      </c>
      <c r="G132" s="37" t="s">
        <v>195</v>
      </c>
      <c r="H132" s="38" t="n">
        <v>198.956677594906</v>
      </c>
      <c r="I132" s="38" t="n">
        <v>198.045633524359</v>
      </c>
      <c r="J132" s="38" t="n">
        <v>193.412413448132</v>
      </c>
      <c r="K132" s="38" t="n">
        <v>184.616482292908</v>
      </c>
      <c r="L132" s="38" t="n">
        <v>42.6164822929079</v>
      </c>
      <c r="M132" s="38" t="n">
        <v>97.4066073981206</v>
      </c>
      <c r="N132" s="38" t="n">
        <v>86.7858048760705</v>
      </c>
      <c r="O132" s="38" t="n">
        <v>57.0102270957588</v>
      </c>
      <c r="P132" s="37" t="n">
        <v>0</v>
      </c>
      <c r="Q132" s="38" t="n">
        <v>0</v>
      </c>
      <c r="R132" s="38" t="n">
        <v>67.36</v>
      </c>
      <c r="S132" s="37" t="n">
        <v>1</v>
      </c>
    </row>
    <row r="133" customFormat="false" ht="15" hidden="false" customHeight="false" outlineLevel="0" collapsed="false">
      <c r="A133" s="37" t="n">
        <v>0</v>
      </c>
      <c r="B133" s="37" t="n">
        <v>0</v>
      </c>
      <c r="C133" s="37" t="n">
        <v>0</v>
      </c>
      <c r="D133" s="37" t="n">
        <v>25</v>
      </c>
      <c r="E133" s="37" t="n">
        <v>0</v>
      </c>
      <c r="F133" s="37" t="n">
        <v>5</v>
      </c>
      <c r="G133" s="37" t="s">
        <v>197</v>
      </c>
      <c r="H133" s="38" t="n">
        <v>198.956677594906</v>
      </c>
      <c r="I133" s="38" t="n">
        <v>197.799788329971</v>
      </c>
      <c r="J133" s="38" t="n">
        <v>192.593514707241</v>
      </c>
      <c r="K133" s="38" t="n">
        <v>182.105865398357</v>
      </c>
      <c r="L133" s="38" t="n">
        <v>35.1112217320776</v>
      </c>
      <c r="M133" s="38" t="n">
        <v>93.7792117110476</v>
      </c>
      <c r="N133" s="38" t="n">
        <v>73.8223056464221</v>
      </c>
      <c r="O133" s="38" t="n">
        <v>54.0198496119498</v>
      </c>
      <c r="P133" s="37" t="n">
        <v>0</v>
      </c>
      <c r="Q133" s="38" t="n">
        <v>0</v>
      </c>
      <c r="R133" s="38" t="n">
        <v>72</v>
      </c>
      <c r="S133" s="37" t="n">
        <v>0</v>
      </c>
    </row>
    <row r="134" customFormat="false" ht="15" hidden="false" customHeight="false" outlineLevel="0" collapsed="false">
      <c r="A134" s="37" t="n">
        <v>0</v>
      </c>
      <c r="B134" s="37" t="n">
        <v>0</v>
      </c>
      <c r="C134" s="37" t="n">
        <v>0</v>
      </c>
      <c r="D134" s="37" t="n">
        <v>25</v>
      </c>
      <c r="E134" s="37" t="n">
        <v>0</v>
      </c>
      <c r="F134" s="37" t="n">
        <v>5</v>
      </c>
      <c r="G134" s="37" t="s">
        <v>196</v>
      </c>
      <c r="H134" s="38" t="n">
        <v>198.956677594906</v>
      </c>
      <c r="I134" s="38" t="n">
        <v>197.798810505824</v>
      </c>
      <c r="J134" s="38" t="n">
        <v>186.227258064676</v>
      </c>
      <c r="K134" s="38" t="n">
        <v>184.818323147742</v>
      </c>
      <c r="L134" s="38" t="n">
        <v>41.8183231477422</v>
      </c>
      <c r="M134" s="38" t="n">
        <v>95.2241902722848</v>
      </c>
      <c r="N134" s="38" t="n">
        <v>82.3193284786115</v>
      </c>
      <c r="O134" s="38" t="n">
        <v>50.8229159701416</v>
      </c>
      <c r="P134" s="37" t="n">
        <v>0</v>
      </c>
      <c r="Q134" s="38" t="n">
        <v>0</v>
      </c>
      <c r="R134" s="38" t="n">
        <v>70.7373333333333</v>
      </c>
      <c r="S134" s="37" t="n">
        <v>0</v>
      </c>
    </row>
    <row r="135" customFormat="false" ht="15" hidden="false" customHeight="false" outlineLevel="0" collapsed="false">
      <c r="A135" s="37" t="n">
        <v>0</v>
      </c>
      <c r="B135" s="37" t="n">
        <v>0</v>
      </c>
      <c r="C135" s="37" t="n">
        <v>0</v>
      </c>
      <c r="D135" s="37" t="n">
        <v>25</v>
      </c>
      <c r="E135" s="37" t="n">
        <v>5</v>
      </c>
      <c r="F135" s="37" t="n">
        <v>0</v>
      </c>
      <c r="G135" s="37" t="s">
        <v>188</v>
      </c>
      <c r="H135" s="38" t="n">
        <v>198.99522750088</v>
      </c>
      <c r="I135" s="38" t="n">
        <v>198.162198330966</v>
      </c>
      <c r="J135" s="38" t="n">
        <v>187.405746082915</v>
      </c>
      <c r="K135" s="38" t="n">
        <v>177.338937754028</v>
      </c>
      <c r="L135" s="38" t="n">
        <v>20.9252747443356</v>
      </c>
      <c r="M135" s="38" t="n">
        <v>93.5394755798925</v>
      </c>
      <c r="N135" s="38" t="n">
        <v>59.6941428322484</v>
      </c>
      <c r="O135" s="38" t="n">
        <v>50.6712544440139</v>
      </c>
      <c r="P135" s="37" t="n">
        <v>0</v>
      </c>
      <c r="Q135" s="38" t="n">
        <v>4.07472525566439</v>
      </c>
      <c r="R135" s="38" t="n">
        <v>72</v>
      </c>
      <c r="S135" s="37" t="n">
        <v>0</v>
      </c>
    </row>
    <row r="136" customFormat="false" ht="15" hidden="false" customHeight="false" outlineLevel="0" collapsed="false">
      <c r="A136" s="37" t="n">
        <v>0</v>
      </c>
      <c r="B136" s="37" t="n">
        <v>0</v>
      </c>
      <c r="C136" s="37" t="n">
        <v>0</v>
      </c>
      <c r="D136" s="37" t="n">
        <v>25</v>
      </c>
      <c r="E136" s="37" t="n">
        <v>5</v>
      </c>
      <c r="F136" s="37" t="n">
        <v>0</v>
      </c>
      <c r="G136" s="37" t="s">
        <v>192</v>
      </c>
      <c r="H136" s="38" t="n">
        <v>198.99522750088</v>
      </c>
      <c r="I136" s="38" t="n">
        <v>198.16359239304</v>
      </c>
      <c r="J136" s="38" t="n">
        <v>194.581647658089</v>
      </c>
      <c r="K136" s="38" t="n">
        <v>186.471362190017</v>
      </c>
      <c r="L136" s="38" t="n">
        <v>24.9610814118378</v>
      </c>
      <c r="M136" s="38" t="n">
        <v>90.5407612295072</v>
      </c>
      <c r="N136" s="38" t="n">
        <v>67.7718989479674</v>
      </c>
      <c r="O136" s="38" t="n">
        <v>51.6730226635991</v>
      </c>
      <c r="P136" s="37" t="n">
        <v>0</v>
      </c>
      <c r="Q136" s="38" t="n">
        <v>0.0389185881622041</v>
      </c>
      <c r="R136" s="38" t="n">
        <v>72</v>
      </c>
      <c r="S136" s="37" t="n">
        <v>0</v>
      </c>
    </row>
    <row r="137" customFormat="false" ht="15" hidden="false" customHeight="false" outlineLevel="0" collapsed="false">
      <c r="A137" s="37" t="n">
        <v>0</v>
      </c>
      <c r="B137" s="37" t="n">
        <v>0</v>
      </c>
      <c r="C137" s="37" t="n">
        <v>0</v>
      </c>
      <c r="D137" s="37" t="n">
        <v>25</v>
      </c>
      <c r="E137" s="37" t="n">
        <v>5</v>
      </c>
      <c r="F137" s="37" t="n">
        <v>0</v>
      </c>
      <c r="G137" s="37" t="s">
        <v>195</v>
      </c>
      <c r="H137" s="38" t="n">
        <v>198.99522750088</v>
      </c>
      <c r="I137" s="38" t="n">
        <v>198.441071064127</v>
      </c>
      <c r="J137" s="38" t="n">
        <v>197.314526635428</v>
      </c>
      <c r="K137" s="38" t="n">
        <v>191.762358868225</v>
      </c>
      <c r="L137" s="38" t="n">
        <v>17.7754143587208</v>
      </c>
      <c r="M137" s="38" t="n">
        <v>99.0426052426055</v>
      </c>
      <c r="N137" s="38" t="n">
        <v>81.9238143602454</v>
      </c>
      <c r="O137" s="38" t="n">
        <v>58.0910986334532</v>
      </c>
      <c r="P137" s="37" t="n">
        <v>0</v>
      </c>
      <c r="Q137" s="38" t="n">
        <v>7.22458564127916</v>
      </c>
      <c r="R137" s="38" t="n">
        <v>67.36</v>
      </c>
      <c r="S137" s="37" t="n">
        <v>0</v>
      </c>
    </row>
    <row r="138" customFormat="false" ht="15" hidden="false" customHeight="false" outlineLevel="0" collapsed="false">
      <c r="A138" s="37" t="n">
        <v>0</v>
      </c>
      <c r="B138" s="37" t="n">
        <v>0</v>
      </c>
      <c r="C138" s="37" t="n">
        <v>0</v>
      </c>
      <c r="D138" s="37" t="n">
        <v>25</v>
      </c>
      <c r="E138" s="37" t="n">
        <v>5</v>
      </c>
      <c r="F138" s="37" t="n">
        <v>0</v>
      </c>
      <c r="G138" s="37" t="s">
        <v>197</v>
      </c>
      <c r="H138" s="38" t="n">
        <v>198.99522750088</v>
      </c>
      <c r="I138" s="38" t="n">
        <v>198.176842585163</v>
      </c>
      <c r="J138" s="38" t="n">
        <v>196.754255432204</v>
      </c>
      <c r="K138" s="38" t="n">
        <v>190.083291632726</v>
      </c>
      <c r="L138" s="38" t="n">
        <v>24.9487167658119</v>
      </c>
      <c r="M138" s="38" t="n">
        <v>98.7586936690131</v>
      </c>
      <c r="N138" s="38" t="n">
        <v>84.0648666391555</v>
      </c>
      <c r="O138" s="38" t="n">
        <v>59.6512488937432</v>
      </c>
      <c r="P138" s="37" t="n">
        <v>0</v>
      </c>
      <c r="Q138" s="38" t="n">
        <v>0.0512832341881335</v>
      </c>
      <c r="R138" s="38" t="n">
        <v>72</v>
      </c>
      <c r="S138" s="37" t="n">
        <v>1</v>
      </c>
    </row>
    <row r="139" customFormat="false" ht="15" hidden="false" customHeight="false" outlineLevel="0" collapsed="false">
      <c r="A139" s="37" t="n">
        <v>0</v>
      </c>
      <c r="B139" s="37" t="n">
        <v>0</v>
      </c>
      <c r="C139" s="37" t="n">
        <v>0</v>
      </c>
      <c r="D139" s="37" t="n">
        <v>25</v>
      </c>
      <c r="E139" s="37" t="n">
        <v>5</v>
      </c>
      <c r="F139" s="37" t="n">
        <v>0</v>
      </c>
      <c r="G139" s="37" t="s">
        <v>196</v>
      </c>
      <c r="H139" s="38" t="n">
        <v>198.99522750088</v>
      </c>
      <c r="I139" s="38" t="n">
        <v>198.164115974868</v>
      </c>
      <c r="J139" s="38" t="n">
        <v>189.432217525012</v>
      </c>
      <c r="K139" s="38" t="n">
        <v>191.117441659811</v>
      </c>
      <c r="L139" s="38" t="n">
        <v>24.9641961794193</v>
      </c>
      <c r="M139" s="38" t="n">
        <v>97.4561008153857</v>
      </c>
      <c r="N139" s="38" t="n">
        <v>79.206353371724</v>
      </c>
      <c r="O139" s="38" t="n">
        <v>53.2368200828608</v>
      </c>
      <c r="P139" s="37" t="n">
        <v>0</v>
      </c>
      <c r="Q139" s="38" t="n">
        <v>0.0358038205807532</v>
      </c>
      <c r="R139" s="38" t="n">
        <v>70.7373333333333</v>
      </c>
      <c r="S139" s="37" t="n">
        <v>0</v>
      </c>
    </row>
    <row r="140" customFormat="false" ht="15" hidden="false" customHeight="false" outlineLevel="0" collapsed="false">
      <c r="A140" s="37" t="n">
        <v>0</v>
      </c>
      <c r="B140" s="37" t="n">
        <v>0</v>
      </c>
      <c r="C140" s="37" t="n">
        <v>0</v>
      </c>
      <c r="D140" s="37" t="n">
        <v>30</v>
      </c>
      <c r="E140" s="37" t="n">
        <v>0</v>
      </c>
      <c r="F140" s="37" t="n">
        <v>0</v>
      </c>
      <c r="G140" s="37" t="s">
        <v>188</v>
      </c>
      <c r="H140" s="38" t="n">
        <v>199.046399053378</v>
      </c>
      <c r="I140" s="38" t="n">
        <v>198.142063443522</v>
      </c>
      <c r="J140" s="38" t="n">
        <v>184.212087409099</v>
      </c>
      <c r="K140" s="38" t="n">
        <v>180.717061434225</v>
      </c>
      <c r="L140" s="38" t="n">
        <v>21.982351637615</v>
      </c>
      <c r="M140" s="38" t="n">
        <v>91.7817451092728</v>
      </c>
      <c r="N140" s="38" t="n">
        <v>54.5694467880395</v>
      </c>
      <c r="O140" s="38" t="n">
        <v>47.9311641077341</v>
      </c>
      <c r="P140" s="37" t="n">
        <v>0</v>
      </c>
      <c r="Q140" s="38" t="n">
        <v>3.01764836238502</v>
      </c>
      <c r="R140" s="38" t="n">
        <v>63</v>
      </c>
      <c r="S140" s="37" t="n">
        <v>0</v>
      </c>
    </row>
    <row r="141" customFormat="false" ht="15" hidden="false" customHeight="false" outlineLevel="0" collapsed="false">
      <c r="A141" s="37" t="n">
        <v>0</v>
      </c>
      <c r="B141" s="37" t="n">
        <v>0</v>
      </c>
      <c r="C141" s="37" t="n">
        <v>0</v>
      </c>
      <c r="D141" s="37" t="n">
        <v>30</v>
      </c>
      <c r="E141" s="37" t="n">
        <v>0</v>
      </c>
      <c r="F141" s="37" t="n">
        <v>0</v>
      </c>
      <c r="G141" s="37" t="s">
        <v>192</v>
      </c>
      <c r="H141" s="38" t="n">
        <v>199.046399053378</v>
      </c>
      <c r="I141" s="38" t="n">
        <v>198.143399624948</v>
      </c>
      <c r="J141" s="38" t="n">
        <v>193.067231563724</v>
      </c>
      <c r="K141" s="38" t="n">
        <v>192.853063255399</v>
      </c>
      <c r="L141" s="38" t="n">
        <v>24.9691624863866</v>
      </c>
      <c r="M141" s="38" t="n">
        <v>88.7830860064151</v>
      </c>
      <c r="N141" s="38" t="n">
        <v>66.1127232749786</v>
      </c>
      <c r="O141" s="38" t="n">
        <v>50.4297810158597</v>
      </c>
      <c r="P141" s="37" t="n">
        <v>0</v>
      </c>
      <c r="Q141" s="38" t="n">
        <v>0.0308375136134487</v>
      </c>
      <c r="R141" s="38" t="n">
        <v>63</v>
      </c>
      <c r="S141" s="37" t="n">
        <v>0</v>
      </c>
    </row>
    <row r="142" customFormat="false" ht="15" hidden="false" customHeight="false" outlineLevel="0" collapsed="false">
      <c r="A142" s="37" t="n">
        <v>0</v>
      </c>
      <c r="B142" s="37" t="n">
        <v>0</v>
      </c>
      <c r="C142" s="37" t="n">
        <v>0</v>
      </c>
      <c r="D142" s="37" t="n">
        <v>30</v>
      </c>
      <c r="E142" s="37" t="n">
        <v>0</v>
      </c>
      <c r="F142" s="37" t="n">
        <v>0</v>
      </c>
      <c r="G142" s="37" t="s">
        <v>195</v>
      </c>
      <c r="H142" s="38" t="n">
        <v>199.046399053378</v>
      </c>
      <c r="I142" s="38" t="n">
        <v>198.432857034511</v>
      </c>
      <c r="J142" s="38" t="n">
        <v>193.542770543562</v>
      </c>
      <c r="K142" s="38" t="n">
        <v>193.284218891012</v>
      </c>
      <c r="L142" s="38" t="n">
        <v>4.78978862305195</v>
      </c>
      <c r="M142" s="38" t="n">
        <v>97.7193130456288</v>
      </c>
      <c r="N142" s="38" t="n">
        <v>74.0386123700289</v>
      </c>
      <c r="O142" s="38" t="n">
        <v>53.7941201661614</v>
      </c>
      <c r="P142" s="37" t="n">
        <v>0</v>
      </c>
      <c r="Q142" s="38" t="n">
        <v>20.2102113769481</v>
      </c>
      <c r="R142" s="38" t="n">
        <v>58.108</v>
      </c>
      <c r="S142" s="37" t="n">
        <v>1</v>
      </c>
    </row>
    <row r="143" customFormat="false" ht="15" hidden="false" customHeight="false" outlineLevel="0" collapsed="false">
      <c r="A143" s="37" t="n">
        <v>0</v>
      </c>
      <c r="B143" s="37" t="n">
        <v>0</v>
      </c>
      <c r="C143" s="37" t="n">
        <v>0</v>
      </c>
      <c r="D143" s="37" t="n">
        <v>30</v>
      </c>
      <c r="E143" s="37" t="n">
        <v>0</v>
      </c>
      <c r="F143" s="37" t="n">
        <v>0</v>
      </c>
      <c r="G143" s="37" t="s">
        <v>197</v>
      </c>
      <c r="H143" s="38" t="n">
        <v>199.046399053378</v>
      </c>
      <c r="I143" s="38" t="n">
        <v>198.144208965894</v>
      </c>
      <c r="J143" s="38" t="n">
        <v>192.627779378841</v>
      </c>
      <c r="K143" s="38" t="n">
        <v>192.118969082882</v>
      </c>
      <c r="L143" s="38" t="n">
        <v>24.9724193233967</v>
      </c>
      <c r="M143" s="38" t="n">
        <v>93.5850110366879</v>
      </c>
      <c r="N143" s="38" t="n">
        <v>68.3438958059103</v>
      </c>
      <c r="O143" s="38" t="n">
        <v>52.8370459012455</v>
      </c>
      <c r="P143" s="37" t="n">
        <v>0</v>
      </c>
      <c r="Q143" s="38" t="n">
        <v>0.0275806766033497</v>
      </c>
      <c r="R143" s="38" t="n">
        <v>63</v>
      </c>
      <c r="S143" s="37" t="n">
        <v>0</v>
      </c>
    </row>
    <row r="144" customFormat="false" ht="15" hidden="false" customHeight="false" outlineLevel="0" collapsed="false">
      <c r="A144" s="37" t="n">
        <v>0</v>
      </c>
      <c r="B144" s="37" t="n">
        <v>0</v>
      </c>
      <c r="C144" s="37" t="n">
        <v>0</v>
      </c>
      <c r="D144" s="37" t="n">
        <v>30</v>
      </c>
      <c r="E144" s="37" t="n">
        <v>0</v>
      </c>
      <c r="F144" s="37" t="n">
        <v>0</v>
      </c>
      <c r="G144" s="37" t="s">
        <v>196</v>
      </c>
      <c r="H144" s="38" t="n">
        <v>199.046399053378</v>
      </c>
      <c r="I144" s="38" t="n">
        <v>198.143102359046</v>
      </c>
      <c r="J144" s="38" t="n">
        <v>186.073438185055</v>
      </c>
      <c r="K144" s="38" t="n">
        <v>193.721499987849</v>
      </c>
      <c r="L144" s="38" t="n">
        <v>24.9834218049709</v>
      </c>
      <c r="M144" s="38" t="n">
        <v>95.1887721451308</v>
      </c>
      <c r="N144" s="38" t="n">
        <v>71.8401132337017</v>
      </c>
      <c r="O144" s="38" t="n">
        <v>48.0601108588112</v>
      </c>
      <c r="P144" s="37" t="n">
        <v>0</v>
      </c>
      <c r="Q144" s="38" t="n">
        <v>0.0165781950290693</v>
      </c>
      <c r="R144" s="38" t="n">
        <v>61.6133333333333</v>
      </c>
      <c r="S144" s="37" t="n">
        <v>0</v>
      </c>
    </row>
    <row r="145" customFormat="false" ht="15" hidden="false" customHeight="false" outlineLevel="0" collapsed="false">
      <c r="A145" s="37" t="n">
        <v>0</v>
      </c>
      <c r="B145" s="37" t="n">
        <v>0</v>
      </c>
      <c r="C145" s="37" t="n">
        <v>5</v>
      </c>
      <c r="D145" s="37" t="n">
        <v>0</v>
      </c>
      <c r="E145" s="37" t="n">
        <v>0</v>
      </c>
      <c r="F145" s="37" t="n">
        <v>25</v>
      </c>
      <c r="G145" s="37" t="s">
        <v>188</v>
      </c>
      <c r="H145" s="38" t="n">
        <v>198.261466590036</v>
      </c>
      <c r="I145" s="38" t="n">
        <v>196.233211475555</v>
      </c>
      <c r="J145" s="38" t="n">
        <v>193.048925834956</v>
      </c>
      <c r="K145" s="38" t="n">
        <v>219.434837177697</v>
      </c>
      <c r="L145" s="38" t="n">
        <v>215.054484148604</v>
      </c>
      <c r="M145" s="38" t="n">
        <v>95.3861525247502</v>
      </c>
      <c r="N145" s="38" t="n">
        <v>97.5100269481041</v>
      </c>
      <c r="O145" s="38" t="n">
        <v>62.5116496446458</v>
      </c>
      <c r="P145" s="37" t="n">
        <v>0</v>
      </c>
      <c r="Q145" s="38" t="n">
        <v>0</v>
      </c>
      <c r="R145" s="38" t="n">
        <v>70.5</v>
      </c>
      <c r="S145" s="37" t="n">
        <v>0</v>
      </c>
    </row>
    <row r="146" customFormat="false" ht="15" hidden="false" customHeight="false" outlineLevel="0" collapsed="false">
      <c r="A146" s="37" t="n">
        <v>0</v>
      </c>
      <c r="B146" s="37" t="n">
        <v>0</v>
      </c>
      <c r="C146" s="37" t="n">
        <v>5</v>
      </c>
      <c r="D146" s="37" t="n">
        <v>0</v>
      </c>
      <c r="E146" s="37" t="n">
        <v>0</v>
      </c>
      <c r="F146" s="37" t="n">
        <v>25</v>
      </c>
      <c r="G146" s="37" t="s">
        <v>192</v>
      </c>
      <c r="H146" s="38" t="n">
        <v>198.261466590036</v>
      </c>
      <c r="I146" s="38" t="n">
        <v>196.235071247035</v>
      </c>
      <c r="J146" s="38" t="n">
        <v>196.052243494381</v>
      </c>
      <c r="K146" s="38" t="n">
        <v>223.470914458894</v>
      </c>
      <c r="L146" s="38" t="n">
        <v>222.077915365584</v>
      </c>
      <c r="M146" s="38" t="n">
        <v>92.384627768147</v>
      </c>
      <c r="N146" s="38" t="n">
        <v>98.4132723395617</v>
      </c>
      <c r="O146" s="38" t="n">
        <v>61.6557769831331</v>
      </c>
      <c r="P146" s="37" t="n">
        <v>0</v>
      </c>
      <c r="Q146" s="38" t="n">
        <v>0</v>
      </c>
      <c r="R146" s="38" t="n">
        <v>70.5</v>
      </c>
      <c r="S146" s="37" t="n">
        <v>0</v>
      </c>
    </row>
    <row r="147" customFormat="false" ht="15" hidden="false" customHeight="false" outlineLevel="0" collapsed="false">
      <c r="A147" s="37" t="n">
        <v>0</v>
      </c>
      <c r="B147" s="37" t="n">
        <v>0</v>
      </c>
      <c r="C147" s="37" t="n">
        <v>5</v>
      </c>
      <c r="D147" s="37" t="n">
        <v>0</v>
      </c>
      <c r="E147" s="37" t="n">
        <v>0</v>
      </c>
      <c r="F147" s="37" t="n">
        <v>25</v>
      </c>
      <c r="G147" s="37" t="s">
        <v>195</v>
      </c>
      <c r="H147" s="38" t="n">
        <v>198.261466590036</v>
      </c>
      <c r="I147" s="38" t="n">
        <v>196.240843345888</v>
      </c>
      <c r="J147" s="38" t="n">
        <v>191.644222886088</v>
      </c>
      <c r="K147" s="38" t="n">
        <v>214.355450948527</v>
      </c>
      <c r="L147" s="38" t="n">
        <v>215.595663757869</v>
      </c>
      <c r="M147" s="38" t="n">
        <v>95.3966940519253</v>
      </c>
      <c r="N147" s="38" t="n">
        <v>93.1376798878284</v>
      </c>
      <c r="O147" s="38" t="n">
        <v>59.9720126152446</v>
      </c>
      <c r="P147" s="37" t="n">
        <v>0</v>
      </c>
      <c r="Q147" s="38" t="n">
        <v>0</v>
      </c>
      <c r="R147" s="38" t="n">
        <v>68.5470638428027</v>
      </c>
      <c r="S147" s="37" t="n">
        <v>0</v>
      </c>
    </row>
    <row r="148" customFormat="false" ht="15" hidden="false" customHeight="false" outlineLevel="0" collapsed="false">
      <c r="A148" s="37" t="n">
        <v>0</v>
      </c>
      <c r="B148" s="37" t="n">
        <v>0</v>
      </c>
      <c r="C148" s="37" t="n">
        <v>5</v>
      </c>
      <c r="D148" s="37" t="n">
        <v>0</v>
      </c>
      <c r="E148" s="37" t="n">
        <v>0</v>
      </c>
      <c r="F148" s="37" t="n">
        <v>25</v>
      </c>
      <c r="G148" s="37" t="s">
        <v>197</v>
      </c>
      <c r="H148" s="38" t="n">
        <v>198.261466590036</v>
      </c>
      <c r="I148" s="38" t="n">
        <v>196.234297104988</v>
      </c>
      <c r="J148" s="38" t="n">
        <v>195.175379347485</v>
      </c>
      <c r="K148" s="38" t="n">
        <v>222.335925138746</v>
      </c>
      <c r="L148" s="38" t="n">
        <v>219.733438465349</v>
      </c>
      <c r="M148" s="38" t="n">
        <v>94.8321786317758</v>
      </c>
      <c r="N148" s="38" t="n">
        <v>94.3463552574738</v>
      </c>
      <c r="O148" s="38" t="n">
        <v>61.5637571213112</v>
      </c>
      <c r="P148" s="37" t="n">
        <v>0</v>
      </c>
      <c r="Q148" s="38" t="n">
        <v>0</v>
      </c>
      <c r="R148" s="38" t="n">
        <v>70.5</v>
      </c>
      <c r="S148" s="37" t="n">
        <v>0</v>
      </c>
    </row>
    <row r="149" customFormat="false" ht="15" hidden="false" customHeight="false" outlineLevel="0" collapsed="false">
      <c r="A149" s="37" t="n">
        <v>0</v>
      </c>
      <c r="B149" s="37" t="n">
        <v>0</v>
      </c>
      <c r="C149" s="37" t="n">
        <v>5</v>
      </c>
      <c r="D149" s="37" t="n">
        <v>0</v>
      </c>
      <c r="E149" s="37" t="n">
        <v>0</v>
      </c>
      <c r="F149" s="37" t="n">
        <v>25</v>
      </c>
      <c r="G149" s="37" t="s">
        <v>196</v>
      </c>
      <c r="H149" s="38" t="n">
        <v>198.261466590036</v>
      </c>
      <c r="I149" s="38" t="n">
        <v>196.234819751765</v>
      </c>
      <c r="J149" s="38" t="n">
        <v>195.802801684676</v>
      </c>
      <c r="K149" s="38" t="n">
        <v>223.266298365991</v>
      </c>
      <c r="L149" s="38" t="n">
        <v>227.22764757234</v>
      </c>
      <c r="M149" s="38" t="n">
        <v>95.2936664480425</v>
      </c>
      <c r="N149" s="38" t="n">
        <v>99.8797908423305</v>
      </c>
      <c r="O149" s="38" t="n">
        <v>61.6885867214085</v>
      </c>
      <c r="P149" s="37" t="n">
        <v>0</v>
      </c>
      <c r="Q149" s="38" t="n">
        <v>0</v>
      </c>
      <c r="R149" s="38" t="n">
        <v>69.6040571428571</v>
      </c>
      <c r="S149" s="37" t="n">
        <v>1</v>
      </c>
    </row>
    <row r="150" customFormat="false" ht="15" hidden="false" customHeight="false" outlineLevel="0" collapsed="false">
      <c r="A150" s="37" t="n">
        <v>0</v>
      </c>
      <c r="B150" s="37" t="n">
        <v>0</v>
      </c>
      <c r="C150" s="37" t="n">
        <v>5</v>
      </c>
      <c r="D150" s="37" t="n">
        <v>0</v>
      </c>
      <c r="E150" s="37" t="n">
        <v>5</v>
      </c>
      <c r="F150" s="37" t="n">
        <v>20</v>
      </c>
      <c r="G150" s="37" t="s">
        <v>188</v>
      </c>
      <c r="H150" s="38" t="n">
        <v>198.295391815936</v>
      </c>
      <c r="I150" s="38" t="n">
        <v>196.529841282727</v>
      </c>
      <c r="J150" s="38" t="n">
        <v>195.851530675273</v>
      </c>
      <c r="K150" s="38" t="n">
        <v>224.553478834187</v>
      </c>
      <c r="L150" s="38" t="n">
        <v>180.3519794703</v>
      </c>
      <c r="M150" s="38" t="n">
        <v>96.8151730516739</v>
      </c>
      <c r="N150" s="38" t="n">
        <v>104.677134794418</v>
      </c>
      <c r="O150" s="38" t="n">
        <v>63.6319108892111</v>
      </c>
      <c r="P150" s="37" t="n">
        <v>0</v>
      </c>
      <c r="Q150" s="38" t="n">
        <v>0</v>
      </c>
      <c r="R150" s="38" t="n">
        <v>70.5</v>
      </c>
      <c r="S150" s="37" t="n">
        <v>0</v>
      </c>
    </row>
    <row r="151" customFormat="false" ht="15" hidden="false" customHeight="false" outlineLevel="0" collapsed="false">
      <c r="A151" s="37" t="n">
        <v>0</v>
      </c>
      <c r="B151" s="37" t="n">
        <v>0</v>
      </c>
      <c r="C151" s="37" t="n">
        <v>5</v>
      </c>
      <c r="D151" s="37" t="n">
        <v>0</v>
      </c>
      <c r="E151" s="37" t="n">
        <v>5</v>
      </c>
      <c r="F151" s="37" t="n">
        <v>20</v>
      </c>
      <c r="G151" s="37" t="s">
        <v>192</v>
      </c>
      <c r="H151" s="38" t="n">
        <v>198.295391815936</v>
      </c>
      <c r="I151" s="38" t="n">
        <v>196.531665440486</v>
      </c>
      <c r="J151" s="38" t="n">
        <v>198.81461726625</v>
      </c>
      <c r="K151" s="38" t="n">
        <v>228.53693456434</v>
      </c>
      <c r="L151" s="38" t="n">
        <v>187.133844842664</v>
      </c>
      <c r="M151" s="38" t="n">
        <v>93.8135033397681</v>
      </c>
      <c r="N151" s="38" t="n">
        <v>105.432396140096</v>
      </c>
      <c r="O151" s="38" t="n">
        <v>62.8994165708671</v>
      </c>
      <c r="P151" s="37" t="n">
        <v>0</v>
      </c>
      <c r="Q151" s="38" t="n">
        <v>0</v>
      </c>
      <c r="R151" s="38" t="n">
        <v>70.5</v>
      </c>
      <c r="S151" s="37" t="n">
        <v>0</v>
      </c>
    </row>
    <row r="152" customFormat="false" ht="15" hidden="false" customHeight="false" outlineLevel="0" collapsed="false">
      <c r="A152" s="37" t="n">
        <v>0</v>
      </c>
      <c r="B152" s="37" t="n">
        <v>0</v>
      </c>
      <c r="C152" s="37" t="n">
        <v>5</v>
      </c>
      <c r="D152" s="37" t="n">
        <v>0</v>
      </c>
      <c r="E152" s="37" t="n">
        <v>5</v>
      </c>
      <c r="F152" s="37" t="n">
        <v>20</v>
      </c>
      <c r="G152" s="37" t="s">
        <v>195</v>
      </c>
      <c r="H152" s="38" t="n">
        <v>198.295391815936</v>
      </c>
      <c r="I152" s="38" t="n">
        <v>196.541337946194</v>
      </c>
      <c r="J152" s="38" t="n">
        <v>194.482532675564</v>
      </c>
      <c r="K152" s="38" t="n">
        <v>219.566055146103</v>
      </c>
      <c r="L152" s="38" t="n">
        <v>180.800388945091</v>
      </c>
      <c r="M152" s="38" t="n">
        <v>96.8351852149166</v>
      </c>
      <c r="N152" s="38" t="n">
        <v>100.524389801427</v>
      </c>
      <c r="O152" s="38" t="n">
        <v>61.4613579978523</v>
      </c>
      <c r="P152" s="37" t="n">
        <v>0</v>
      </c>
      <c r="Q152" s="38" t="n">
        <v>0</v>
      </c>
      <c r="R152" s="38" t="n">
        <v>68.5453001396964</v>
      </c>
      <c r="S152" s="37" t="n">
        <v>0</v>
      </c>
    </row>
    <row r="153" customFormat="false" ht="15" hidden="false" customHeight="false" outlineLevel="0" collapsed="false">
      <c r="A153" s="37" t="n">
        <v>0</v>
      </c>
      <c r="B153" s="37" t="n">
        <v>0</v>
      </c>
      <c r="C153" s="37" t="n">
        <v>5</v>
      </c>
      <c r="D153" s="37" t="n">
        <v>0</v>
      </c>
      <c r="E153" s="37" t="n">
        <v>5</v>
      </c>
      <c r="F153" s="37" t="n">
        <v>20</v>
      </c>
      <c r="G153" s="37" t="s">
        <v>197</v>
      </c>
      <c r="H153" s="38" t="n">
        <v>198.295391815936</v>
      </c>
      <c r="I153" s="38" t="n">
        <v>196.540081235864</v>
      </c>
      <c r="J153" s="38" t="n">
        <v>198.571854392544</v>
      </c>
      <c r="K153" s="38" t="n">
        <v>228.393967317762</v>
      </c>
      <c r="L153" s="38" t="n">
        <v>186.368916123512</v>
      </c>
      <c r="M153" s="38" t="n">
        <v>99.6635479091787</v>
      </c>
      <c r="N153" s="38" t="n">
        <v>111.224016780562</v>
      </c>
      <c r="O153" s="38" t="n">
        <v>67.0467738995687</v>
      </c>
      <c r="P153" s="37" t="n">
        <v>0</v>
      </c>
      <c r="Q153" s="38" t="n">
        <v>0</v>
      </c>
      <c r="R153" s="38" t="n">
        <v>70.5</v>
      </c>
      <c r="S153" s="37" t="n">
        <v>1</v>
      </c>
    </row>
    <row r="154" customFormat="false" ht="15" hidden="false" customHeight="false" outlineLevel="0" collapsed="false">
      <c r="A154" s="37" t="n">
        <v>0</v>
      </c>
      <c r="B154" s="37" t="n">
        <v>0</v>
      </c>
      <c r="C154" s="37" t="n">
        <v>5</v>
      </c>
      <c r="D154" s="37" t="n">
        <v>0</v>
      </c>
      <c r="E154" s="37" t="n">
        <v>5</v>
      </c>
      <c r="F154" s="37" t="n">
        <v>20</v>
      </c>
      <c r="G154" s="37" t="s">
        <v>196</v>
      </c>
      <c r="H154" s="38" t="n">
        <v>198.295391815936</v>
      </c>
      <c r="I154" s="38" t="n">
        <v>196.532265656187</v>
      </c>
      <c r="J154" s="38" t="n">
        <v>198.548171260497</v>
      </c>
      <c r="K154" s="38" t="n">
        <v>228.334454244798</v>
      </c>
      <c r="L154" s="38" t="n">
        <v>192.295803451147</v>
      </c>
      <c r="M154" s="38" t="n">
        <v>97.3982888594609</v>
      </c>
      <c r="N154" s="38" t="n">
        <v>108.593964162001</v>
      </c>
      <c r="O154" s="38" t="n">
        <v>64.3847013240307</v>
      </c>
      <c r="P154" s="37" t="n">
        <v>0</v>
      </c>
      <c r="Q154" s="38" t="n">
        <v>0</v>
      </c>
      <c r="R154" s="38" t="n">
        <v>69.6040571428571</v>
      </c>
      <c r="S154" s="37" t="n">
        <v>0</v>
      </c>
    </row>
    <row r="155" customFormat="false" ht="15" hidden="false" customHeight="false" outlineLevel="0" collapsed="false">
      <c r="A155" s="37" t="n">
        <v>0</v>
      </c>
      <c r="B155" s="37" t="n">
        <v>0</v>
      </c>
      <c r="C155" s="37" t="n">
        <v>5</v>
      </c>
      <c r="D155" s="37" t="n">
        <v>0</v>
      </c>
      <c r="E155" s="37" t="n">
        <v>10</v>
      </c>
      <c r="F155" s="37" t="n">
        <v>15</v>
      </c>
      <c r="G155" s="37" t="s">
        <v>188</v>
      </c>
      <c r="H155" s="38" t="n">
        <v>198.3282858987</v>
      </c>
      <c r="I155" s="38" t="n">
        <v>196.848880954812</v>
      </c>
      <c r="J155" s="38" t="n">
        <v>198.233171327256</v>
      </c>
      <c r="K155" s="38" t="n">
        <v>229.16395329079</v>
      </c>
      <c r="L155" s="38" t="n">
        <v>145.202400125382</v>
      </c>
      <c r="M155" s="38" t="n">
        <v>98.1970143353098</v>
      </c>
      <c r="N155" s="38" t="n">
        <v>110.615351494831</v>
      </c>
      <c r="O155" s="38" t="n">
        <v>64.3898230634733</v>
      </c>
      <c r="P155" s="37" t="n">
        <v>0</v>
      </c>
      <c r="Q155" s="38" t="n">
        <v>0</v>
      </c>
      <c r="R155" s="38" t="n">
        <v>70.5</v>
      </c>
      <c r="S155" s="37" t="n">
        <v>0</v>
      </c>
    </row>
    <row r="156" customFormat="false" ht="15" hidden="false" customHeight="false" outlineLevel="0" collapsed="false">
      <c r="A156" s="37" t="n">
        <v>0</v>
      </c>
      <c r="B156" s="37" t="n">
        <v>0</v>
      </c>
      <c r="C156" s="37" t="n">
        <v>5</v>
      </c>
      <c r="D156" s="37" t="n">
        <v>0</v>
      </c>
      <c r="E156" s="37" t="n">
        <v>10</v>
      </c>
      <c r="F156" s="37" t="n">
        <v>15</v>
      </c>
      <c r="G156" s="37" t="s">
        <v>192</v>
      </c>
      <c r="H156" s="38" t="n">
        <v>198.3282858987</v>
      </c>
      <c r="I156" s="38" t="n">
        <v>196.850655868108</v>
      </c>
      <c r="J156" s="38" t="n">
        <v>201.132875033083</v>
      </c>
      <c r="K156" s="38" t="n">
        <v>233.062157967073</v>
      </c>
      <c r="L156" s="38" t="n">
        <v>151.650406128776</v>
      </c>
      <c r="M156" s="38" t="n">
        <v>95.1952354578088</v>
      </c>
      <c r="N156" s="38" t="n">
        <v>111.19920962736</v>
      </c>
      <c r="O156" s="38" t="n">
        <v>63.9121177707106</v>
      </c>
      <c r="P156" s="37" t="n">
        <v>0</v>
      </c>
      <c r="Q156" s="38" t="n">
        <v>0</v>
      </c>
      <c r="R156" s="38" t="n">
        <v>70.5</v>
      </c>
      <c r="S156" s="37" t="n">
        <v>0</v>
      </c>
    </row>
    <row r="157" customFormat="false" ht="15" hidden="false" customHeight="false" outlineLevel="0" collapsed="false">
      <c r="A157" s="37" t="n">
        <v>0</v>
      </c>
      <c r="B157" s="37" t="n">
        <v>0</v>
      </c>
      <c r="C157" s="37" t="n">
        <v>5</v>
      </c>
      <c r="D157" s="37" t="n">
        <v>0</v>
      </c>
      <c r="E157" s="37" t="n">
        <v>10</v>
      </c>
      <c r="F157" s="37" t="n">
        <v>15</v>
      </c>
      <c r="G157" s="37" t="s">
        <v>195</v>
      </c>
      <c r="H157" s="38" t="n">
        <v>198.3282858987</v>
      </c>
      <c r="I157" s="38" t="n">
        <v>196.864810695115</v>
      </c>
      <c r="J157" s="38" t="n">
        <v>196.931734425749</v>
      </c>
      <c r="K157" s="38" t="n">
        <v>224.305015759366</v>
      </c>
      <c r="L157" s="38" t="n">
        <v>145.5346955629</v>
      </c>
      <c r="M157" s="38" t="n">
        <v>98.2280361423884</v>
      </c>
      <c r="N157" s="38" t="n">
        <v>106.711038156331</v>
      </c>
      <c r="O157" s="38" t="n">
        <v>62.564897262003</v>
      </c>
      <c r="P157" s="37" t="n">
        <v>0</v>
      </c>
      <c r="Q157" s="38" t="n">
        <v>0</v>
      </c>
      <c r="R157" s="38" t="n">
        <v>68.5439039410603</v>
      </c>
      <c r="S157" s="37" t="n">
        <v>0</v>
      </c>
    </row>
    <row r="158" customFormat="false" ht="15" hidden="false" customHeight="false" outlineLevel="0" collapsed="false">
      <c r="A158" s="37" t="n">
        <v>0</v>
      </c>
      <c r="B158" s="37" t="n">
        <v>0</v>
      </c>
      <c r="C158" s="37" t="n">
        <v>5</v>
      </c>
      <c r="D158" s="37" t="n">
        <v>0</v>
      </c>
      <c r="E158" s="37" t="n">
        <v>10</v>
      </c>
      <c r="F158" s="37" t="n">
        <v>15</v>
      </c>
      <c r="G158" s="37" t="s">
        <v>197</v>
      </c>
      <c r="H158" s="38" t="n">
        <v>198.3282858987</v>
      </c>
      <c r="I158" s="38" t="n">
        <v>196.878338425537</v>
      </c>
      <c r="J158" s="38" t="n">
        <v>201.835674353788</v>
      </c>
      <c r="K158" s="38" t="n">
        <v>234.316858292491</v>
      </c>
      <c r="L158" s="38" t="n">
        <v>153.032826579444</v>
      </c>
      <c r="M158" s="38" t="n">
        <v>103.823806972491</v>
      </c>
      <c r="N158" s="38" t="n">
        <v>125.444624284953</v>
      </c>
      <c r="O158" s="38" t="n">
        <v>69.6309732704696</v>
      </c>
      <c r="P158" s="37" t="n">
        <v>0</v>
      </c>
      <c r="Q158" s="38" t="n">
        <v>0</v>
      </c>
      <c r="R158" s="38" t="n">
        <v>70.5</v>
      </c>
      <c r="S158" s="37" t="n">
        <v>1</v>
      </c>
    </row>
    <row r="159" customFormat="false" ht="15" hidden="false" customHeight="false" outlineLevel="0" collapsed="false">
      <c r="A159" s="37" t="n">
        <v>0</v>
      </c>
      <c r="B159" s="37" t="n">
        <v>0</v>
      </c>
      <c r="C159" s="37" t="n">
        <v>5</v>
      </c>
      <c r="D159" s="37" t="n">
        <v>0</v>
      </c>
      <c r="E159" s="37" t="n">
        <v>10</v>
      </c>
      <c r="F159" s="37" t="n">
        <v>15</v>
      </c>
      <c r="G159" s="37" t="s">
        <v>196</v>
      </c>
      <c r="H159" s="38" t="n">
        <v>198.3282858987</v>
      </c>
      <c r="I159" s="38" t="n">
        <v>196.851999301282</v>
      </c>
      <c r="J159" s="38" t="n">
        <v>200.88544351692</v>
      </c>
      <c r="K159" s="38" t="n">
        <v>232.903391898893</v>
      </c>
      <c r="L159" s="38" t="n">
        <v>156.864741105242</v>
      </c>
      <c r="M159" s="38" t="n">
        <v>99.3202582990581</v>
      </c>
      <c r="N159" s="38" t="n">
        <v>115.757114082421</v>
      </c>
      <c r="O159" s="38" t="n">
        <v>65.9262568783287</v>
      </c>
      <c r="P159" s="37" t="n">
        <v>0</v>
      </c>
      <c r="Q159" s="38" t="n">
        <v>0</v>
      </c>
      <c r="R159" s="38" t="n">
        <v>69.6040571428571</v>
      </c>
      <c r="S159" s="37" t="n">
        <v>0</v>
      </c>
    </row>
    <row r="160" customFormat="false" ht="15" hidden="false" customHeight="false" outlineLevel="0" collapsed="false">
      <c r="A160" s="37" t="n">
        <v>0</v>
      </c>
      <c r="B160" s="37" t="n">
        <v>0</v>
      </c>
      <c r="C160" s="37" t="n">
        <v>5</v>
      </c>
      <c r="D160" s="37" t="n">
        <v>0</v>
      </c>
      <c r="E160" s="37" t="n">
        <v>15</v>
      </c>
      <c r="F160" s="37" t="n">
        <v>10</v>
      </c>
      <c r="G160" s="37" t="s">
        <v>188</v>
      </c>
      <c r="H160" s="38" t="n">
        <v>198.357739279978</v>
      </c>
      <c r="I160" s="38" t="n">
        <v>197.076620037125</v>
      </c>
      <c r="J160" s="38" t="n">
        <v>199.856431757735</v>
      </c>
      <c r="K160" s="38" t="n">
        <v>232.326292375685</v>
      </c>
      <c r="L160" s="38" t="n">
        <v>108.567084344733</v>
      </c>
      <c r="M160" s="38" t="n">
        <v>99.240549835713</v>
      </c>
      <c r="N160" s="38" t="n">
        <v>114.651415948897</v>
      </c>
      <c r="O160" s="38" t="n">
        <v>63.9219066881655</v>
      </c>
      <c r="P160" s="37" t="n">
        <v>0</v>
      </c>
      <c r="Q160" s="38" t="n">
        <v>0</v>
      </c>
      <c r="R160" s="38" t="n">
        <v>70.5</v>
      </c>
      <c r="S160" s="37" t="n">
        <v>0</v>
      </c>
    </row>
    <row r="161" customFormat="false" ht="15" hidden="false" customHeight="false" outlineLevel="0" collapsed="false">
      <c r="A161" s="37" t="n">
        <v>0</v>
      </c>
      <c r="B161" s="37" t="n">
        <v>0</v>
      </c>
      <c r="C161" s="37" t="n">
        <v>5</v>
      </c>
      <c r="D161" s="37" t="n">
        <v>0</v>
      </c>
      <c r="E161" s="37" t="n">
        <v>15</v>
      </c>
      <c r="F161" s="37" t="n">
        <v>10</v>
      </c>
      <c r="G161" s="37" t="s">
        <v>192</v>
      </c>
      <c r="H161" s="38" t="n">
        <v>198.357739279978</v>
      </c>
      <c r="I161" s="38" t="n">
        <v>197.077877773371</v>
      </c>
      <c r="J161" s="38" t="n">
        <v>202.669096578982</v>
      </c>
      <c r="K161" s="38" t="n">
        <v>236.099038162255</v>
      </c>
      <c r="L161" s="38" t="n">
        <v>114.672854119024</v>
      </c>
      <c r="M161" s="38" t="n">
        <v>96.2365838263732</v>
      </c>
      <c r="N161" s="38" t="n">
        <v>115.034306159477</v>
      </c>
      <c r="O161" s="38" t="n">
        <v>63.5791590227715</v>
      </c>
      <c r="P161" s="37" t="n">
        <v>0</v>
      </c>
      <c r="Q161" s="38" t="n">
        <v>0</v>
      </c>
      <c r="R161" s="38" t="n">
        <v>70.5</v>
      </c>
      <c r="S161" s="37" t="n">
        <v>0</v>
      </c>
    </row>
    <row r="162" customFormat="false" ht="15" hidden="false" customHeight="false" outlineLevel="0" collapsed="false">
      <c r="A162" s="37" t="n">
        <v>0</v>
      </c>
      <c r="B162" s="37" t="n">
        <v>0</v>
      </c>
      <c r="C162" s="37" t="n">
        <v>5</v>
      </c>
      <c r="D162" s="37" t="n">
        <v>0</v>
      </c>
      <c r="E162" s="37" t="n">
        <v>15</v>
      </c>
      <c r="F162" s="37" t="n">
        <v>10</v>
      </c>
      <c r="G162" s="37" t="s">
        <v>195</v>
      </c>
      <c r="H162" s="38" t="n">
        <v>198.357739279978</v>
      </c>
      <c r="I162" s="38" t="n">
        <v>197.096573027685</v>
      </c>
      <c r="J162" s="38" t="n">
        <v>198.566529582069</v>
      </c>
      <c r="K162" s="38" t="n">
        <v>227.49374252112</v>
      </c>
      <c r="L162" s="38" t="n">
        <v>108.680664128934</v>
      </c>
      <c r="M162" s="38" t="n">
        <v>99.280506799406</v>
      </c>
      <c r="N162" s="38" t="n">
        <v>110.806814408308</v>
      </c>
      <c r="O162" s="38" t="n">
        <v>62.3361276193973</v>
      </c>
      <c r="P162" s="37" t="n">
        <v>0</v>
      </c>
      <c r="Q162" s="38" t="n">
        <v>0</v>
      </c>
      <c r="R162" s="38" t="n">
        <v>68.5310764823443</v>
      </c>
      <c r="S162" s="37" t="n">
        <v>0</v>
      </c>
    </row>
    <row r="163" customFormat="false" ht="15" hidden="false" customHeight="false" outlineLevel="0" collapsed="false">
      <c r="A163" s="37" t="n">
        <v>0</v>
      </c>
      <c r="B163" s="37" t="n">
        <v>0</v>
      </c>
      <c r="C163" s="37" t="n">
        <v>5</v>
      </c>
      <c r="D163" s="37" t="n">
        <v>0</v>
      </c>
      <c r="E163" s="37" t="n">
        <v>15</v>
      </c>
      <c r="F163" s="37" t="n">
        <v>10</v>
      </c>
      <c r="G163" s="37" t="s">
        <v>197</v>
      </c>
      <c r="H163" s="38" t="n">
        <v>198.357739279978</v>
      </c>
      <c r="I163" s="38" t="n">
        <v>197.123470661806</v>
      </c>
      <c r="J163" s="38" t="n">
        <v>204.140467458193</v>
      </c>
      <c r="K163" s="38" t="n">
        <v>238.505622786217</v>
      </c>
      <c r="L163" s="38" t="n">
        <v>117.721961071631</v>
      </c>
      <c r="M163" s="38" t="n">
        <v>106.60025841137</v>
      </c>
      <c r="N163" s="38" t="n">
        <v>131.577255840232</v>
      </c>
      <c r="O163" s="38" t="n">
        <v>69.8442436322582</v>
      </c>
      <c r="P163" s="37" t="n">
        <v>0</v>
      </c>
      <c r="Q163" s="38" t="n">
        <v>0</v>
      </c>
      <c r="R163" s="38" t="n">
        <v>70.5</v>
      </c>
      <c r="S163" s="37" t="n">
        <v>1</v>
      </c>
    </row>
    <row r="164" customFormat="false" ht="15" hidden="false" customHeight="false" outlineLevel="0" collapsed="false">
      <c r="A164" s="37" t="n">
        <v>0</v>
      </c>
      <c r="B164" s="37" t="n">
        <v>0</v>
      </c>
      <c r="C164" s="37" t="n">
        <v>5</v>
      </c>
      <c r="D164" s="37" t="n">
        <v>0</v>
      </c>
      <c r="E164" s="37" t="n">
        <v>15</v>
      </c>
      <c r="F164" s="37" t="n">
        <v>10</v>
      </c>
      <c r="G164" s="37" t="s">
        <v>196</v>
      </c>
      <c r="H164" s="38" t="n">
        <v>198.357739279978</v>
      </c>
      <c r="I164" s="38" t="n">
        <v>197.080903616689</v>
      </c>
      <c r="J164" s="38" t="n">
        <v>202.483497839805</v>
      </c>
      <c r="K164" s="38" t="n">
        <v>236.058085934394</v>
      </c>
      <c r="L164" s="38" t="n">
        <v>120.019435140743</v>
      </c>
      <c r="M164" s="38" t="n">
        <v>100.703617133956</v>
      </c>
      <c r="N164" s="38" t="n">
        <v>119.772023509161</v>
      </c>
      <c r="O164" s="38" t="n">
        <v>65.6463898611384</v>
      </c>
      <c r="P164" s="37" t="n">
        <v>0</v>
      </c>
      <c r="Q164" s="38" t="n">
        <v>0</v>
      </c>
      <c r="R164" s="38" t="n">
        <v>69.6040571428571</v>
      </c>
      <c r="S164" s="37" t="n">
        <v>0</v>
      </c>
    </row>
    <row r="165" customFormat="false" ht="15" hidden="false" customHeight="false" outlineLevel="0" collapsed="false">
      <c r="A165" s="37" t="n">
        <v>0</v>
      </c>
      <c r="B165" s="37" t="n">
        <v>0</v>
      </c>
      <c r="C165" s="37" t="n">
        <v>5</v>
      </c>
      <c r="D165" s="37" t="n">
        <v>0</v>
      </c>
      <c r="E165" s="37" t="n">
        <v>20</v>
      </c>
      <c r="F165" s="37" t="n">
        <v>5</v>
      </c>
      <c r="G165" s="37" t="s">
        <v>188</v>
      </c>
      <c r="H165" s="38" t="n">
        <v>198.383150106125</v>
      </c>
      <c r="I165" s="38" t="n">
        <v>197.254255910235</v>
      </c>
      <c r="J165" s="38" t="n">
        <v>201.070586318597</v>
      </c>
      <c r="K165" s="38" t="n">
        <v>234.694365009399</v>
      </c>
      <c r="L165" s="38" t="n">
        <v>71.0984166212967</v>
      </c>
      <c r="M165" s="38" t="n">
        <v>100.132620258362</v>
      </c>
      <c r="N165" s="38" t="n">
        <v>117.745653631414</v>
      </c>
      <c r="O165" s="38" t="n">
        <v>63.2576553501858</v>
      </c>
      <c r="P165" s="37" t="n">
        <v>0</v>
      </c>
      <c r="Q165" s="38" t="n">
        <v>0</v>
      </c>
      <c r="R165" s="38" t="n">
        <v>70.5</v>
      </c>
      <c r="S165" s="37" t="n">
        <v>0</v>
      </c>
    </row>
    <row r="166" customFormat="false" ht="15" hidden="false" customHeight="false" outlineLevel="0" collapsed="false">
      <c r="A166" s="37" t="n">
        <v>0</v>
      </c>
      <c r="B166" s="37" t="n">
        <v>0</v>
      </c>
      <c r="C166" s="37" t="n">
        <v>5</v>
      </c>
      <c r="D166" s="37" t="n">
        <v>0</v>
      </c>
      <c r="E166" s="37" t="n">
        <v>20</v>
      </c>
      <c r="F166" s="37" t="n">
        <v>5</v>
      </c>
      <c r="G166" s="37" t="s">
        <v>192</v>
      </c>
      <c r="H166" s="38" t="n">
        <v>198.383150106125</v>
      </c>
      <c r="I166" s="38" t="n">
        <v>197.255601215467</v>
      </c>
      <c r="J166" s="38" t="n">
        <v>203.84418272583</v>
      </c>
      <c r="K166" s="38" t="n">
        <v>238.414761728496</v>
      </c>
      <c r="L166" s="38" t="n">
        <v>76.9671475308035</v>
      </c>
      <c r="M166" s="38" t="n">
        <v>97.1290642716496</v>
      </c>
      <c r="N166" s="38" t="n">
        <v>118.037119245962</v>
      </c>
      <c r="O166" s="38" t="n">
        <v>63.0246882598635</v>
      </c>
      <c r="P166" s="37" t="n">
        <v>0</v>
      </c>
      <c r="Q166" s="38" t="n">
        <v>0</v>
      </c>
      <c r="R166" s="38" t="n">
        <v>70.5</v>
      </c>
      <c r="S166" s="37" t="n">
        <v>0</v>
      </c>
    </row>
    <row r="167" customFormat="false" ht="15" hidden="false" customHeight="false" outlineLevel="0" collapsed="false">
      <c r="A167" s="37" t="n">
        <v>0</v>
      </c>
      <c r="B167" s="37" t="n">
        <v>0</v>
      </c>
      <c r="C167" s="37" t="n">
        <v>5</v>
      </c>
      <c r="D167" s="37" t="n">
        <v>0</v>
      </c>
      <c r="E167" s="37" t="n">
        <v>20</v>
      </c>
      <c r="F167" s="37" t="n">
        <v>5</v>
      </c>
      <c r="G167" s="37" t="s">
        <v>195</v>
      </c>
      <c r="H167" s="38" t="n">
        <v>198.383150106125</v>
      </c>
      <c r="I167" s="38" t="n">
        <v>197.278884416937</v>
      </c>
      <c r="J167" s="38" t="n">
        <v>199.826803571198</v>
      </c>
      <c r="K167" s="38" t="n">
        <v>229.937540255309</v>
      </c>
      <c r="L167" s="38" t="n">
        <v>71.063499626235</v>
      </c>
      <c r="M167" s="38" t="n">
        <v>100.184760374543</v>
      </c>
      <c r="N167" s="38" t="n">
        <v>113.929882969538</v>
      </c>
      <c r="O167" s="38" t="n">
        <v>61.9038493050328</v>
      </c>
      <c r="P167" s="37" t="n">
        <v>0</v>
      </c>
      <c r="Q167" s="38" t="n">
        <v>0</v>
      </c>
      <c r="R167" s="38" t="n">
        <v>68.5127878112779</v>
      </c>
      <c r="S167" s="37" t="n">
        <v>0</v>
      </c>
    </row>
    <row r="168" customFormat="false" ht="15" hidden="false" customHeight="false" outlineLevel="0" collapsed="false">
      <c r="A168" s="37" t="n">
        <v>0</v>
      </c>
      <c r="B168" s="37" t="n">
        <v>0</v>
      </c>
      <c r="C168" s="37" t="n">
        <v>5</v>
      </c>
      <c r="D168" s="37" t="n">
        <v>0</v>
      </c>
      <c r="E168" s="37" t="n">
        <v>20</v>
      </c>
      <c r="F168" s="37" t="n">
        <v>5</v>
      </c>
      <c r="G168" s="37" t="s">
        <v>197</v>
      </c>
      <c r="H168" s="38" t="n">
        <v>198.383150106125</v>
      </c>
      <c r="I168" s="38" t="n">
        <v>197.322079297207</v>
      </c>
      <c r="J168" s="38" t="n">
        <v>204.380911549817</v>
      </c>
      <c r="K168" s="38" t="n">
        <v>239.767223046602</v>
      </c>
      <c r="L168" s="38" t="n">
        <v>88.2672230466017</v>
      </c>
      <c r="M168" s="38" t="n">
        <v>109.169618948201</v>
      </c>
      <c r="N168" s="38" t="n">
        <v>131.496313584435</v>
      </c>
      <c r="O168" s="38" t="n">
        <v>68.8372444640749</v>
      </c>
      <c r="P168" s="37" t="n">
        <v>0</v>
      </c>
      <c r="Q168" s="38" t="n">
        <v>0</v>
      </c>
      <c r="R168" s="38" t="n">
        <v>70.5</v>
      </c>
      <c r="S168" s="37" t="n">
        <v>1</v>
      </c>
    </row>
    <row r="169" customFormat="false" ht="15" hidden="false" customHeight="false" outlineLevel="0" collapsed="false">
      <c r="A169" s="37" t="n">
        <v>0</v>
      </c>
      <c r="B169" s="37" t="n">
        <v>0</v>
      </c>
      <c r="C169" s="37" t="n">
        <v>5</v>
      </c>
      <c r="D169" s="37" t="n">
        <v>0</v>
      </c>
      <c r="E169" s="37" t="n">
        <v>20</v>
      </c>
      <c r="F169" s="37" t="n">
        <v>5</v>
      </c>
      <c r="G169" s="37" t="s">
        <v>196</v>
      </c>
      <c r="H169" s="38" t="n">
        <v>198.383150106125</v>
      </c>
      <c r="I169" s="38" t="n">
        <v>197.259337946464</v>
      </c>
      <c r="J169" s="38" t="n">
        <v>203.64419577662</v>
      </c>
      <c r="K169" s="38" t="n">
        <v>238.375211666184</v>
      </c>
      <c r="L169" s="38" t="n">
        <v>82.2643887243288</v>
      </c>
      <c r="M169" s="38" t="n">
        <v>101.92559861263</v>
      </c>
      <c r="N169" s="38" t="n">
        <v>122.742392759916</v>
      </c>
      <c r="O169" s="38" t="n">
        <v>64.9381744188496</v>
      </c>
      <c r="P169" s="37" t="n">
        <v>0</v>
      </c>
      <c r="Q169" s="38" t="n">
        <v>0</v>
      </c>
      <c r="R169" s="38" t="n">
        <v>69.5867358272882</v>
      </c>
      <c r="S169" s="37" t="n">
        <v>0</v>
      </c>
    </row>
    <row r="170" customFormat="false" ht="15" hidden="false" customHeight="false" outlineLevel="0" collapsed="false">
      <c r="A170" s="37" t="n">
        <v>0</v>
      </c>
      <c r="B170" s="37" t="n">
        <v>0</v>
      </c>
      <c r="C170" s="37" t="n">
        <v>5</v>
      </c>
      <c r="D170" s="37" t="n">
        <v>0</v>
      </c>
      <c r="E170" s="37" t="n">
        <v>25</v>
      </c>
      <c r="F170" s="37" t="n">
        <v>0</v>
      </c>
      <c r="G170" s="37" t="s">
        <v>188</v>
      </c>
      <c r="H170" s="38" t="n">
        <v>198.392424844656</v>
      </c>
      <c r="I170" s="38" t="n">
        <v>197.307046297981</v>
      </c>
      <c r="J170" s="38" t="n">
        <v>201.369737386495</v>
      </c>
      <c r="K170" s="38" t="n">
        <v>235.265485564381</v>
      </c>
      <c r="L170" s="38" t="n">
        <v>31.7119923011113</v>
      </c>
      <c r="M170" s="38" t="n">
        <v>100.475657737009</v>
      </c>
      <c r="N170" s="38" t="n">
        <v>111.430962466347</v>
      </c>
      <c r="O170" s="38" t="n">
        <v>62.0885375192591</v>
      </c>
      <c r="P170" s="37" t="n">
        <v>0</v>
      </c>
      <c r="Q170" s="38" t="n">
        <v>0</v>
      </c>
      <c r="R170" s="38" t="n">
        <v>70.5</v>
      </c>
      <c r="S170" s="37" t="n">
        <v>0</v>
      </c>
    </row>
    <row r="171" customFormat="false" ht="15" hidden="false" customHeight="false" outlineLevel="0" collapsed="false">
      <c r="A171" s="37" t="n">
        <v>0</v>
      </c>
      <c r="B171" s="37" t="n">
        <v>0</v>
      </c>
      <c r="C171" s="37" t="n">
        <v>5</v>
      </c>
      <c r="D171" s="37" t="n">
        <v>0</v>
      </c>
      <c r="E171" s="37" t="n">
        <v>25</v>
      </c>
      <c r="F171" s="37" t="n">
        <v>0</v>
      </c>
      <c r="G171" s="37" t="s">
        <v>192</v>
      </c>
      <c r="H171" s="38" t="n">
        <v>198.392424844656</v>
      </c>
      <c r="I171" s="38" t="n">
        <v>197.308471413568</v>
      </c>
      <c r="J171" s="38" t="n">
        <v>204.14509652467</v>
      </c>
      <c r="K171" s="38" t="n">
        <v>238.986844839391</v>
      </c>
      <c r="L171" s="38" t="n">
        <v>37.519029072318</v>
      </c>
      <c r="M171" s="38" t="n">
        <v>97.4724566809447</v>
      </c>
      <c r="N171" s="38" t="n">
        <v>116.734672081416</v>
      </c>
      <c r="O171" s="38" t="n">
        <v>61.9157639233825</v>
      </c>
      <c r="P171" s="37" t="n">
        <v>0</v>
      </c>
      <c r="Q171" s="38" t="n">
        <v>0</v>
      </c>
      <c r="R171" s="38" t="n">
        <v>70.5</v>
      </c>
      <c r="S171" s="37" t="n">
        <v>0</v>
      </c>
    </row>
    <row r="172" customFormat="false" ht="15" hidden="false" customHeight="false" outlineLevel="0" collapsed="false">
      <c r="A172" s="37" t="n">
        <v>0</v>
      </c>
      <c r="B172" s="37" t="n">
        <v>0</v>
      </c>
      <c r="C172" s="37" t="n">
        <v>5</v>
      </c>
      <c r="D172" s="37" t="n">
        <v>0</v>
      </c>
      <c r="E172" s="37" t="n">
        <v>25</v>
      </c>
      <c r="F172" s="37" t="n">
        <v>0</v>
      </c>
      <c r="G172" s="37" t="s">
        <v>195</v>
      </c>
      <c r="H172" s="38" t="n">
        <v>198.392424844656</v>
      </c>
      <c r="I172" s="38" t="n">
        <v>197.333551086234</v>
      </c>
      <c r="J172" s="38" t="n">
        <v>200.137958996194</v>
      </c>
      <c r="K172" s="38" t="n">
        <v>230.510189564381</v>
      </c>
      <c r="L172" s="38" t="n">
        <v>31.5735734850135</v>
      </c>
      <c r="M172" s="38" t="n">
        <v>100.532931245207</v>
      </c>
      <c r="N172" s="38" t="n">
        <v>107.516337370188</v>
      </c>
      <c r="O172" s="38" t="n">
        <v>60.8165818006825</v>
      </c>
      <c r="P172" s="37" t="n">
        <v>0</v>
      </c>
      <c r="Q172" s="38" t="n">
        <v>0</v>
      </c>
      <c r="R172" s="38" t="n">
        <v>68.4940151761896</v>
      </c>
      <c r="S172" s="37" t="n">
        <v>0</v>
      </c>
    </row>
    <row r="173" customFormat="false" ht="15" hidden="false" customHeight="false" outlineLevel="0" collapsed="false">
      <c r="A173" s="37" t="n">
        <v>0</v>
      </c>
      <c r="B173" s="37" t="n">
        <v>0</v>
      </c>
      <c r="C173" s="37" t="n">
        <v>5</v>
      </c>
      <c r="D173" s="37" t="n">
        <v>0</v>
      </c>
      <c r="E173" s="37" t="n">
        <v>25</v>
      </c>
      <c r="F173" s="37" t="n">
        <v>0</v>
      </c>
      <c r="G173" s="37" t="s">
        <v>197</v>
      </c>
      <c r="H173" s="38" t="n">
        <v>198.392424844656</v>
      </c>
      <c r="I173" s="38" t="n">
        <v>197.387236980438</v>
      </c>
      <c r="J173" s="38" t="n">
        <v>205.054805287545</v>
      </c>
      <c r="K173" s="38" t="n">
        <v>240.952858473319</v>
      </c>
      <c r="L173" s="38" t="n">
        <v>54.4528584733191</v>
      </c>
      <c r="M173" s="38" t="n">
        <v>110.444944295864</v>
      </c>
      <c r="N173" s="38" t="n">
        <v>133.366546330478</v>
      </c>
      <c r="O173" s="38" t="n">
        <v>68.1443711629958</v>
      </c>
      <c r="P173" s="37" t="n">
        <v>0</v>
      </c>
      <c r="Q173" s="38" t="n">
        <v>0</v>
      </c>
      <c r="R173" s="38" t="n">
        <v>70.5</v>
      </c>
      <c r="S173" s="37" t="n">
        <v>1</v>
      </c>
    </row>
    <row r="174" customFormat="false" ht="15" hidden="false" customHeight="false" outlineLevel="0" collapsed="false">
      <c r="A174" s="37" t="n">
        <v>0</v>
      </c>
      <c r="B174" s="37" t="n">
        <v>0</v>
      </c>
      <c r="C174" s="37" t="n">
        <v>5</v>
      </c>
      <c r="D174" s="37" t="n">
        <v>0</v>
      </c>
      <c r="E174" s="37" t="n">
        <v>25</v>
      </c>
      <c r="F174" s="37" t="n">
        <v>0</v>
      </c>
      <c r="G174" s="37" t="s">
        <v>196</v>
      </c>
      <c r="H174" s="38" t="n">
        <v>198.392424844656</v>
      </c>
      <c r="I174" s="38" t="n">
        <v>197.312230609117</v>
      </c>
      <c r="J174" s="38" t="n">
        <v>203.910695032115</v>
      </c>
      <c r="K174" s="38" t="n">
        <v>238.907202191032</v>
      </c>
      <c r="L174" s="38" t="n">
        <v>42.7159363364084</v>
      </c>
      <c r="M174" s="38" t="n">
        <v>102.455547468593</v>
      </c>
      <c r="N174" s="38" t="n">
        <v>123.585003437499</v>
      </c>
      <c r="O174" s="38" t="n">
        <v>63.7300156284187</v>
      </c>
      <c r="P174" s="37" t="n">
        <v>0</v>
      </c>
      <c r="Q174" s="38" t="n">
        <v>0</v>
      </c>
      <c r="R174" s="38" t="n">
        <v>69.5674295282237</v>
      </c>
      <c r="S174" s="37" t="n">
        <v>0</v>
      </c>
    </row>
    <row r="175" customFormat="false" ht="15" hidden="false" customHeight="false" outlineLevel="0" collapsed="false">
      <c r="A175" s="37" t="n">
        <v>0</v>
      </c>
      <c r="B175" s="37" t="n">
        <v>0</v>
      </c>
      <c r="C175" s="37" t="n">
        <v>5</v>
      </c>
      <c r="D175" s="37" t="n">
        <v>5</v>
      </c>
      <c r="E175" s="37" t="n">
        <v>0</v>
      </c>
      <c r="F175" s="37" t="n">
        <v>20</v>
      </c>
      <c r="G175" s="37" t="s">
        <v>188</v>
      </c>
      <c r="H175" s="38" t="n">
        <v>198.487494613519</v>
      </c>
      <c r="I175" s="38" t="n">
        <v>197.801557396111</v>
      </c>
      <c r="J175" s="38" t="n">
        <v>202.813905886939</v>
      </c>
      <c r="K175" s="38" t="n">
        <v>226.472930949871</v>
      </c>
      <c r="L175" s="38" t="n">
        <v>183.106745722144</v>
      </c>
      <c r="M175" s="38" t="n">
        <v>97.5074983113238</v>
      </c>
      <c r="N175" s="38" t="n">
        <v>108.785306994103</v>
      </c>
      <c r="O175" s="38" t="n">
        <v>69.528667092004</v>
      </c>
      <c r="P175" s="37" t="n">
        <v>0</v>
      </c>
      <c r="Q175" s="38" t="n">
        <v>0</v>
      </c>
      <c r="R175" s="38" t="n">
        <v>72</v>
      </c>
      <c r="S175" s="37" t="n">
        <v>0</v>
      </c>
    </row>
    <row r="176" customFormat="false" ht="15" hidden="false" customHeight="false" outlineLevel="0" collapsed="false">
      <c r="A176" s="37" t="n">
        <v>0</v>
      </c>
      <c r="B176" s="37" t="n">
        <v>0</v>
      </c>
      <c r="C176" s="37" t="n">
        <v>5</v>
      </c>
      <c r="D176" s="37" t="n">
        <v>5</v>
      </c>
      <c r="E176" s="37" t="n">
        <v>0</v>
      </c>
      <c r="F176" s="37" t="n">
        <v>20</v>
      </c>
      <c r="G176" s="37" t="s">
        <v>192</v>
      </c>
      <c r="H176" s="38" t="n">
        <v>198.487494613519</v>
      </c>
      <c r="I176" s="38" t="n">
        <v>197.801526207482</v>
      </c>
      <c r="J176" s="38" t="n">
        <v>205.428150917854</v>
      </c>
      <c r="K176" s="38" t="n">
        <v>229.956192690112</v>
      </c>
      <c r="L176" s="38" t="n">
        <v>188.999847092072</v>
      </c>
      <c r="M176" s="38" t="n">
        <v>94.500776935571</v>
      </c>
      <c r="N176" s="38" t="n">
        <v>108.895404495467</v>
      </c>
      <c r="O176" s="38" t="n">
        <v>68.131164949092</v>
      </c>
      <c r="P176" s="37" t="n">
        <v>0</v>
      </c>
      <c r="Q176" s="38" t="n">
        <v>0</v>
      </c>
      <c r="R176" s="38" t="n">
        <v>72</v>
      </c>
      <c r="S176" s="37" t="n">
        <v>0</v>
      </c>
    </row>
    <row r="177" customFormat="false" ht="15" hidden="false" customHeight="false" outlineLevel="0" collapsed="false">
      <c r="A177" s="37" t="n">
        <v>0</v>
      </c>
      <c r="B177" s="37" t="n">
        <v>0</v>
      </c>
      <c r="C177" s="37" t="n">
        <v>5</v>
      </c>
      <c r="D177" s="37" t="n">
        <v>5</v>
      </c>
      <c r="E177" s="37" t="n">
        <v>0</v>
      </c>
      <c r="F177" s="37" t="n">
        <v>20</v>
      </c>
      <c r="G177" s="37" t="s">
        <v>195</v>
      </c>
      <c r="H177" s="38" t="n">
        <v>198.487494613519</v>
      </c>
      <c r="I177" s="38" t="n">
        <v>197.876801767357</v>
      </c>
      <c r="J177" s="38" t="n">
        <v>204.109785464598</v>
      </c>
      <c r="K177" s="38" t="n">
        <v>226.046314361473</v>
      </c>
      <c r="L177" s="38" t="n">
        <v>188.747965696604</v>
      </c>
      <c r="M177" s="38" t="n">
        <v>99.2843933846672</v>
      </c>
      <c r="N177" s="38" t="n">
        <v>112.874678612412</v>
      </c>
      <c r="O177" s="38" t="n">
        <v>70.4201826730827</v>
      </c>
      <c r="P177" s="37" t="n">
        <v>0</v>
      </c>
      <c r="Q177" s="38" t="n">
        <v>0</v>
      </c>
      <c r="R177" s="38" t="n">
        <v>70.4854954005391</v>
      </c>
      <c r="S177" s="37" t="n">
        <v>1</v>
      </c>
    </row>
    <row r="178" customFormat="false" ht="15" hidden="false" customHeight="false" outlineLevel="0" collapsed="false">
      <c r="A178" s="37" t="n">
        <v>0</v>
      </c>
      <c r="B178" s="37" t="n">
        <v>0</v>
      </c>
      <c r="C178" s="37" t="n">
        <v>5</v>
      </c>
      <c r="D178" s="37" t="n">
        <v>5</v>
      </c>
      <c r="E178" s="37" t="n">
        <v>0</v>
      </c>
      <c r="F178" s="37" t="n">
        <v>20</v>
      </c>
      <c r="G178" s="37" t="s">
        <v>197</v>
      </c>
      <c r="H178" s="38" t="n">
        <v>198.487494613519</v>
      </c>
      <c r="I178" s="38" t="n">
        <v>197.800560291571</v>
      </c>
      <c r="J178" s="38" t="n">
        <v>204.576345611911</v>
      </c>
      <c r="K178" s="38" t="n">
        <v>228.86972464252</v>
      </c>
      <c r="L178" s="38" t="n">
        <v>186.53416386497</v>
      </c>
      <c r="M178" s="38" t="n">
        <v>96.9489762218726</v>
      </c>
      <c r="N178" s="38" t="n">
        <v>105.059093405336</v>
      </c>
      <c r="O178" s="38" t="n">
        <v>68.3996873198445</v>
      </c>
      <c r="P178" s="37" t="n">
        <v>0</v>
      </c>
      <c r="Q178" s="38" t="n">
        <v>0</v>
      </c>
      <c r="R178" s="38" t="n">
        <v>72</v>
      </c>
      <c r="S178" s="37" t="n">
        <v>0</v>
      </c>
    </row>
    <row r="179" customFormat="false" ht="15" hidden="false" customHeight="false" outlineLevel="0" collapsed="false">
      <c r="A179" s="37" t="n">
        <v>0</v>
      </c>
      <c r="B179" s="37" t="n">
        <v>0</v>
      </c>
      <c r="C179" s="37" t="n">
        <v>5</v>
      </c>
      <c r="D179" s="37" t="n">
        <v>5</v>
      </c>
      <c r="E179" s="37" t="n">
        <v>0</v>
      </c>
      <c r="F179" s="37" t="n">
        <v>20</v>
      </c>
      <c r="G179" s="37" t="s">
        <v>196</v>
      </c>
      <c r="H179" s="38" t="n">
        <v>198.487494613519</v>
      </c>
      <c r="I179" s="38" t="n">
        <v>197.801153256441</v>
      </c>
      <c r="J179" s="38" t="n">
        <v>197.760738426119</v>
      </c>
      <c r="K179" s="38" t="n">
        <v>231.080441282716</v>
      </c>
      <c r="L179" s="38" t="n">
        <v>197.524885727161</v>
      </c>
      <c r="M179" s="38" t="n">
        <v>98.0519623259129</v>
      </c>
      <c r="N179" s="38" t="n">
        <v>110.340845832816</v>
      </c>
      <c r="O179" s="38" t="n">
        <v>66.5692562020676</v>
      </c>
      <c r="P179" s="37" t="n">
        <v>0</v>
      </c>
      <c r="Q179" s="38" t="n">
        <v>0</v>
      </c>
      <c r="R179" s="38" t="n">
        <v>70.6410982442071</v>
      </c>
      <c r="S179" s="37" t="n">
        <v>0</v>
      </c>
    </row>
    <row r="180" customFormat="false" ht="15" hidden="false" customHeight="false" outlineLevel="0" collapsed="false">
      <c r="A180" s="37" t="n">
        <v>0</v>
      </c>
      <c r="B180" s="37" t="n">
        <v>0</v>
      </c>
      <c r="C180" s="37" t="n">
        <v>5</v>
      </c>
      <c r="D180" s="37" t="n">
        <v>5</v>
      </c>
      <c r="E180" s="37" t="n">
        <v>5</v>
      </c>
      <c r="F180" s="37" t="n">
        <v>15</v>
      </c>
      <c r="G180" s="37" t="s">
        <v>188</v>
      </c>
      <c r="H180" s="38" t="n">
        <v>198.522929751376</v>
      </c>
      <c r="I180" s="38" t="n">
        <v>198.126222302839</v>
      </c>
      <c r="J180" s="38" t="n">
        <v>206.068681497576</v>
      </c>
      <c r="K180" s="38" t="n">
        <v>232.202320790647</v>
      </c>
      <c r="L180" s="38" t="n">
        <v>149.082234892548</v>
      </c>
      <c r="M180" s="38" t="n">
        <v>98.9883147903289</v>
      </c>
      <c r="N180" s="38" t="n">
        <v>116.537835292116</v>
      </c>
      <c r="O180" s="38" t="n">
        <v>70.6885022924917</v>
      </c>
      <c r="P180" s="37" t="n">
        <v>0</v>
      </c>
      <c r="Q180" s="38" t="n">
        <v>0</v>
      </c>
      <c r="R180" s="38" t="n">
        <v>72</v>
      </c>
      <c r="S180" s="37" t="n">
        <v>0</v>
      </c>
    </row>
    <row r="181" customFormat="false" ht="15" hidden="false" customHeight="false" outlineLevel="0" collapsed="false">
      <c r="A181" s="37" t="n">
        <v>0</v>
      </c>
      <c r="B181" s="37" t="n">
        <v>0</v>
      </c>
      <c r="C181" s="37" t="n">
        <v>5</v>
      </c>
      <c r="D181" s="37" t="n">
        <v>5</v>
      </c>
      <c r="E181" s="37" t="n">
        <v>5</v>
      </c>
      <c r="F181" s="37" t="n">
        <v>15</v>
      </c>
      <c r="G181" s="37" t="s">
        <v>192</v>
      </c>
      <c r="H181" s="38" t="n">
        <v>198.522929751376</v>
      </c>
      <c r="I181" s="38" t="n">
        <v>198.126146732807</v>
      </c>
      <c r="J181" s="38" t="n">
        <v>208.597694331815</v>
      </c>
      <c r="K181" s="38" t="n">
        <v>235.495761635161</v>
      </c>
      <c r="L181" s="38" t="n">
        <v>154.523989881303</v>
      </c>
      <c r="M181" s="38" t="n">
        <v>95.9813860566771</v>
      </c>
      <c r="N181" s="38" t="n">
        <v>116.317212584546</v>
      </c>
      <c r="O181" s="38" t="n">
        <v>69.4130266129387</v>
      </c>
      <c r="P181" s="37" t="n">
        <v>0</v>
      </c>
      <c r="Q181" s="38" t="n">
        <v>0</v>
      </c>
      <c r="R181" s="38" t="n">
        <v>72</v>
      </c>
      <c r="S181" s="37" t="n">
        <v>0</v>
      </c>
    </row>
    <row r="182" customFormat="false" ht="15" hidden="false" customHeight="false" outlineLevel="0" collapsed="false">
      <c r="A182" s="37" t="n">
        <v>0</v>
      </c>
      <c r="B182" s="37" t="n">
        <v>0</v>
      </c>
      <c r="C182" s="37" t="n">
        <v>5</v>
      </c>
      <c r="D182" s="37" t="n">
        <v>5</v>
      </c>
      <c r="E182" s="37" t="n">
        <v>5</v>
      </c>
      <c r="F182" s="37" t="n">
        <v>15</v>
      </c>
      <c r="G182" s="37" t="s">
        <v>195</v>
      </c>
      <c r="H182" s="38" t="n">
        <v>198.522929751376</v>
      </c>
      <c r="I182" s="38" t="n">
        <v>198.214955357912</v>
      </c>
      <c r="J182" s="38" t="n">
        <v>207.499923362707</v>
      </c>
      <c r="K182" s="38" t="n">
        <v>231.926192253879</v>
      </c>
      <c r="L182" s="38" t="n">
        <v>154.610844751262</v>
      </c>
      <c r="M182" s="38" t="n">
        <v>100.793549054474</v>
      </c>
      <c r="N182" s="38" t="n">
        <v>120.766796453256</v>
      </c>
      <c r="O182" s="38" t="n">
        <v>72.0346439945471</v>
      </c>
      <c r="P182" s="37" t="n">
        <v>0</v>
      </c>
      <c r="Q182" s="38" t="n">
        <v>0</v>
      </c>
      <c r="R182" s="38" t="n">
        <v>70.4803957492148</v>
      </c>
      <c r="S182" s="37" t="n">
        <v>0</v>
      </c>
    </row>
    <row r="183" customFormat="false" ht="15" hidden="false" customHeight="false" outlineLevel="0" collapsed="false">
      <c r="A183" s="37" t="n">
        <v>0</v>
      </c>
      <c r="B183" s="37" t="n">
        <v>0</v>
      </c>
      <c r="C183" s="37" t="n">
        <v>5</v>
      </c>
      <c r="D183" s="37" t="n">
        <v>5</v>
      </c>
      <c r="E183" s="37" t="n">
        <v>5</v>
      </c>
      <c r="F183" s="37" t="n">
        <v>15</v>
      </c>
      <c r="G183" s="37" t="s">
        <v>197</v>
      </c>
      <c r="H183" s="38" t="n">
        <v>198.522929751376</v>
      </c>
      <c r="I183" s="38" t="n">
        <v>198.136312775757</v>
      </c>
      <c r="J183" s="38" t="n">
        <v>208.445950060612</v>
      </c>
      <c r="K183" s="38" t="n">
        <v>235.466143818114</v>
      </c>
      <c r="L183" s="38" t="n">
        <v>153.705330443832</v>
      </c>
      <c r="M183" s="38" t="n">
        <v>101.837737723199</v>
      </c>
      <c r="N183" s="38" t="n">
        <v>122.377083659648</v>
      </c>
      <c r="O183" s="38" t="n">
        <v>73.9492398898493</v>
      </c>
      <c r="P183" s="37" t="n">
        <v>0</v>
      </c>
      <c r="Q183" s="38" t="n">
        <v>0</v>
      </c>
      <c r="R183" s="38" t="n">
        <v>72</v>
      </c>
      <c r="S183" s="37" t="n">
        <v>1</v>
      </c>
    </row>
    <row r="184" customFormat="false" ht="15" hidden="false" customHeight="false" outlineLevel="0" collapsed="false">
      <c r="A184" s="37" t="n">
        <v>0</v>
      </c>
      <c r="B184" s="37" t="n">
        <v>0</v>
      </c>
      <c r="C184" s="37" t="n">
        <v>5</v>
      </c>
      <c r="D184" s="37" t="n">
        <v>5</v>
      </c>
      <c r="E184" s="37" t="n">
        <v>5</v>
      </c>
      <c r="F184" s="37" t="n">
        <v>15</v>
      </c>
      <c r="G184" s="37" t="s">
        <v>196</v>
      </c>
      <c r="H184" s="38" t="n">
        <v>198.522929751376</v>
      </c>
      <c r="I184" s="38" t="n">
        <v>198.127252157059</v>
      </c>
      <c r="J184" s="38" t="n">
        <v>208.275281996648</v>
      </c>
      <c r="K184" s="38" t="n">
        <v>235.206160754428</v>
      </c>
      <c r="L184" s="38" t="n">
        <v>159.168133998486</v>
      </c>
      <c r="M184" s="38" t="n">
        <v>100.207909471634</v>
      </c>
      <c r="N184" s="38" t="n">
        <v>120.870047181371</v>
      </c>
      <c r="O184" s="38" t="n">
        <v>70.879628237137</v>
      </c>
      <c r="P184" s="37" t="n">
        <v>0</v>
      </c>
      <c r="Q184" s="38" t="n">
        <v>0</v>
      </c>
      <c r="R184" s="38" t="n">
        <v>71.1042069119073</v>
      </c>
      <c r="S184" s="37" t="n">
        <v>0</v>
      </c>
    </row>
    <row r="185" customFormat="false" ht="15" hidden="false" customHeight="false" outlineLevel="0" collapsed="false">
      <c r="A185" s="37" t="n">
        <v>0</v>
      </c>
      <c r="B185" s="37" t="n">
        <v>0</v>
      </c>
      <c r="C185" s="37" t="n">
        <v>5</v>
      </c>
      <c r="D185" s="37" t="n">
        <v>5</v>
      </c>
      <c r="E185" s="37" t="n">
        <v>10</v>
      </c>
      <c r="F185" s="37" t="n">
        <v>10</v>
      </c>
      <c r="G185" s="37" t="s">
        <v>188</v>
      </c>
      <c r="H185" s="38" t="n">
        <v>198.54900894395</v>
      </c>
      <c r="I185" s="38" t="n">
        <v>198.401246133754</v>
      </c>
      <c r="J185" s="38" t="n">
        <v>208.465695861245</v>
      </c>
      <c r="K185" s="38" t="n">
        <v>236.336609558678</v>
      </c>
      <c r="L185" s="38" t="n">
        <v>113.426888006934</v>
      </c>
      <c r="M185" s="38" t="n">
        <v>100.246994082474</v>
      </c>
      <c r="N185" s="38" t="n">
        <v>122.284679119018</v>
      </c>
      <c r="O185" s="38" t="n">
        <v>70.4251893668305</v>
      </c>
      <c r="P185" s="37" t="n">
        <v>0</v>
      </c>
      <c r="Q185" s="38" t="n">
        <v>0</v>
      </c>
      <c r="R185" s="38" t="n">
        <v>72</v>
      </c>
      <c r="S185" s="37" t="n">
        <v>0</v>
      </c>
    </row>
    <row r="186" customFormat="false" ht="15" hidden="false" customHeight="false" outlineLevel="0" collapsed="false">
      <c r="A186" s="37" t="n">
        <v>0</v>
      </c>
      <c r="B186" s="37" t="n">
        <v>0</v>
      </c>
      <c r="C186" s="37" t="n">
        <v>5</v>
      </c>
      <c r="D186" s="37" t="n">
        <v>5</v>
      </c>
      <c r="E186" s="37" t="n">
        <v>10</v>
      </c>
      <c r="F186" s="37" t="n">
        <v>10</v>
      </c>
      <c r="G186" s="37" t="s">
        <v>192</v>
      </c>
      <c r="H186" s="38" t="n">
        <v>198.54900894395</v>
      </c>
      <c r="I186" s="38" t="n">
        <v>198.400986449925</v>
      </c>
      <c r="J186" s="38" t="n">
        <v>210.925609783367</v>
      </c>
      <c r="K186" s="38" t="n">
        <v>239.542408007416</v>
      </c>
      <c r="L186" s="38" t="n">
        <v>118.550026008054</v>
      </c>
      <c r="M186" s="38" t="n">
        <v>97.2394576695195</v>
      </c>
      <c r="N186" s="38" t="n">
        <v>121.889454487045</v>
      </c>
      <c r="O186" s="38" t="n">
        <v>69.3904073412946</v>
      </c>
      <c r="P186" s="37" t="n">
        <v>0</v>
      </c>
      <c r="Q186" s="38" t="n">
        <v>0</v>
      </c>
      <c r="R186" s="38" t="n">
        <v>72</v>
      </c>
      <c r="S186" s="37" t="n">
        <v>0</v>
      </c>
    </row>
    <row r="187" customFormat="false" ht="15" hidden="false" customHeight="false" outlineLevel="0" collapsed="false">
      <c r="A187" s="37" t="n">
        <v>0</v>
      </c>
      <c r="B187" s="37" t="n">
        <v>0</v>
      </c>
      <c r="C187" s="37" t="n">
        <v>5</v>
      </c>
      <c r="D187" s="37" t="n">
        <v>5</v>
      </c>
      <c r="E187" s="37" t="n">
        <v>10</v>
      </c>
      <c r="F187" s="37" t="n">
        <v>10</v>
      </c>
      <c r="G187" s="37" t="s">
        <v>195</v>
      </c>
      <c r="H187" s="38" t="n">
        <v>198.54900894395</v>
      </c>
      <c r="I187" s="38" t="n">
        <v>198.501240571292</v>
      </c>
      <c r="J187" s="38" t="n">
        <v>210.078484659121</v>
      </c>
      <c r="K187" s="38" t="n">
        <v>236.359844013775</v>
      </c>
      <c r="L187" s="38" t="n">
        <v>119.01841965556</v>
      </c>
      <c r="M187" s="38" t="n">
        <v>102.063105615106</v>
      </c>
      <c r="N187" s="38" t="n">
        <v>126.810628089206</v>
      </c>
      <c r="O187" s="38" t="n">
        <v>72.2967398928537</v>
      </c>
      <c r="P187" s="37" t="n">
        <v>0</v>
      </c>
      <c r="Q187" s="38" t="n">
        <v>0</v>
      </c>
      <c r="R187" s="38" t="n">
        <v>70.4725726925354</v>
      </c>
      <c r="S187" s="37" t="n">
        <v>0</v>
      </c>
    </row>
    <row r="188" customFormat="false" ht="15" hidden="false" customHeight="false" outlineLevel="0" collapsed="false">
      <c r="A188" s="37" t="n">
        <v>0</v>
      </c>
      <c r="B188" s="37" t="n">
        <v>0</v>
      </c>
      <c r="C188" s="37" t="n">
        <v>5</v>
      </c>
      <c r="D188" s="37" t="n">
        <v>5</v>
      </c>
      <c r="E188" s="37" t="n">
        <v>10</v>
      </c>
      <c r="F188" s="37" t="n">
        <v>10</v>
      </c>
      <c r="G188" s="37" t="s">
        <v>197</v>
      </c>
      <c r="H188" s="38" t="n">
        <v>198.54900894395</v>
      </c>
      <c r="I188" s="38" t="n">
        <v>198.432091313951</v>
      </c>
      <c r="J188" s="38" t="n">
        <v>211.797468074588</v>
      </c>
      <c r="K188" s="38" t="n">
        <v>240.957761173776</v>
      </c>
      <c r="L188" s="38" t="n">
        <v>119.92384183186</v>
      </c>
      <c r="M188" s="38" t="n">
        <v>105.841985609838</v>
      </c>
      <c r="N188" s="38" t="n">
        <v>136.416902818137</v>
      </c>
      <c r="O188" s="38" t="n">
        <v>75.5626614221734</v>
      </c>
      <c r="P188" s="37" t="n">
        <v>0</v>
      </c>
      <c r="Q188" s="38" t="n">
        <v>0</v>
      </c>
      <c r="R188" s="38" t="n">
        <v>72</v>
      </c>
      <c r="S188" s="37" t="n">
        <v>1</v>
      </c>
    </row>
    <row r="189" customFormat="false" ht="15" hidden="false" customHeight="false" outlineLevel="0" collapsed="false">
      <c r="A189" s="37" t="n">
        <v>0</v>
      </c>
      <c r="B189" s="37" t="n">
        <v>0</v>
      </c>
      <c r="C189" s="37" t="n">
        <v>5</v>
      </c>
      <c r="D189" s="37" t="n">
        <v>5</v>
      </c>
      <c r="E189" s="37" t="n">
        <v>10</v>
      </c>
      <c r="F189" s="37" t="n">
        <v>10</v>
      </c>
      <c r="G189" s="37" t="s">
        <v>196</v>
      </c>
      <c r="H189" s="38" t="n">
        <v>198.54900894395</v>
      </c>
      <c r="I189" s="38" t="n">
        <v>198.403539913707</v>
      </c>
      <c r="J189" s="38" t="n">
        <v>210.614454385117</v>
      </c>
      <c r="K189" s="38" t="n">
        <v>239.299219905635</v>
      </c>
      <c r="L189" s="38" t="n">
        <v>123.258456285346</v>
      </c>
      <c r="M189" s="38" t="n">
        <v>102.002965080311</v>
      </c>
      <c r="N189" s="38" t="n">
        <v>127.801599298061</v>
      </c>
      <c r="O189" s="38" t="n">
        <v>71.5324476132497</v>
      </c>
      <c r="P189" s="37" t="n">
        <v>0</v>
      </c>
      <c r="Q189" s="38" t="n">
        <v>0</v>
      </c>
      <c r="R189" s="38" t="n">
        <v>71.1035500644639</v>
      </c>
      <c r="S189" s="37" t="n">
        <v>0</v>
      </c>
    </row>
    <row r="190" customFormat="false" ht="15" hidden="false" customHeight="false" outlineLevel="0" collapsed="false">
      <c r="A190" s="37" t="n">
        <v>0</v>
      </c>
      <c r="B190" s="37" t="n">
        <v>0</v>
      </c>
      <c r="C190" s="37" t="n">
        <v>5</v>
      </c>
      <c r="D190" s="37" t="n">
        <v>5</v>
      </c>
      <c r="E190" s="37" t="n">
        <v>15</v>
      </c>
      <c r="F190" s="37" t="n">
        <v>5</v>
      </c>
      <c r="G190" s="37" t="s">
        <v>188</v>
      </c>
      <c r="H190" s="38" t="n">
        <v>198.571280330807</v>
      </c>
      <c r="I190" s="38" t="n">
        <v>198.579297729341</v>
      </c>
      <c r="J190" s="38" t="n">
        <v>209.971818175357</v>
      </c>
      <c r="K190" s="38" t="n">
        <v>238.901371414939</v>
      </c>
      <c r="L190" s="38" t="n">
        <v>76.1578601888569</v>
      </c>
      <c r="M190" s="38" t="n">
        <v>101.153699684756</v>
      </c>
      <c r="N190" s="38" t="n">
        <v>126.01706865238</v>
      </c>
      <c r="O190" s="38" t="n">
        <v>69.8100749865773</v>
      </c>
      <c r="P190" s="37" t="n">
        <v>0</v>
      </c>
      <c r="Q190" s="38" t="n">
        <v>0</v>
      </c>
      <c r="R190" s="38" t="n">
        <v>72</v>
      </c>
      <c r="S190" s="37" t="n">
        <v>0</v>
      </c>
    </row>
    <row r="191" customFormat="false" ht="15" hidden="false" customHeight="false" outlineLevel="0" collapsed="false">
      <c r="A191" s="37" t="n">
        <v>0</v>
      </c>
      <c r="B191" s="37" t="n">
        <v>0</v>
      </c>
      <c r="C191" s="37" t="n">
        <v>5</v>
      </c>
      <c r="D191" s="37" t="n">
        <v>5</v>
      </c>
      <c r="E191" s="37" t="n">
        <v>15</v>
      </c>
      <c r="F191" s="37" t="n">
        <v>5</v>
      </c>
      <c r="G191" s="37" t="s">
        <v>192</v>
      </c>
      <c r="H191" s="38" t="n">
        <v>198.571280330807</v>
      </c>
      <c r="I191" s="38" t="n">
        <v>198.578009998518</v>
      </c>
      <c r="J191" s="38" t="n">
        <v>212.337982719488</v>
      </c>
      <c r="K191" s="38" t="n">
        <v>241.97226735341</v>
      </c>
      <c r="L191" s="38" t="n">
        <v>80.9514795744283</v>
      </c>
      <c r="M191" s="38" t="n">
        <v>98.1426108396717</v>
      </c>
      <c r="N191" s="38" t="n">
        <v>125.431567137946</v>
      </c>
      <c r="O191" s="38" t="n">
        <v>68.8612560664972</v>
      </c>
      <c r="P191" s="37" t="n">
        <v>0</v>
      </c>
      <c r="Q191" s="38" t="n">
        <v>0</v>
      </c>
      <c r="R191" s="38" t="n">
        <v>72</v>
      </c>
      <c r="S191" s="37" t="n">
        <v>0</v>
      </c>
    </row>
    <row r="192" customFormat="false" ht="15" hidden="false" customHeight="false" outlineLevel="0" collapsed="false">
      <c r="A192" s="37" t="n">
        <v>0</v>
      </c>
      <c r="B192" s="37" t="n">
        <v>0</v>
      </c>
      <c r="C192" s="37" t="n">
        <v>5</v>
      </c>
      <c r="D192" s="37" t="n">
        <v>5</v>
      </c>
      <c r="E192" s="37" t="n">
        <v>15</v>
      </c>
      <c r="F192" s="37" t="n">
        <v>5</v>
      </c>
      <c r="G192" s="37" t="s">
        <v>195</v>
      </c>
      <c r="H192" s="38" t="n">
        <v>198.571280330807</v>
      </c>
      <c r="I192" s="38" t="n">
        <v>198.690746439039</v>
      </c>
      <c r="J192" s="38" t="n">
        <v>211.774541443863</v>
      </c>
      <c r="K192" s="38" t="n">
        <v>239.241842842429</v>
      </c>
      <c r="L192" s="38" t="n">
        <v>81.8687493657087</v>
      </c>
      <c r="M192" s="38" t="n">
        <v>102.976822936504</v>
      </c>
      <c r="N192" s="38" t="n">
        <v>130.809531702371</v>
      </c>
      <c r="O192" s="38" t="n">
        <v>72.0198714733803</v>
      </c>
      <c r="P192" s="37" t="n">
        <v>0</v>
      </c>
      <c r="Q192" s="38" t="n">
        <v>0</v>
      </c>
      <c r="R192" s="38" t="n">
        <v>70.4630719569838</v>
      </c>
      <c r="S192" s="37" t="n">
        <v>0</v>
      </c>
    </row>
    <row r="193" customFormat="false" ht="15" hidden="false" customHeight="false" outlineLevel="0" collapsed="false">
      <c r="A193" s="37" t="n">
        <v>0</v>
      </c>
      <c r="B193" s="37" t="n">
        <v>0</v>
      </c>
      <c r="C193" s="37" t="n">
        <v>5</v>
      </c>
      <c r="D193" s="37" t="n">
        <v>5</v>
      </c>
      <c r="E193" s="37" t="n">
        <v>15</v>
      </c>
      <c r="F193" s="37" t="n">
        <v>5</v>
      </c>
      <c r="G193" s="37" t="s">
        <v>197</v>
      </c>
      <c r="H193" s="38" t="n">
        <v>198.571280330807</v>
      </c>
      <c r="I193" s="38" t="n">
        <v>198.629657355273</v>
      </c>
      <c r="J193" s="38" t="n">
        <v>212.416126349139</v>
      </c>
      <c r="K193" s="38" t="n">
        <v>242.50554763363</v>
      </c>
      <c r="L193" s="38" t="n">
        <v>86.0055476336296</v>
      </c>
      <c r="M193" s="38" t="n">
        <v>108.429013371839</v>
      </c>
      <c r="N193" s="38" t="n">
        <v>137.406192318</v>
      </c>
      <c r="O193" s="38" t="n">
        <v>74.5506985219674</v>
      </c>
      <c r="P193" s="37" t="n">
        <v>0</v>
      </c>
      <c r="Q193" s="38" t="n">
        <v>0</v>
      </c>
      <c r="R193" s="38" t="n">
        <v>72</v>
      </c>
      <c r="S193" s="37" t="n">
        <v>1</v>
      </c>
    </row>
    <row r="194" customFormat="false" ht="15" hidden="false" customHeight="false" outlineLevel="0" collapsed="false">
      <c r="A194" s="37" t="n">
        <v>0</v>
      </c>
      <c r="B194" s="37" t="n">
        <v>0</v>
      </c>
      <c r="C194" s="37" t="n">
        <v>5</v>
      </c>
      <c r="D194" s="37" t="n">
        <v>5</v>
      </c>
      <c r="E194" s="37" t="n">
        <v>15</v>
      </c>
      <c r="F194" s="37" t="n">
        <v>5</v>
      </c>
      <c r="G194" s="37" t="s">
        <v>196</v>
      </c>
      <c r="H194" s="38" t="n">
        <v>198.571280330807</v>
      </c>
      <c r="I194" s="38" t="n">
        <v>198.584354735516</v>
      </c>
      <c r="J194" s="38" t="n">
        <v>212.115021213537</v>
      </c>
      <c r="K194" s="38" t="n">
        <v>241.903737407757</v>
      </c>
      <c r="L194" s="38" t="n">
        <v>85.8594501271323</v>
      </c>
      <c r="M194" s="38" t="n">
        <v>103.240328372134</v>
      </c>
      <c r="N194" s="38" t="n">
        <v>131.536285556494</v>
      </c>
      <c r="O194" s="38" t="n">
        <v>70.9231471888807</v>
      </c>
      <c r="P194" s="37" t="n">
        <v>0</v>
      </c>
      <c r="Q194" s="38" t="n">
        <v>0</v>
      </c>
      <c r="R194" s="38" t="n">
        <v>71.1027043859833</v>
      </c>
      <c r="S194" s="37" t="n">
        <v>0</v>
      </c>
    </row>
    <row r="195" customFormat="false" ht="15" hidden="false" customHeight="false" outlineLevel="0" collapsed="false">
      <c r="A195" s="37" t="n">
        <v>0</v>
      </c>
      <c r="B195" s="37" t="n">
        <v>0</v>
      </c>
      <c r="C195" s="37" t="n">
        <v>5</v>
      </c>
      <c r="D195" s="37" t="n">
        <v>5</v>
      </c>
      <c r="E195" s="37" t="n">
        <v>20</v>
      </c>
      <c r="F195" s="37" t="n">
        <v>0</v>
      </c>
      <c r="G195" s="37" t="s">
        <v>188</v>
      </c>
      <c r="H195" s="38" t="n">
        <v>198.592326497853</v>
      </c>
      <c r="I195" s="38" t="n">
        <v>198.739822837314</v>
      </c>
      <c r="J195" s="38" t="n">
        <v>211.178665791154</v>
      </c>
      <c r="K195" s="38" t="n">
        <v>241.017002697365</v>
      </c>
      <c r="L195" s="38" t="n">
        <v>38.416504065163</v>
      </c>
      <c r="M195" s="38" t="n">
        <v>102.005567543275</v>
      </c>
      <c r="N195" s="38" t="n">
        <v>127.678746438156</v>
      </c>
      <c r="O195" s="38" t="n">
        <v>69.0592274035754</v>
      </c>
      <c r="P195" s="37" t="n">
        <v>0</v>
      </c>
      <c r="Q195" s="38" t="n">
        <v>0</v>
      </c>
      <c r="R195" s="38" t="n">
        <v>72</v>
      </c>
      <c r="S195" s="37" t="n">
        <v>0</v>
      </c>
    </row>
    <row r="196" customFormat="false" ht="15" hidden="false" customHeight="false" outlineLevel="0" collapsed="false">
      <c r="A196" s="37" t="n">
        <v>0</v>
      </c>
      <c r="B196" s="37" t="n">
        <v>0</v>
      </c>
      <c r="C196" s="37" t="n">
        <v>5</v>
      </c>
      <c r="D196" s="37" t="n">
        <v>5</v>
      </c>
      <c r="E196" s="37" t="n">
        <v>20</v>
      </c>
      <c r="F196" s="37" t="n">
        <v>0</v>
      </c>
      <c r="G196" s="37" t="s">
        <v>192</v>
      </c>
      <c r="H196" s="38" t="n">
        <v>198.592326497853</v>
      </c>
      <c r="I196" s="38" t="n">
        <v>198.738723204917</v>
      </c>
      <c r="J196" s="38" t="n">
        <v>213.50014886763</v>
      </c>
      <c r="K196" s="38" t="n">
        <v>244.033933588137</v>
      </c>
      <c r="L196" s="38" t="n">
        <v>42.9826739646689</v>
      </c>
      <c r="M196" s="38" t="n">
        <v>98.9950215907852</v>
      </c>
      <c r="N196" s="38" t="n">
        <v>128.357480826759</v>
      </c>
      <c r="O196" s="38" t="n">
        <v>68.2175065068387</v>
      </c>
      <c r="P196" s="37" t="n">
        <v>0</v>
      </c>
      <c r="Q196" s="38" t="n">
        <v>0</v>
      </c>
      <c r="R196" s="38" t="n">
        <v>72</v>
      </c>
      <c r="S196" s="37" t="n">
        <v>0</v>
      </c>
    </row>
    <row r="197" customFormat="false" ht="15" hidden="false" customHeight="false" outlineLevel="0" collapsed="false">
      <c r="A197" s="37" t="n">
        <v>0</v>
      </c>
      <c r="B197" s="37" t="n">
        <v>0</v>
      </c>
      <c r="C197" s="37" t="n">
        <v>5</v>
      </c>
      <c r="D197" s="37" t="n">
        <v>5</v>
      </c>
      <c r="E197" s="37" t="n">
        <v>20</v>
      </c>
      <c r="F197" s="37" t="n">
        <v>0</v>
      </c>
      <c r="G197" s="37" t="s">
        <v>195</v>
      </c>
      <c r="H197" s="38" t="n">
        <v>198.592326497853</v>
      </c>
      <c r="I197" s="38" t="n">
        <v>198.860977383909</v>
      </c>
      <c r="J197" s="38" t="n">
        <v>213.151491844917</v>
      </c>
      <c r="K197" s="38" t="n">
        <v>241.633893134801</v>
      </c>
      <c r="L197" s="38" t="n">
        <v>44.2228149489177</v>
      </c>
      <c r="M197" s="38" t="n">
        <v>103.828313940631</v>
      </c>
      <c r="N197" s="38" t="n">
        <v>133.975620302174</v>
      </c>
      <c r="O197" s="38" t="n">
        <v>71.5734410032204</v>
      </c>
      <c r="P197" s="37" t="n">
        <v>0</v>
      </c>
      <c r="Q197" s="38" t="n">
        <v>0</v>
      </c>
      <c r="R197" s="38" t="n">
        <v>70.4516765442351</v>
      </c>
      <c r="S197" s="37" t="n">
        <v>0</v>
      </c>
    </row>
    <row r="198" customFormat="false" ht="15" hidden="false" customHeight="false" outlineLevel="0" collapsed="false">
      <c r="A198" s="37" t="n">
        <v>0</v>
      </c>
      <c r="B198" s="37" t="n">
        <v>0</v>
      </c>
      <c r="C198" s="37" t="n">
        <v>5</v>
      </c>
      <c r="D198" s="37" t="n">
        <v>5</v>
      </c>
      <c r="E198" s="37" t="n">
        <v>20</v>
      </c>
      <c r="F198" s="37" t="n">
        <v>0</v>
      </c>
      <c r="G198" s="37" t="s">
        <v>197</v>
      </c>
      <c r="H198" s="38" t="n">
        <v>198.592326497853</v>
      </c>
      <c r="I198" s="38" t="n">
        <v>198.812780754929</v>
      </c>
      <c r="J198" s="38" t="n">
        <v>214.377288746482</v>
      </c>
      <c r="K198" s="38" t="n">
        <v>245.787550218596</v>
      </c>
      <c r="L198" s="38" t="n">
        <v>54.287550218596</v>
      </c>
      <c r="M198" s="38" t="n">
        <v>110.931078006645</v>
      </c>
      <c r="N198" s="38" t="n">
        <v>142.401710040381</v>
      </c>
      <c r="O198" s="38" t="n">
        <v>75.8661592300535</v>
      </c>
      <c r="P198" s="37" t="n">
        <v>0</v>
      </c>
      <c r="Q198" s="38" t="n">
        <v>0</v>
      </c>
      <c r="R198" s="38" t="n">
        <v>72</v>
      </c>
      <c r="S198" s="37" t="n">
        <v>1</v>
      </c>
    </row>
    <row r="199" customFormat="false" ht="15" hidden="false" customHeight="false" outlineLevel="0" collapsed="false">
      <c r="A199" s="37" t="n">
        <v>0</v>
      </c>
      <c r="B199" s="37" t="n">
        <v>0</v>
      </c>
      <c r="C199" s="37" t="n">
        <v>5</v>
      </c>
      <c r="D199" s="37" t="n">
        <v>5</v>
      </c>
      <c r="E199" s="37" t="n">
        <v>20</v>
      </c>
      <c r="F199" s="37" t="n">
        <v>0</v>
      </c>
      <c r="G199" s="37" t="s">
        <v>196</v>
      </c>
      <c r="H199" s="38" t="n">
        <v>198.592326497853</v>
      </c>
      <c r="I199" s="38" t="n">
        <v>198.745047192477</v>
      </c>
      <c r="J199" s="38" t="n">
        <v>213.268113599672</v>
      </c>
      <c r="K199" s="38" t="n">
        <v>243.967462163295</v>
      </c>
      <c r="L199" s="38" t="n">
        <v>47.8954015064388</v>
      </c>
      <c r="M199" s="38" t="n">
        <v>104.402804043843</v>
      </c>
      <c r="N199" s="38" t="n">
        <v>134.400109970313</v>
      </c>
      <c r="O199" s="38" t="n">
        <v>70.1414913581507</v>
      </c>
      <c r="P199" s="37" t="n">
        <v>0</v>
      </c>
      <c r="Q199" s="38" t="n">
        <v>0</v>
      </c>
      <c r="R199" s="38" t="n">
        <v>71.0960387756878</v>
      </c>
      <c r="S199" s="37" t="n">
        <v>0</v>
      </c>
    </row>
    <row r="200" customFormat="false" ht="15" hidden="false" customHeight="false" outlineLevel="0" collapsed="false">
      <c r="A200" s="37" t="n">
        <v>0</v>
      </c>
      <c r="B200" s="37" t="n">
        <v>0</v>
      </c>
      <c r="C200" s="37" t="n">
        <v>5</v>
      </c>
      <c r="D200" s="37" t="n">
        <v>10</v>
      </c>
      <c r="E200" s="37" t="n">
        <v>0</v>
      </c>
      <c r="F200" s="37" t="n">
        <v>15</v>
      </c>
      <c r="G200" s="37" t="s">
        <v>188</v>
      </c>
      <c r="H200" s="38" t="n">
        <v>198.736138617685</v>
      </c>
      <c r="I200" s="38" t="n">
        <v>199.040002718706</v>
      </c>
      <c r="J200" s="38" t="n">
        <v>208.335946795825</v>
      </c>
      <c r="K200" s="38" t="n">
        <v>230.782402127607</v>
      </c>
      <c r="L200" s="38" t="n">
        <v>148.072007373046</v>
      </c>
      <c r="M200" s="38" t="n">
        <v>98.9270886183823</v>
      </c>
      <c r="N200" s="38" t="n">
        <v>114.066733686285</v>
      </c>
      <c r="O200" s="38" t="n">
        <v>71.6479280036533</v>
      </c>
      <c r="P200" s="37" t="n">
        <v>0</v>
      </c>
      <c r="Q200" s="38" t="n">
        <v>0</v>
      </c>
      <c r="R200" s="38" t="n">
        <v>72</v>
      </c>
      <c r="S200" s="37" t="n">
        <v>0</v>
      </c>
    </row>
    <row r="201" customFormat="false" ht="15" hidden="false" customHeight="false" outlineLevel="0" collapsed="false">
      <c r="A201" s="37" t="n">
        <v>0</v>
      </c>
      <c r="B201" s="37" t="n">
        <v>0</v>
      </c>
      <c r="C201" s="37" t="n">
        <v>5</v>
      </c>
      <c r="D201" s="37" t="n">
        <v>10</v>
      </c>
      <c r="E201" s="37" t="n">
        <v>0</v>
      </c>
      <c r="F201" s="37" t="n">
        <v>15</v>
      </c>
      <c r="G201" s="37" t="s">
        <v>192</v>
      </c>
      <c r="H201" s="38" t="n">
        <v>198.736138617685</v>
      </c>
      <c r="I201" s="38" t="n">
        <v>199.038105746293</v>
      </c>
      <c r="J201" s="38" t="n">
        <v>210.878502437523</v>
      </c>
      <c r="K201" s="38" t="n">
        <v>234.042783457039</v>
      </c>
      <c r="L201" s="38" t="n">
        <v>153.369008089907</v>
      </c>
      <c r="M201" s="38" t="n">
        <v>95.9156188584945</v>
      </c>
      <c r="N201" s="38" t="n">
        <v>113.943219484179</v>
      </c>
      <c r="O201" s="38" t="n">
        <v>70.1613819704515</v>
      </c>
      <c r="P201" s="37" t="n">
        <v>0</v>
      </c>
      <c r="Q201" s="38" t="n">
        <v>0</v>
      </c>
      <c r="R201" s="38" t="n">
        <v>72</v>
      </c>
      <c r="S201" s="37" t="n">
        <v>0</v>
      </c>
    </row>
    <row r="202" customFormat="false" ht="15" hidden="false" customHeight="false" outlineLevel="0" collapsed="false">
      <c r="A202" s="37" t="n">
        <v>0</v>
      </c>
      <c r="B202" s="37" t="n">
        <v>0</v>
      </c>
      <c r="C202" s="37" t="n">
        <v>5</v>
      </c>
      <c r="D202" s="37" t="n">
        <v>10</v>
      </c>
      <c r="E202" s="37" t="n">
        <v>0</v>
      </c>
      <c r="F202" s="37" t="n">
        <v>15</v>
      </c>
      <c r="G202" s="37" t="s">
        <v>195</v>
      </c>
      <c r="H202" s="38" t="n">
        <v>198.736138617685</v>
      </c>
      <c r="I202" s="38" t="n">
        <v>199.205511180857</v>
      </c>
      <c r="J202" s="38" t="n">
        <v>211.378126846622</v>
      </c>
      <c r="K202" s="38" t="n">
        <v>235.461333946109</v>
      </c>
      <c r="L202" s="38" t="n">
        <v>162.211333946109</v>
      </c>
      <c r="M202" s="38" t="n">
        <v>102.123443516857</v>
      </c>
      <c r="N202" s="38" t="n">
        <v>124.898811531236</v>
      </c>
      <c r="O202" s="38" t="n">
        <v>74.38040763171</v>
      </c>
      <c r="P202" s="37" t="n">
        <v>0</v>
      </c>
      <c r="Q202" s="38" t="n">
        <v>0</v>
      </c>
      <c r="R202" s="38" t="n">
        <v>67.5728310741841</v>
      </c>
      <c r="S202" s="37" t="n">
        <v>1</v>
      </c>
    </row>
    <row r="203" customFormat="false" ht="15" hidden="false" customHeight="false" outlineLevel="0" collapsed="false">
      <c r="A203" s="37" t="n">
        <v>0</v>
      </c>
      <c r="B203" s="37" t="n">
        <v>0</v>
      </c>
      <c r="C203" s="37" t="n">
        <v>5</v>
      </c>
      <c r="D203" s="37" t="n">
        <v>10</v>
      </c>
      <c r="E203" s="37" t="n">
        <v>0</v>
      </c>
      <c r="F203" s="37" t="n">
        <v>15</v>
      </c>
      <c r="G203" s="37" t="s">
        <v>197</v>
      </c>
      <c r="H203" s="38" t="n">
        <v>198.736138617685</v>
      </c>
      <c r="I203" s="38" t="n">
        <v>199.037253785809</v>
      </c>
      <c r="J203" s="38" t="n">
        <v>210.074294178524</v>
      </c>
      <c r="K203" s="38" t="n">
        <v>233.012801182862</v>
      </c>
      <c r="L203" s="38" t="n">
        <v>150.889541894649</v>
      </c>
      <c r="M203" s="38" t="n">
        <v>98.3644101658949</v>
      </c>
      <c r="N203" s="38" t="n">
        <v>110.326965054191</v>
      </c>
      <c r="O203" s="38" t="n">
        <v>70.7443866621097</v>
      </c>
      <c r="P203" s="37" t="n">
        <v>0</v>
      </c>
      <c r="Q203" s="38" t="n">
        <v>0</v>
      </c>
      <c r="R203" s="38" t="n">
        <v>72</v>
      </c>
      <c r="S203" s="37" t="n">
        <v>0</v>
      </c>
    </row>
    <row r="204" customFormat="false" ht="15" hidden="false" customHeight="false" outlineLevel="0" collapsed="false">
      <c r="A204" s="37" t="n">
        <v>0</v>
      </c>
      <c r="B204" s="37" t="n">
        <v>0</v>
      </c>
      <c r="C204" s="37" t="n">
        <v>5</v>
      </c>
      <c r="D204" s="37" t="n">
        <v>10</v>
      </c>
      <c r="E204" s="37" t="n">
        <v>0</v>
      </c>
      <c r="F204" s="37" t="n">
        <v>15</v>
      </c>
      <c r="G204" s="37" t="s">
        <v>196</v>
      </c>
      <c r="H204" s="38" t="n">
        <v>198.736138617685</v>
      </c>
      <c r="I204" s="38" t="n">
        <v>199.037657702957</v>
      </c>
      <c r="J204" s="38" t="n">
        <v>203.237095991487</v>
      </c>
      <c r="K204" s="38" t="n">
        <v>235.329118881766</v>
      </c>
      <c r="L204" s="38" t="n">
        <v>161.77356332621</v>
      </c>
      <c r="M204" s="38" t="n">
        <v>99.947892442507</v>
      </c>
      <c r="N204" s="38" t="n">
        <v>116.55216263751</v>
      </c>
      <c r="O204" s="38" t="n">
        <v>68.9682403091378</v>
      </c>
      <c r="P204" s="37" t="n">
        <v>0</v>
      </c>
      <c r="Q204" s="38" t="n">
        <v>0</v>
      </c>
      <c r="R204" s="38" t="n">
        <v>70.7373333333333</v>
      </c>
      <c r="S204" s="37" t="n">
        <v>0</v>
      </c>
    </row>
    <row r="205" customFormat="false" ht="15" hidden="false" customHeight="false" outlineLevel="0" collapsed="false">
      <c r="A205" s="37" t="n">
        <v>0</v>
      </c>
      <c r="B205" s="37" t="n">
        <v>0</v>
      </c>
      <c r="C205" s="37" t="n">
        <v>5</v>
      </c>
      <c r="D205" s="37" t="n">
        <v>10</v>
      </c>
      <c r="E205" s="37" t="n">
        <v>5</v>
      </c>
      <c r="F205" s="37" t="n">
        <v>10</v>
      </c>
      <c r="G205" s="37" t="s">
        <v>188</v>
      </c>
      <c r="H205" s="38" t="n">
        <v>198.766713218552</v>
      </c>
      <c r="I205" s="38" t="n">
        <v>199.342618779297</v>
      </c>
      <c r="J205" s="38" t="n">
        <v>211.740211846127</v>
      </c>
      <c r="K205" s="38" t="n">
        <v>236.345895190033</v>
      </c>
      <c r="L205" s="38" t="n">
        <v>113.874400490665</v>
      </c>
      <c r="M205" s="38" t="n">
        <v>100.353167096328</v>
      </c>
      <c r="N205" s="38" t="n">
        <v>121.883458954298</v>
      </c>
      <c r="O205" s="38" t="n">
        <v>71.8667439462016</v>
      </c>
      <c r="P205" s="37" t="n">
        <v>0</v>
      </c>
      <c r="Q205" s="38" t="n">
        <v>0</v>
      </c>
      <c r="R205" s="38" t="n">
        <v>72</v>
      </c>
      <c r="S205" s="37" t="n">
        <v>0</v>
      </c>
    </row>
    <row r="206" customFormat="false" ht="15" hidden="false" customHeight="false" outlineLevel="0" collapsed="false">
      <c r="A206" s="37" t="n">
        <v>0</v>
      </c>
      <c r="B206" s="37" t="n">
        <v>0</v>
      </c>
      <c r="C206" s="37" t="n">
        <v>5</v>
      </c>
      <c r="D206" s="37" t="n">
        <v>10</v>
      </c>
      <c r="E206" s="37" t="n">
        <v>5</v>
      </c>
      <c r="F206" s="37" t="n">
        <v>10</v>
      </c>
      <c r="G206" s="37" t="s">
        <v>192</v>
      </c>
      <c r="H206" s="38" t="n">
        <v>198.766713218552</v>
      </c>
      <c r="I206" s="38" t="n">
        <v>199.340720859217</v>
      </c>
      <c r="J206" s="38" t="n">
        <v>214.19720216191</v>
      </c>
      <c r="K206" s="38" t="n">
        <v>239.501288706631</v>
      </c>
      <c r="L206" s="38" t="n">
        <v>118.807461873628</v>
      </c>
      <c r="M206" s="38" t="n">
        <v>97.3416101157161</v>
      </c>
      <c r="N206" s="38" t="n">
        <v>121.534281603704</v>
      </c>
      <c r="O206" s="38" t="n">
        <v>71.8967448658677</v>
      </c>
      <c r="P206" s="37" t="n">
        <v>0</v>
      </c>
      <c r="Q206" s="38" t="n">
        <v>0</v>
      </c>
      <c r="R206" s="38" t="n">
        <v>72</v>
      </c>
      <c r="S206" s="37" t="n">
        <v>0</v>
      </c>
    </row>
    <row r="207" customFormat="false" ht="15" hidden="false" customHeight="false" outlineLevel="0" collapsed="false">
      <c r="A207" s="37" t="n">
        <v>0</v>
      </c>
      <c r="B207" s="37" t="n">
        <v>0</v>
      </c>
      <c r="C207" s="37" t="n">
        <v>5</v>
      </c>
      <c r="D207" s="37" t="n">
        <v>10</v>
      </c>
      <c r="E207" s="37" t="n">
        <v>5</v>
      </c>
      <c r="F207" s="37" t="n">
        <v>10</v>
      </c>
      <c r="G207" s="37" t="s">
        <v>195</v>
      </c>
      <c r="H207" s="38" t="n">
        <v>198.766713218552</v>
      </c>
      <c r="I207" s="38" t="n">
        <v>199.528032416454</v>
      </c>
      <c r="J207" s="38" t="n">
        <v>215.05972867619</v>
      </c>
      <c r="K207" s="38" t="n">
        <v>241.545474611657</v>
      </c>
      <c r="L207" s="38" t="n">
        <v>128.295474611657</v>
      </c>
      <c r="M207" s="38" t="n">
        <v>103.580041873037</v>
      </c>
      <c r="N207" s="38" t="n">
        <v>133.070507782846</v>
      </c>
      <c r="O207" s="38" t="n">
        <v>76.7817585170053</v>
      </c>
      <c r="P207" s="37" t="n">
        <v>0</v>
      </c>
      <c r="Q207" s="38" t="n">
        <v>0</v>
      </c>
      <c r="R207" s="38" t="n">
        <v>67.5624003768344</v>
      </c>
      <c r="S207" s="37" t="n">
        <v>1</v>
      </c>
    </row>
    <row r="208" customFormat="false" ht="15" hidden="false" customHeight="false" outlineLevel="0" collapsed="false">
      <c r="A208" s="37" t="n">
        <v>0</v>
      </c>
      <c r="B208" s="37" t="n">
        <v>0</v>
      </c>
      <c r="C208" s="37" t="n">
        <v>5</v>
      </c>
      <c r="D208" s="37" t="n">
        <v>10</v>
      </c>
      <c r="E208" s="37" t="n">
        <v>5</v>
      </c>
      <c r="F208" s="37" t="n">
        <v>10</v>
      </c>
      <c r="G208" s="37" t="s">
        <v>197</v>
      </c>
      <c r="H208" s="38" t="n">
        <v>198.766713218552</v>
      </c>
      <c r="I208" s="38" t="n">
        <v>199.352132813515</v>
      </c>
      <c r="J208" s="38" t="n">
        <v>214.118336841239</v>
      </c>
      <c r="K208" s="38" t="n">
        <v>239.565272533325</v>
      </c>
      <c r="L208" s="38" t="n">
        <v>118.012953597941</v>
      </c>
      <c r="M208" s="38" t="n">
        <v>103.198141808372</v>
      </c>
      <c r="N208" s="38" t="n">
        <v>127.819864301749</v>
      </c>
      <c r="O208" s="38" t="n">
        <v>76.6968491280952</v>
      </c>
      <c r="P208" s="37" t="n">
        <v>0</v>
      </c>
      <c r="Q208" s="38" t="n">
        <v>0</v>
      </c>
      <c r="R208" s="38" t="n">
        <v>72</v>
      </c>
      <c r="S208" s="37" t="n">
        <v>0</v>
      </c>
    </row>
    <row r="209" customFormat="false" ht="15" hidden="false" customHeight="false" outlineLevel="0" collapsed="false">
      <c r="A209" s="37" t="n">
        <v>0</v>
      </c>
      <c r="B209" s="37" t="n">
        <v>0</v>
      </c>
      <c r="C209" s="37" t="n">
        <v>5</v>
      </c>
      <c r="D209" s="37" t="n">
        <v>10</v>
      </c>
      <c r="E209" s="37" t="n">
        <v>5</v>
      </c>
      <c r="F209" s="37" t="n">
        <v>10</v>
      </c>
      <c r="G209" s="37" t="s">
        <v>196</v>
      </c>
      <c r="H209" s="38" t="n">
        <v>198.766713218552</v>
      </c>
      <c r="I209" s="38" t="n">
        <v>199.34203026885</v>
      </c>
      <c r="J209" s="38" t="n">
        <v>206.045574887013</v>
      </c>
      <c r="K209" s="38" t="n">
        <v>240.290772390516</v>
      </c>
      <c r="L209" s="38" t="n">
        <v>126.735216834961</v>
      </c>
      <c r="M209" s="38" t="n">
        <v>102.047724682599</v>
      </c>
      <c r="N209" s="38" t="n">
        <v>125.21930856239</v>
      </c>
      <c r="O209" s="38" t="n">
        <v>70.8110483019234</v>
      </c>
      <c r="P209" s="37" t="n">
        <v>0</v>
      </c>
      <c r="Q209" s="38" t="n">
        <v>0</v>
      </c>
      <c r="R209" s="38" t="n">
        <v>70.604</v>
      </c>
      <c r="S209" s="37" t="n">
        <v>0</v>
      </c>
    </row>
    <row r="210" customFormat="false" ht="15" hidden="false" customHeight="false" outlineLevel="0" collapsed="false">
      <c r="A210" s="37" t="n">
        <v>0</v>
      </c>
      <c r="B210" s="37" t="n">
        <v>0</v>
      </c>
      <c r="C210" s="37" t="n">
        <v>5</v>
      </c>
      <c r="D210" s="37" t="n">
        <v>10</v>
      </c>
      <c r="E210" s="37" t="n">
        <v>10</v>
      </c>
      <c r="F210" s="37" t="n">
        <v>5</v>
      </c>
      <c r="G210" s="37" t="s">
        <v>188</v>
      </c>
      <c r="H210" s="38" t="n">
        <v>198.786663058473</v>
      </c>
      <c r="I210" s="38" t="n">
        <v>199.579793065007</v>
      </c>
      <c r="J210" s="38" t="n">
        <v>214.136322871322</v>
      </c>
      <c r="K210" s="38" t="n">
        <v>240.287867081118</v>
      </c>
      <c r="L210" s="38" t="n">
        <v>78.0098857587023</v>
      </c>
      <c r="M210" s="38" t="n">
        <v>101.518204047003</v>
      </c>
      <c r="N210" s="38" t="n">
        <v>127.661076900131</v>
      </c>
      <c r="O210" s="38" t="n">
        <v>71.637697984409</v>
      </c>
      <c r="P210" s="37" t="n">
        <v>0</v>
      </c>
      <c r="Q210" s="38" t="n">
        <v>0</v>
      </c>
      <c r="R210" s="38" t="n">
        <v>72</v>
      </c>
      <c r="S210" s="37" t="n">
        <v>0</v>
      </c>
    </row>
    <row r="211" customFormat="false" ht="15" hidden="false" customHeight="false" outlineLevel="0" collapsed="false">
      <c r="A211" s="37" t="n">
        <v>0</v>
      </c>
      <c r="B211" s="37" t="n">
        <v>0</v>
      </c>
      <c r="C211" s="37" t="n">
        <v>5</v>
      </c>
      <c r="D211" s="37" t="n">
        <v>10</v>
      </c>
      <c r="E211" s="37" t="n">
        <v>10</v>
      </c>
      <c r="F211" s="37" t="n">
        <v>5</v>
      </c>
      <c r="G211" s="37" t="s">
        <v>192</v>
      </c>
      <c r="H211" s="38" t="n">
        <v>198.786663058473</v>
      </c>
      <c r="I211" s="38" t="n">
        <v>199.578011284635</v>
      </c>
      <c r="J211" s="38" t="n">
        <v>216.532429555003</v>
      </c>
      <c r="K211" s="38" t="n">
        <v>243.364629276297</v>
      </c>
      <c r="L211" s="38" t="n">
        <v>82.6434609360499</v>
      </c>
      <c r="M211" s="38" t="n">
        <v>98.5069769694451</v>
      </c>
      <c r="N211" s="38" t="n">
        <v>127.165459451568</v>
      </c>
      <c r="O211" s="38" t="n">
        <v>71.788406508379</v>
      </c>
      <c r="P211" s="37" t="n">
        <v>0</v>
      </c>
      <c r="Q211" s="38" t="n">
        <v>0</v>
      </c>
      <c r="R211" s="38" t="n">
        <v>72</v>
      </c>
      <c r="S211" s="37" t="n">
        <v>0</v>
      </c>
    </row>
    <row r="212" customFormat="false" ht="15" hidden="false" customHeight="false" outlineLevel="0" collapsed="false">
      <c r="A212" s="37" t="n">
        <v>0</v>
      </c>
      <c r="B212" s="37" t="n">
        <v>0</v>
      </c>
      <c r="C212" s="37" t="n">
        <v>5</v>
      </c>
      <c r="D212" s="37" t="n">
        <v>10</v>
      </c>
      <c r="E212" s="37" t="n">
        <v>10</v>
      </c>
      <c r="F212" s="37" t="n">
        <v>5</v>
      </c>
      <c r="G212" s="37" t="s">
        <v>195</v>
      </c>
      <c r="H212" s="38" t="n">
        <v>198.786663058473</v>
      </c>
      <c r="I212" s="38" t="n">
        <v>199.779630541533</v>
      </c>
      <c r="J212" s="38" t="n">
        <v>217.694233642908</v>
      </c>
      <c r="K212" s="38" t="n">
        <v>245.895185942643</v>
      </c>
      <c r="L212" s="38" t="n">
        <v>92.6451859426425</v>
      </c>
      <c r="M212" s="38" t="n">
        <v>104.738729922333</v>
      </c>
      <c r="N212" s="38" t="n">
        <v>139.110836161467</v>
      </c>
      <c r="O212" s="38" t="n">
        <v>76.9569071033273</v>
      </c>
      <c r="P212" s="37" t="n">
        <v>0</v>
      </c>
      <c r="Q212" s="38" t="n">
        <v>0</v>
      </c>
      <c r="R212" s="38" t="n">
        <v>67.5423188849381</v>
      </c>
      <c r="S212" s="37" t="n">
        <v>0</v>
      </c>
    </row>
    <row r="213" customFormat="false" ht="15" hidden="false" customHeight="false" outlineLevel="0" collapsed="false">
      <c r="A213" s="37" t="n">
        <v>0</v>
      </c>
      <c r="B213" s="37" t="n">
        <v>0</v>
      </c>
      <c r="C213" s="37" t="n">
        <v>5</v>
      </c>
      <c r="D213" s="37" t="n">
        <v>10</v>
      </c>
      <c r="E213" s="37" t="n">
        <v>10</v>
      </c>
      <c r="F213" s="37" t="n">
        <v>5</v>
      </c>
      <c r="G213" s="37" t="s">
        <v>197</v>
      </c>
      <c r="H213" s="38" t="n">
        <v>198.786663058473</v>
      </c>
      <c r="I213" s="38" t="n">
        <v>199.610971498154</v>
      </c>
      <c r="J213" s="38" t="n">
        <v>217.491116625934</v>
      </c>
      <c r="K213" s="38" t="n">
        <v>244.893556174234</v>
      </c>
      <c r="L213" s="38" t="n">
        <v>84.0580051404002</v>
      </c>
      <c r="M213" s="38" t="n">
        <v>107.081321491952</v>
      </c>
      <c r="N213" s="38" t="n">
        <v>141.869371489193</v>
      </c>
      <c r="O213" s="38" t="n">
        <v>78.2149216251426</v>
      </c>
      <c r="P213" s="37" t="n">
        <v>0</v>
      </c>
      <c r="Q213" s="38" t="n">
        <v>0</v>
      </c>
      <c r="R213" s="38" t="n">
        <v>72</v>
      </c>
      <c r="S213" s="37" t="n">
        <v>1</v>
      </c>
    </row>
    <row r="214" customFormat="false" ht="15" hidden="false" customHeight="false" outlineLevel="0" collapsed="false">
      <c r="A214" s="37" t="n">
        <v>0</v>
      </c>
      <c r="B214" s="37" t="n">
        <v>0</v>
      </c>
      <c r="C214" s="37" t="n">
        <v>5</v>
      </c>
      <c r="D214" s="37" t="n">
        <v>10</v>
      </c>
      <c r="E214" s="37" t="n">
        <v>10</v>
      </c>
      <c r="F214" s="37" t="n">
        <v>5</v>
      </c>
      <c r="G214" s="37" t="s">
        <v>196</v>
      </c>
      <c r="H214" s="38" t="n">
        <v>198.786663058473</v>
      </c>
      <c r="I214" s="38" t="n">
        <v>199.580757182952</v>
      </c>
      <c r="J214" s="38" t="n">
        <v>208.264809794061</v>
      </c>
      <c r="K214" s="38" t="n">
        <v>244.109792225441</v>
      </c>
      <c r="L214" s="38" t="n">
        <v>90.5542366698849</v>
      </c>
      <c r="M214" s="38" t="n">
        <v>103.738312824429</v>
      </c>
      <c r="N214" s="38" t="n">
        <v>132.146872809909</v>
      </c>
      <c r="O214" s="38" t="n">
        <v>71.1813990571585</v>
      </c>
      <c r="P214" s="37" t="n">
        <v>0</v>
      </c>
      <c r="Q214" s="38" t="n">
        <v>0</v>
      </c>
      <c r="R214" s="38" t="n">
        <v>70.604</v>
      </c>
      <c r="S214" s="37" t="n">
        <v>0</v>
      </c>
    </row>
    <row r="215" customFormat="false" ht="15" hidden="false" customHeight="false" outlineLevel="0" collapsed="false">
      <c r="A215" s="37" t="n">
        <v>0</v>
      </c>
      <c r="B215" s="37" t="n">
        <v>0</v>
      </c>
      <c r="C215" s="37" t="n">
        <v>5</v>
      </c>
      <c r="D215" s="37" t="n">
        <v>10</v>
      </c>
      <c r="E215" s="37" t="n">
        <v>15</v>
      </c>
      <c r="F215" s="37" t="n">
        <v>0</v>
      </c>
      <c r="G215" s="37" t="s">
        <v>188</v>
      </c>
      <c r="H215" s="38" t="n">
        <v>198.80623410801</v>
      </c>
      <c r="I215" s="38" t="n">
        <v>199.751942934315</v>
      </c>
      <c r="J215" s="38" t="n">
        <v>215.778385148454</v>
      </c>
      <c r="K215" s="38" t="n">
        <v>243.005275944982</v>
      </c>
      <c r="L215" s="38" t="n">
        <v>40.8961862291428</v>
      </c>
      <c r="M215" s="38" t="n">
        <v>102.411756477169</v>
      </c>
      <c r="N215" s="38" t="n">
        <v>131.651362557529</v>
      </c>
      <c r="O215" s="38" t="n">
        <v>72.4432635649853</v>
      </c>
      <c r="P215" s="37" t="n">
        <v>0</v>
      </c>
      <c r="Q215" s="38" t="n">
        <v>0</v>
      </c>
      <c r="R215" s="38" t="n">
        <v>72</v>
      </c>
      <c r="S215" s="37" t="n">
        <v>0</v>
      </c>
    </row>
    <row r="216" customFormat="false" ht="15" hidden="false" customHeight="false" outlineLevel="0" collapsed="false">
      <c r="A216" s="37" t="n">
        <v>0</v>
      </c>
      <c r="B216" s="37" t="n">
        <v>0</v>
      </c>
      <c r="C216" s="37" t="n">
        <v>5</v>
      </c>
      <c r="D216" s="37" t="n">
        <v>10</v>
      </c>
      <c r="E216" s="37" t="n">
        <v>15</v>
      </c>
      <c r="F216" s="37" t="n">
        <v>0</v>
      </c>
      <c r="G216" s="37" t="s">
        <v>192</v>
      </c>
      <c r="H216" s="38" t="n">
        <v>198.80623410801</v>
      </c>
      <c r="I216" s="38" t="n">
        <v>199.748271817433</v>
      </c>
      <c r="J216" s="38" t="n">
        <v>218.071949043995</v>
      </c>
      <c r="K216" s="38" t="n">
        <v>245.93244612108</v>
      </c>
      <c r="L216" s="38" t="n">
        <v>45.1826588176306</v>
      </c>
      <c r="M216" s="38" t="n">
        <v>99.3945166640524</v>
      </c>
      <c r="N216" s="38" t="n">
        <v>130.967204071442</v>
      </c>
      <c r="O216" s="38" t="n">
        <v>71.3662227642133</v>
      </c>
      <c r="P216" s="37" t="n">
        <v>0</v>
      </c>
      <c r="Q216" s="38" t="n">
        <v>0</v>
      </c>
      <c r="R216" s="38" t="n">
        <v>72</v>
      </c>
      <c r="S216" s="37" t="n">
        <v>0</v>
      </c>
    </row>
    <row r="217" customFormat="false" ht="15" hidden="false" customHeight="false" outlineLevel="0" collapsed="false">
      <c r="A217" s="37" t="n">
        <v>0</v>
      </c>
      <c r="B217" s="37" t="n">
        <v>0</v>
      </c>
      <c r="C217" s="37" t="n">
        <v>5</v>
      </c>
      <c r="D217" s="37" t="n">
        <v>10</v>
      </c>
      <c r="E217" s="37" t="n">
        <v>15</v>
      </c>
      <c r="F217" s="37" t="n">
        <v>0</v>
      </c>
      <c r="G217" s="37" t="s">
        <v>195</v>
      </c>
      <c r="H217" s="38" t="n">
        <v>198.80623410801</v>
      </c>
      <c r="I217" s="38" t="n">
        <v>199.967684147681</v>
      </c>
      <c r="J217" s="38" t="n">
        <v>219.550745486111</v>
      </c>
      <c r="K217" s="38" t="n">
        <v>249.008893347847</v>
      </c>
      <c r="L217" s="38" t="n">
        <v>55.7588933478474</v>
      </c>
      <c r="M217" s="38" t="n">
        <v>105.635436001533</v>
      </c>
      <c r="N217" s="38" t="n">
        <v>143.287586387411</v>
      </c>
      <c r="O217" s="38" t="n">
        <v>76.7886242524144</v>
      </c>
      <c r="P217" s="37" t="n">
        <v>0</v>
      </c>
      <c r="Q217" s="38" t="n">
        <v>0</v>
      </c>
      <c r="R217" s="38" t="n">
        <v>67.5243481260703</v>
      </c>
      <c r="S217" s="37" t="n">
        <v>1</v>
      </c>
    </row>
    <row r="218" customFormat="false" ht="15" hidden="false" customHeight="false" outlineLevel="0" collapsed="false">
      <c r="A218" s="37" t="n">
        <v>0</v>
      </c>
      <c r="B218" s="37" t="n">
        <v>0</v>
      </c>
      <c r="C218" s="37" t="n">
        <v>5</v>
      </c>
      <c r="D218" s="37" t="n">
        <v>10</v>
      </c>
      <c r="E218" s="37" t="n">
        <v>15</v>
      </c>
      <c r="F218" s="37" t="n">
        <v>0</v>
      </c>
      <c r="G218" s="37" t="s">
        <v>197</v>
      </c>
      <c r="H218" s="38" t="n">
        <v>198.80623410801</v>
      </c>
      <c r="I218" s="38" t="n">
        <v>199.802772155534</v>
      </c>
      <c r="J218" s="38" t="n">
        <v>218.241094041146</v>
      </c>
      <c r="K218" s="38" t="n">
        <v>246.596655534878</v>
      </c>
      <c r="L218" s="38" t="n">
        <v>50.0966555348775</v>
      </c>
      <c r="M218" s="38" t="n">
        <v>109.640347679843</v>
      </c>
      <c r="N218" s="38" t="n">
        <v>143.190946679611</v>
      </c>
      <c r="O218" s="38" t="n">
        <v>77.2834999588748</v>
      </c>
      <c r="P218" s="37" t="n">
        <v>0</v>
      </c>
      <c r="Q218" s="38" t="n">
        <v>0</v>
      </c>
      <c r="R218" s="38" t="n">
        <v>72</v>
      </c>
      <c r="S218" s="37" t="n">
        <v>0</v>
      </c>
    </row>
    <row r="219" customFormat="false" ht="15" hidden="false" customHeight="false" outlineLevel="0" collapsed="false">
      <c r="A219" s="37" t="n">
        <v>0</v>
      </c>
      <c r="B219" s="37" t="n">
        <v>0</v>
      </c>
      <c r="C219" s="37" t="n">
        <v>5</v>
      </c>
      <c r="D219" s="37" t="n">
        <v>10</v>
      </c>
      <c r="E219" s="37" t="n">
        <v>15</v>
      </c>
      <c r="F219" s="37" t="n">
        <v>0</v>
      </c>
      <c r="G219" s="37" t="s">
        <v>196</v>
      </c>
      <c r="H219" s="38" t="n">
        <v>198.80623410801</v>
      </c>
      <c r="I219" s="38" t="n">
        <v>199.75577099423</v>
      </c>
      <c r="J219" s="38" t="n">
        <v>209.795258747589</v>
      </c>
      <c r="K219" s="38" t="n">
        <v>246.75565990596</v>
      </c>
      <c r="L219" s="38" t="n">
        <v>53.2001043504043</v>
      </c>
      <c r="M219" s="38" t="n">
        <v>104.952905212019</v>
      </c>
      <c r="N219" s="38" t="n">
        <v>136.03844690415</v>
      </c>
      <c r="O219" s="38" t="n">
        <v>70.6383945756423</v>
      </c>
      <c r="P219" s="37" t="n">
        <v>0</v>
      </c>
      <c r="Q219" s="38" t="n">
        <v>0</v>
      </c>
      <c r="R219" s="38" t="n">
        <v>70.604</v>
      </c>
      <c r="S219" s="37" t="n">
        <v>0</v>
      </c>
    </row>
    <row r="220" customFormat="false" ht="15" hidden="false" customHeight="false" outlineLevel="0" collapsed="false">
      <c r="A220" s="37" t="n">
        <v>0</v>
      </c>
      <c r="B220" s="37" t="n">
        <v>0</v>
      </c>
      <c r="C220" s="37" t="n">
        <v>5</v>
      </c>
      <c r="D220" s="37" t="n">
        <v>15</v>
      </c>
      <c r="E220" s="37" t="n">
        <v>0</v>
      </c>
      <c r="F220" s="37" t="n">
        <v>10</v>
      </c>
      <c r="G220" s="37" t="s">
        <v>188</v>
      </c>
      <c r="H220" s="38" t="n">
        <v>198.921837891539</v>
      </c>
      <c r="I220" s="38" t="n">
        <v>199.910895052723</v>
      </c>
      <c r="J220" s="38" t="n">
        <v>212.01143369115</v>
      </c>
      <c r="K220" s="38" t="n">
        <v>230.792874900756</v>
      </c>
      <c r="L220" s="38" t="n">
        <v>108.577475226671</v>
      </c>
      <c r="M220" s="38" t="n">
        <v>99.653270569764</v>
      </c>
      <c r="N220" s="38" t="n">
        <v>116.857491107001</v>
      </c>
      <c r="O220" s="38" t="n">
        <v>71.0985479453758</v>
      </c>
      <c r="P220" s="37" t="n">
        <v>0</v>
      </c>
      <c r="Q220" s="38" t="n">
        <v>0</v>
      </c>
      <c r="R220" s="38" t="n">
        <v>72</v>
      </c>
      <c r="S220" s="37" t="n">
        <v>0</v>
      </c>
    </row>
    <row r="221" customFormat="false" ht="15" hidden="false" customHeight="false" outlineLevel="0" collapsed="false">
      <c r="A221" s="37" t="n">
        <v>0</v>
      </c>
      <c r="B221" s="37" t="n">
        <v>0</v>
      </c>
      <c r="C221" s="37" t="n">
        <v>5</v>
      </c>
      <c r="D221" s="37" t="n">
        <v>15</v>
      </c>
      <c r="E221" s="37" t="n">
        <v>0</v>
      </c>
      <c r="F221" s="37" t="n">
        <v>10</v>
      </c>
      <c r="G221" s="37" t="s">
        <v>192</v>
      </c>
      <c r="H221" s="38" t="n">
        <v>198.921837891539</v>
      </c>
      <c r="I221" s="38" t="n">
        <v>199.907885793164</v>
      </c>
      <c r="J221" s="38" t="n">
        <v>214.403874383727</v>
      </c>
      <c r="K221" s="38" t="n">
        <v>233.85127325782</v>
      </c>
      <c r="L221" s="38" t="n">
        <v>113.365069242712</v>
      </c>
      <c r="M221" s="38" t="n">
        <v>96.6390511290285</v>
      </c>
      <c r="N221" s="38" t="n">
        <v>116.469312545287</v>
      </c>
      <c r="O221" s="38" t="n">
        <v>70.840431498194</v>
      </c>
      <c r="P221" s="37" t="n">
        <v>0</v>
      </c>
      <c r="Q221" s="38" t="n">
        <v>0</v>
      </c>
      <c r="R221" s="38" t="n">
        <v>72</v>
      </c>
      <c r="S221" s="37" t="n">
        <v>0</v>
      </c>
    </row>
    <row r="222" customFormat="false" ht="15" hidden="false" customHeight="false" outlineLevel="0" collapsed="false">
      <c r="A222" s="37" t="n">
        <v>0</v>
      </c>
      <c r="B222" s="37" t="n">
        <v>0</v>
      </c>
      <c r="C222" s="37" t="n">
        <v>5</v>
      </c>
      <c r="D222" s="37" t="n">
        <v>15</v>
      </c>
      <c r="E222" s="37" t="n">
        <v>0</v>
      </c>
      <c r="F222" s="37" t="n">
        <v>10</v>
      </c>
      <c r="G222" s="37" t="s">
        <v>195</v>
      </c>
      <c r="H222" s="38" t="n">
        <v>198.921837891539</v>
      </c>
      <c r="I222" s="38" t="n">
        <v>200.160363930617</v>
      </c>
      <c r="J222" s="38" t="n">
        <v>216.213241769529</v>
      </c>
      <c r="K222" s="38" t="n">
        <v>237.477194537156</v>
      </c>
      <c r="L222" s="38" t="n">
        <v>124.227194537156</v>
      </c>
      <c r="M222" s="38" t="n">
        <v>103.85251932849</v>
      </c>
      <c r="N222" s="38" t="n">
        <v>129.106825036251</v>
      </c>
      <c r="O222" s="38" t="n">
        <v>76.2253611539633</v>
      </c>
      <c r="P222" s="37" t="n">
        <v>0</v>
      </c>
      <c r="Q222" s="38" t="n">
        <v>0</v>
      </c>
      <c r="R222" s="38" t="n">
        <v>67.638352</v>
      </c>
      <c r="S222" s="37" t="n">
        <v>1</v>
      </c>
    </row>
    <row r="223" customFormat="false" ht="15" hidden="false" customHeight="false" outlineLevel="0" collapsed="false">
      <c r="A223" s="37" t="n">
        <v>0</v>
      </c>
      <c r="B223" s="37" t="n">
        <v>0</v>
      </c>
      <c r="C223" s="37" t="n">
        <v>5</v>
      </c>
      <c r="D223" s="37" t="n">
        <v>15</v>
      </c>
      <c r="E223" s="37" t="n">
        <v>0</v>
      </c>
      <c r="F223" s="37" t="n">
        <v>10</v>
      </c>
      <c r="G223" s="37" t="s">
        <v>197</v>
      </c>
      <c r="H223" s="38" t="n">
        <v>198.921837891539</v>
      </c>
      <c r="I223" s="38" t="n">
        <v>199.907285394673</v>
      </c>
      <c r="J223" s="38" t="n">
        <v>213.61815595078</v>
      </c>
      <c r="K223" s="38" t="n">
        <v>232.849787022536</v>
      </c>
      <c r="L223" s="38" t="n">
        <v>110.877339466082</v>
      </c>
      <c r="M223" s="38" t="n">
        <v>99.0888879067181</v>
      </c>
      <c r="N223" s="38" t="n">
        <v>112.959778481471</v>
      </c>
      <c r="O223" s="38" t="n">
        <v>71.4820169467831</v>
      </c>
      <c r="P223" s="37" t="n">
        <v>0</v>
      </c>
      <c r="Q223" s="38" t="n">
        <v>0</v>
      </c>
      <c r="R223" s="38" t="n">
        <v>72</v>
      </c>
      <c r="S223" s="37" t="n">
        <v>0</v>
      </c>
    </row>
    <row r="224" customFormat="false" ht="15" hidden="false" customHeight="false" outlineLevel="0" collapsed="false">
      <c r="A224" s="37" t="n">
        <v>0</v>
      </c>
      <c r="B224" s="37" t="n">
        <v>0</v>
      </c>
      <c r="C224" s="37" t="n">
        <v>5</v>
      </c>
      <c r="D224" s="37" t="n">
        <v>15</v>
      </c>
      <c r="E224" s="37" t="n">
        <v>0</v>
      </c>
      <c r="F224" s="37" t="n">
        <v>10</v>
      </c>
      <c r="G224" s="37" t="s">
        <v>196</v>
      </c>
      <c r="H224" s="38" t="n">
        <v>198.921837891539</v>
      </c>
      <c r="I224" s="38" t="n">
        <v>199.907416096015</v>
      </c>
      <c r="J224" s="38" t="n">
        <v>206.662281252255</v>
      </c>
      <c r="K224" s="38" t="n">
        <v>235.110640718615</v>
      </c>
      <c r="L224" s="38" t="n">
        <v>121.55508516306</v>
      </c>
      <c r="M224" s="38" t="n">
        <v>100.991829704006</v>
      </c>
      <c r="N224" s="38" t="n">
        <v>119.04078044312</v>
      </c>
      <c r="O224" s="38" t="n">
        <v>68.5309800747881</v>
      </c>
      <c r="P224" s="37" t="n">
        <v>0</v>
      </c>
      <c r="Q224" s="38" t="n">
        <v>0</v>
      </c>
      <c r="R224" s="38" t="n">
        <v>70.7373333333333</v>
      </c>
      <c r="S224" s="37" t="n">
        <v>0</v>
      </c>
    </row>
    <row r="225" customFormat="false" ht="15" hidden="false" customHeight="false" outlineLevel="0" collapsed="false">
      <c r="A225" s="37" t="n">
        <v>0</v>
      </c>
      <c r="B225" s="37" t="n">
        <v>0</v>
      </c>
      <c r="C225" s="37" t="n">
        <v>5</v>
      </c>
      <c r="D225" s="37" t="n">
        <v>15</v>
      </c>
      <c r="E225" s="37" t="n">
        <v>5</v>
      </c>
      <c r="F225" s="37" t="n">
        <v>5</v>
      </c>
      <c r="G225" s="37" t="s">
        <v>188</v>
      </c>
      <c r="H225" s="38" t="n">
        <v>198.940473337406</v>
      </c>
      <c r="I225" s="38" t="n">
        <v>200.149707801197</v>
      </c>
      <c r="J225" s="38" t="n">
        <v>215.277766781642</v>
      </c>
      <c r="K225" s="38" t="n">
        <v>235.870520830688</v>
      </c>
      <c r="L225" s="38" t="n">
        <v>73.8709732309326</v>
      </c>
      <c r="M225" s="38" t="n">
        <v>100.941518568135</v>
      </c>
      <c r="N225" s="38" t="n">
        <v>124.464396958572</v>
      </c>
      <c r="O225" s="38" t="n">
        <v>72.555409807078</v>
      </c>
      <c r="P225" s="37" t="n">
        <v>0</v>
      </c>
      <c r="Q225" s="38" t="n">
        <v>0</v>
      </c>
      <c r="R225" s="38" t="n">
        <v>72</v>
      </c>
      <c r="S225" s="37" t="n">
        <v>0</v>
      </c>
    </row>
    <row r="226" customFormat="false" ht="15" hidden="false" customHeight="false" outlineLevel="0" collapsed="false">
      <c r="A226" s="37" t="n">
        <v>0</v>
      </c>
      <c r="B226" s="37" t="n">
        <v>0</v>
      </c>
      <c r="C226" s="37" t="n">
        <v>5</v>
      </c>
      <c r="D226" s="37" t="n">
        <v>15</v>
      </c>
      <c r="E226" s="37" t="n">
        <v>5</v>
      </c>
      <c r="F226" s="37" t="n">
        <v>5</v>
      </c>
      <c r="G226" s="37" t="s">
        <v>192</v>
      </c>
      <c r="H226" s="38" t="n">
        <v>198.940473337406</v>
      </c>
      <c r="I226" s="38" t="n">
        <v>200.146790404131</v>
      </c>
      <c r="J226" s="38" t="n">
        <v>217.612242108301</v>
      </c>
      <c r="K226" s="38" t="n">
        <v>238.857482535747</v>
      </c>
      <c r="L226" s="38" t="n">
        <v>78.3545939633192</v>
      </c>
      <c r="M226" s="38" t="n">
        <v>97.9274581053026</v>
      </c>
      <c r="N226" s="38" t="n">
        <v>123.904070913265</v>
      </c>
      <c r="O226" s="38" t="n">
        <v>71.1093175709194</v>
      </c>
      <c r="P226" s="37" t="n">
        <v>0</v>
      </c>
      <c r="Q226" s="38" t="n">
        <v>0</v>
      </c>
      <c r="R226" s="38" t="n">
        <v>72</v>
      </c>
      <c r="S226" s="37" t="n">
        <v>0</v>
      </c>
    </row>
    <row r="227" customFormat="false" ht="15" hidden="false" customHeight="false" outlineLevel="0" collapsed="false">
      <c r="A227" s="37" t="n">
        <v>0</v>
      </c>
      <c r="B227" s="37" t="n">
        <v>0</v>
      </c>
      <c r="C227" s="37" t="n">
        <v>5</v>
      </c>
      <c r="D227" s="37" t="n">
        <v>15</v>
      </c>
      <c r="E227" s="37" t="n">
        <v>5</v>
      </c>
      <c r="F227" s="37" t="n">
        <v>5</v>
      </c>
      <c r="G227" s="37" t="s">
        <v>195</v>
      </c>
      <c r="H227" s="38" t="n">
        <v>198.940473337406</v>
      </c>
      <c r="I227" s="38" t="n">
        <v>200.42037136479</v>
      </c>
      <c r="J227" s="38" t="n">
        <v>219.888492831094</v>
      </c>
      <c r="K227" s="38" t="n">
        <v>243.247173754904</v>
      </c>
      <c r="L227" s="38" t="n">
        <v>89.9971737549044</v>
      </c>
      <c r="M227" s="38" t="n">
        <v>105.145840626919</v>
      </c>
      <c r="N227" s="38" t="n">
        <v>137.225633845225</v>
      </c>
      <c r="O227" s="38" t="n">
        <v>76.9426188552909</v>
      </c>
      <c r="P227" s="37" t="n">
        <v>0</v>
      </c>
      <c r="Q227" s="38" t="n">
        <v>0</v>
      </c>
      <c r="R227" s="38" t="n">
        <v>67.63171515646</v>
      </c>
      <c r="S227" s="37" t="n">
        <v>1</v>
      </c>
    </row>
    <row r="228" customFormat="false" ht="15" hidden="false" customHeight="false" outlineLevel="0" collapsed="false">
      <c r="A228" s="37" t="n">
        <v>0</v>
      </c>
      <c r="B228" s="37" t="n">
        <v>0</v>
      </c>
      <c r="C228" s="37" t="n">
        <v>5</v>
      </c>
      <c r="D228" s="37" t="n">
        <v>15</v>
      </c>
      <c r="E228" s="37" t="n">
        <v>5</v>
      </c>
      <c r="F228" s="37" t="n">
        <v>5</v>
      </c>
      <c r="G228" s="37" t="s">
        <v>197</v>
      </c>
      <c r="H228" s="38" t="n">
        <v>198.940473337406</v>
      </c>
      <c r="I228" s="38" t="n">
        <v>200.158890780656</v>
      </c>
      <c r="J228" s="38" t="n">
        <v>217.578146530072</v>
      </c>
      <c r="K228" s="38" t="n">
        <v>238.985010068616</v>
      </c>
      <c r="L228" s="38" t="n">
        <v>77.5828516918479</v>
      </c>
      <c r="M228" s="38" t="n">
        <v>103.77895827015</v>
      </c>
      <c r="N228" s="38" t="n">
        <v>130.314405478007</v>
      </c>
      <c r="O228" s="38" t="n">
        <v>76.0374840457494</v>
      </c>
      <c r="P228" s="37" t="n">
        <v>0</v>
      </c>
      <c r="Q228" s="38" t="n">
        <v>0</v>
      </c>
      <c r="R228" s="38" t="n">
        <v>72</v>
      </c>
      <c r="S228" s="37" t="n">
        <v>0</v>
      </c>
    </row>
    <row r="229" customFormat="false" ht="15" hidden="false" customHeight="false" outlineLevel="0" collapsed="false">
      <c r="A229" s="37" t="n">
        <v>0</v>
      </c>
      <c r="B229" s="37" t="n">
        <v>0</v>
      </c>
      <c r="C229" s="37" t="n">
        <v>5</v>
      </c>
      <c r="D229" s="37" t="n">
        <v>15</v>
      </c>
      <c r="E229" s="37" t="n">
        <v>5</v>
      </c>
      <c r="F229" s="37" t="n">
        <v>5</v>
      </c>
      <c r="G229" s="37" t="s">
        <v>196</v>
      </c>
      <c r="H229" s="38" t="n">
        <v>198.940473337406</v>
      </c>
      <c r="I229" s="38" t="n">
        <v>200.148015665756</v>
      </c>
      <c r="J229" s="38" t="n">
        <v>209.356811882246</v>
      </c>
      <c r="K229" s="38" t="n">
        <v>239.591380699879</v>
      </c>
      <c r="L229" s="38" t="n">
        <v>86.035825144323</v>
      </c>
      <c r="M229" s="38" t="n">
        <v>102.947683132757</v>
      </c>
      <c r="N229" s="38" t="n">
        <v>127.524646677875</v>
      </c>
      <c r="O229" s="38" t="n">
        <v>69.94893370143</v>
      </c>
      <c r="P229" s="37" t="n">
        <v>0</v>
      </c>
      <c r="Q229" s="38" t="n">
        <v>0</v>
      </c>
      <c r="R229" s="38" t="n">
        <v>70.604</v>
      </c>
      <c r="S229" s="37" t="n">
        <v>0</v>
      </c>
    </row>
    <row r="230" customFormat="false" ht="15" hidden="false" customHeight="false" outlineLevel="0" collapsed="false">
      <c r="A230" s="37" t="n">
        <v>0</v>
      </c>
      <c r="B230" s="37" t="n">
        <v>0</v>
      </c>
      <c r="C230" s="37" t="n">
        <v>5</v>
      </c>
      <c r="D230" s="37" t="n">
        <v>15</v>
      </c>
      <c r="E230" s="37" t="n">
        <v>10</v>
      </c>
      <c r="F230" s="37" t="n">
        <v>0</v>
      </c>
      <c r="G230" s="37" t="s">
        <v>188</v>
      </c>
      <c r="H230" s="38" t="n">
        <v>198.957415341898</v>
      </c>
      <c r="I230" s="38" t="n">
        <v>200.382613477108</v>
      </c>
      <c r="J230" s="38" t="n">
        <v>217.733786551911</v>
      </c>
      <c r="K230" s="38" t="n">
        <v>239.840996965762</v>
      </c>
      <c r="L230" s="38" t="n">
        <v>38.0326344523576</v>
      </c>
      <c r="M230" s="38" t="n">
        <v>102.096456661634</v>
      </c>
      <c r="N230" s="38" t="n">
        <v>128.582177461848</v>
      </c>
      <c r="O230" s="38" t="n">
        <v>72.340159769342</v>
      </c>
      <c r="P230" s="37" t="n">
        <v>0</v>
      </c>
      <c r="Q230" s="38" t="n">
        <v>0</v>
      </c>
      <c r="R230" s="38" t="n">
        <v>72</v>
      </c>
      <c r="S230" s="37" t="n">
        <v>0</v>
      </c>
    </row>
    <row r="231" customFormat="false" ht="15" hidden="false" customHeight="false" outlineLevel="0" collapsed="false">
      <c r="A231" s="37" t="n">
        <v>0</v>
      </c>
      <c r="B231" s="37" t="n">
        <v>0</v>
      </c>
      <c r="C231" s="37" t="n">
        <v>5</v>
      </c>
      <c r="D231" s="37" t="n">
        <v>15</v>
      </c>
      <c r="E231" s="37" t="n">
        <v>10</v>
      </c>
      <c r="F231" s="37" t="n">
        <v>0</v>
      </c>
      <c r="G231" s="37" t="s">
        <v>192</v>
      </c>
      <c r="H231" s="38" t="n">
        <v>198.957415341898</v>
      </c>
      <c r="I231" s="38" t="n">
        <v>200.379668599274</v>
      </c>
      <c r="J231" s="38" t="n">
        <v>220.010220363331</v>
      </c>
      <c r="K231" s="38" t="n">
        <v>242.753624962195</v>
      </c>
      <c r="L231" s="38" t="n">
        <v>42.234012376909</v>
      </c>
      <c r="M231" s="38" t="n">
        <v>99.0822658873429</v>
      </c>
      <c r="N231" s="38" t="n">
        <v>129.579651961295</v>
      </c>
      <c r="O231" s="38" t="n">
        <v>71.0113372277676</v>
      </c>
      <c r="P231" s="37" t="n">
        <v>0</v>
      </c>
      <c r="Q231" s="38" t="n">
        <v>0</v>
      </c>
      <c r="R231" s="38" t="n">
        <v>72</v>
      </c>
      <c r="S231" s="37" t="n">
        <v>0</v>
      </c>
    </row>
    <row r="232" customFormat="false" ht="15" hidden="false" customHeight="false" outlineLevel="0" collapsed="false">
      <c r="A232" s="37" t="n">
        <v>0</v>
      </c>
      <c r="B232" s="37" t="n">
        <v>0</v>
      </c>
      <c r="C232" s="37" t="n">
        <v>5</v>
      </c>
      <c r="D232" s="37" t="n">
        <v>15</v>
      </c>
      <c r="E232" s="37" t="n">
        <v>10</v>
      </c>
      <c r="F232" s="37" t="n">
        <v>0</v>
      </c>
      <c r="G232" s="37" t="s">
        <v>195</v>
      </c>
      <c r="H232" s="38" t="n">
        <v>198.957415341898</v>
      </c>
      <c r="I232" s="38" t="n">
        <v>200.670365104755</v>
      </c>
      <c r="J232" s="38" t="n">
        <v>222.714687654076</v>
      </c>
      <c r="K232" s="38" t="n">
        <v>247.80214937482</v>
      </c>
      <c r="L232" s="38" t="n">
        <v>54.5521493748196</v>
      </c>
      <c r="M232" s="38" t="n">
        <v>106.288269361664</v>
      </c>
      <c r="N232" s="38" t="n">
        <v>143.545238061037</v>
      </c>
      <c r="O232" s="38" t="n">
        <v>77.2323359953912</v>
      </c>
      <c r="P232" s="37" t="n">
        <v>0</v>
      </c>
      <c r="Q232" s="38" t="n">
        <v>0</v>
      </c>
      <c r="R232" s="38" t="n">
        <v>67.6236888990694</v>
      </c>
      <c r="S232" s="37" t="n">
        <v>1</v>
      </c>
    </row>
    <row r="233" customFormat="false" ht="15" hidden="false" customHeight="false" outlineLevel="0" collapsed="false">
      <c r="A233" s="37" t="n">
        <v>0</v>
      </c>
      <c r="B233" s="37" t="n">
        <v>0</v>
      </c>
      <c r="C233" s="37" t="n">
        <v>5</v>
      </c>
      <c r="D233" s="37" t="n">
        <v>15</v>
      </c>
      <c r="E233" s="37" t="n">
        <v>10</v>
      </c>
      <c r="F233" s="37" t="n">
        <v>0</v>
      </c>
      <c r="G233" s="37" t="s">
        <v>197</v>
      </c>
      <c r="H233" s="38" t="n">
        <v>198.957415341898</v>
      </c>
      <c r="I233" s="38" t="n">
        <v>200.413852940007</v>
      </c>
      <c r="J233" s="38" t="n">
        <v>219.270847316658</v>
      </c>
      <c r="K233" s="38" t="n">
        <v>242.114122746273</v>
      </c>
      <c r="L233" s="38" t="n">
        <v>45.6141227462726</v>
      </c>
      <c r="M233" s="38" t="n">
        <v>107.631772053053</v>
      </c>
      <c r="N233" s="38" t="n">
        <v>138.956041426634</v>
      </c>
      <c r="O233" s="38" t="n">
        <v>76.4617180990287</v>
      </c>
      <c r="P233" s="37" t="n">
        <v>0</v>
      </c>
      <c r="Q233" s="38" t="n">
        <v>0</v>
      </c>
      <c r="R233" s="38" t="n">
        <v>72</v>
      </c>
      <c r="S233" s="37" t="n">
        <v>0</v>
      </c>
    </row>
    <row r="234" customFormat="false" ht="15" hidden="false" customHeight="false" outlineLevel="0" collapsed="false">
      <c r="A234" s="37" t="n">
        <v>0</v>
      </c>
      <c r="B234" s="37" t="n">
        <v>0</v>
      </c>
      <c r="C234" s="37" t="n">
        <v>5</v>
      </c>
      <c r="D234" s="37" t="n">
        <v>15</v>
      </c>
      <c r="E234" s="37" t="n">
        <v>10</v>
      </c>
      <c r="F234" s="37" t="n">
        <v>0</v>
      </c>
      <c r="G234" s="37" t="s">
        <v>196</v>
      </c>
      <c r="H234" s="38" t="n">
        <v>198.957415341898</v>
      </c>
      <c r="I234" s="38" t="n">
        <v>200.382423129708</v>
      </c>
      <c r="J234" s="38" t="n">
        <v>211.631661098954</v>
      </c>
      <c r="K234" s="38" t="n">
        <v>243.397587804694</v>
      </c>
      <c r="L234" s="38" t="n">
        <v>49.8420322491388</v>
      </c>
      <c r="M234" s="38" t="n">
        <v>104.618786393589</v>
      </c>
      <c r="N234" s="38" t="n">
        <v>134.457034422711</v>
      </c>
      <c r="O234" s="38" t="n">
        <v>70.3279039455655</v>
      </c>
      <c r="P234" s="37" t="n">
        <v>0</v>
      </c>
      <c r="Q234" s="38" t="n">
        <v>0</v>
      </c>
      <c r="R234" s="38" t="n">
        <v>70.604</v>
      </c>
      <c r="S234" s="37" t="n">
        <v>0</v>
      </c>
    </row>
    <row r="235" customFormat="false" ht="15" hidden="false" customHeight="false" outlineLevel="0" collapsed="false">
      <c r="A235" s="37" t="n">
        <v>0</v>
      </c>
      <c r="B235" s="37" t="n">
        <v>0</v>
      </c>
      <c r="C235" s="37" t="n">
        <v>5</v>
      </c>
      <c r="D235" s="37" t="n">
        <v>20</v>
      </c>
      <c r="E235" s="37" t="n">
        <v>0</v>
      </c>
      <c r="F235" s="37" t="n">
        <v>5</v>
      </c>
      <c r="G235" s="37" t="s">
        <v>188</v>
      </c>
      <c r="H235" s="38" t="n">
        <v>199.107969861175</v>
      </c>
      <c r="I235" s="38" t="n">
        <v>200.725877028476</v>
      </c>
      <c r="J235" s="38" t="n">
        <v>215.201538230016</v>
      </c>
      <c r="K235" s="38" t="n">
        <v>229.731799035681</v>
      </c>
      <c r="L235" s="38" t="n">
        <v>67.9440978020728</v>
      </c>
      <c r="M235" s="38" t="n">
        <v>100.260525757589</v>
      </c>
      <c r="N235" s="38" t="n">
        <v>118.999444419941</v>
      </c>
      <c r="O235" s="38" t="n">
        <v>71.6986129156677</v>
      </c>
      <c r="P235" s="37" t="n">
        <v>0</v>
      </c>
      <c r="Q235" s="38" t="n">
        <v>0</v>
      </c>
      <c r="R235" s="38" t="n">
        <v>72</v>
      </c>
      <c r="S235" s="37" t="n">
        <v>0</v>
      </c>
    </row>
    <row r="236" customFormat="false" ht="15" hidden="false" customHeight="false" outlineLevel="0" collapsed="false">
      <c r="A236" s="37" t="n">
        <v>0</v>
      </c>
      <c r="B236" s="37" t="n">
        <v>0</v>
      </c>
      <c r="C236" s="37" t="n">
        <v>5</v>
      </c>
      <c r="D236" s="37" t="n">
        <v>20</v>
      </c>
      <c r="E236" s="37" t="n">
        <v>0</v>
      </c>
      <c r="F236" s="37" t="n">
        <v>5</v>
      </c>
      <c r="G236" s="37" t="s">
        <v>192</v>
      </c>
      <c r="H236" s="38" t="n">
        <v>199.107969861175</v>
      </c>
      <c r="I236" s="38" t="n">
        <v>200.721445068986</v>
      </c>
      <c r="J236" s="38" t="n">
        <v>217.450128096115</v>
      </c>
      <c r="K236" s="38" t="n">
        <v>232.579473362564</v>
      </c>
      <c r="L236" s="38" t="n">
        <v>72.0909067905259</v>
      </c>
      <c r="M236" s="38" t="n">
        <v>97.242951059655</v>
      </c>
      <c r="N236" s="38" t="n">
        <v>118.373055387156</v>
      </c>
      <c r="O236" s="38" t="n">
        <v>69.9177571982516</v>
      </c>
      <c r="P236" s="37" t="n">
        <v>0</v>
      </c>
      <c r="Q236" s="38" t="n">
        <v>0</v>
      </c>
      <c r="R236" s="38" t="n">
        <v>72</v>
      </c>
      <c r="S236" s="37" t="n">
        <v>0</v>
      </c>
    </row>
    <row r="237" customFormat="false" ht="15" hidden="false" customHeight="false" outlineLevel="0" collapsed="false">
      <c r="A237" s="37" t="n">
        <v>0</v>
      </c>
      <c r="B237" s="37" t="n">
        <v>0</v>
      </c>
      <c r="C237" s="37" t="n">
        <v>5</v>
      </c>
      <c r="D237" s="37" t="n">
        <v>20</v>
      </c>
      <c r="E237" s="37" t="n">
        <v>0</v>
      </c>
      <c r="F237" s="37" t="n">
        <v>5</v>
      </c>
      <c r="G237" s="37" t="s">
        <v>195</v>
      </c>
      <c r="H237" s="38" t="n">
        <v>199.107969861175</v>
      </c>
      <c r="I237" s="38" t="n">
        <v>201.072040237458</v>
      </c>
      <c r="J237" s="38" t="n">
        <v>220.234451810104</v>
      </c>
      <c r="K237" s="38" t="n">
        <v>237.981001687879</v>
      </c>
      <c r="L237" s="38" t="n">
        <v>84.7310016878786</v>
      </c>
      <c r="M237" s="38" t="n">
        <v>105.486859581665</v>
      </c>
      <c r="N237" s="38" t="n">
        <v>132.271701731799</v>
      </c>
      <c r="O237" s="38" t="n">
        <v>75.9141924422884</v>
      </c>
      <c r="P237" s="37" t="n">
        <v>0</v>
      </c>
      <c r="Q237" s="38" t="n">
        <v>0</v>
      </c>
      <c r="R237" s="38" t="n">
        <v>67.6378585</v>
      </c>
      <c r="S237" s="37" t="n">
        <v>1</v>
      </c>
    </row>
    <row r="238" customFormat="false" ht="15" hidden="false" customHeight="false" outlineLevel="0" collapsed="false">
      <c r="A238" s="37" t="n">
        <v>0</v>
      </c>
      <c r="B238" s="37" t="n">
        <v>0</v>
      </c>
      <c r="C238" s="37" t="n">
        <v>5</v>
      </c>
      <c r="D238" s="37" t="n">
        <v>20</v>
      </c>
      <c r="E238" s="37" t="n">
        <v>0</v>
      </c>
      <c r="F238" s="37" t="n">
        <v>5</v>
      </c>
      <c r="G238" s="37" t="s">
        <v>197</v>
      </c>
      <c r="H238" s="38" t="n">
        <v>199.107969861175</v>
      </c>
      <c r="I238" s="38" t="n">
        <v>200.721074443841</v>
      </c>
      <c r="J238" s="38" t="n">
        <v>216.665562337495</v>
      </c>
      <c r="K238" s="38" t="n">
        <v>231.582753083667</v>
      </c>
      <c r="L238" s="38" t="n">
        <v>69.6146482193296</v>
      </c>
      <c r="M238" s="38" t="n">
        <v>99.6972290619861</v>
      </c>
      <c r="N238" s="38" t="n">
        <v>114.884722732849</v>
      </c>
      <c r="O238" s="38" t="n">
        <v>70.6791751855795</v>
      </c>
      <c r="P238" s="37" t="n">
        <v>0</v>
      </c>
      <c r="Q238" s="38" t="n">
        <v>0</v>
      </c>
      <c r="R238" s="38" t="n">
        <v>72</v>
      </c>
      <c r="S238" s="37" t="n">
        <v>0</v>
      </c>
    </row>
    <row r="239" customFormat="false" ht="15" hidden="false" customHeight="false" outlineLevel="0" collapsed="false">
      <c r="A239" s="37" t="n">
        <v>0</v>
      </c>
      <c r="B239" s="37" t="n">
        <v>0</v>
      </c>
      <c r="C239" s="37" t="n">
        <v>5</v>
      </c>
      <c r="D239" s="37" t="n">
        <v>20</v>
      </c>
      <c r="E239" s="37" t="n">
        <v>0</v>
      </c>
      <c r="F239" s="37" t="n">
        <v>5</v>
      </c>
      <c r="G239" s="37" t="s">
        <v>196</v>
      </c>
      <c r="H239" s="38" t="n">
        <v>199.107969861175</v>
      </c>
      <c r="I239" s="38" t="n">
        <v>200.720932825285</v>
      </c>
      <c r="J239" s="38" t="n">
        <v>209.630448657245</v>
      </c>
      <c r="K239" s="38" t="n">
        <v>233.778557033031</v>
      </c>
      <c r="L239" s="38" t="n">
        <v>80.2230014774753</v>
      </c>
      <c r="M239" s="38" t="n">
        <v>101.915878989591</v>
      </c>
      <c r="N239" s="38" t="n">
        <v>120.933117618915</v>
      </c>
      <c r="O239" s="38" t="n">
        <v>67.5749042568896</v>
      </c>
      <c r="P239" s="37" t="n">
        <v>0</v>
      </c>
      <c r="Q239" s="38" t="n">
        <v>0</v>
      </c>
      <c r="R239" s="38" t="n">
        <v>70.7373333333333</v>
      </c>
      <c r="S239" s="37" t="n">
        <v>0</v>
      </c>
    </row>
    <row r="240" customFormat="false" ht="15" hidden="false" customHeight="false" outlineLevel="0" collapsed="false">
      <c r="A240" s="37" t="n">
        <v>0</v>
      </c>
      <c r="B240" s="37" t="n">
        <v>0</v>
      </c>
      <c r="C240" s="37" t="n">
        <v>5</v>
      </c>
      <c r="D240" s="37" t="n">
        <v>20</v>
      </c>
      <c r="E240" s="37" t="n">
        <v>5</v>
      </c>
      <c r="F240" s="37" t="n">
        <v>0</v>
      </c>
      <c r="G240" s="37" t="s">
        <v>188</v>
      </c>
      <c r="H240" s="38" t="n">
        <v>199.116049960119</v>
      </c>
      <c r="I240" s="38" t="n">
        <v>200.905521738324</v>
      </c>
      <c r="J240" s="38" t="n">
        <v>218.479202152536</v>
      </c>
      <c r="K240" s="38" t="n">
        <v>234.468948523553</v>
      </c>
      <c r="L240" s="38" t="n">
        <v>81.6207385887917</v>
      </c>
      <c r="M240" s="38" t="n">
        <v>101.420050213816</v>
      </c>
      <c r="N240" s="38" t="n">
        <v>125.325958391769</v>
      </c>
      <c r="O240" s="38" t="n">
        <v>71.7963332581635</v>
      </c>
      <c r="P240" s="37" t="n">
        <v>0</v>
      </c>
      <c r="Q240" s="38" t="n">
        <v>0</v>
      </c>
      <c r="R240" s="38" t="n">
        <v>72</v>
      </c>
      <c r="S240" s="37" t="n">
        <v>0</v>
      </c>
    </row>
    <row r="241" customFormat="false" ht="15" hidden="false" customHeight="false" outlineLevel="0" collapsed="false">
      <c r="A241" s="37" t="n">
        <v>0</v>
      </c>
      <c r="B241" s="37" t="n">
        <v>0</v>
      </c>
      <c r="C241" s="37" t="n">
        <v>5</v>
      </c>
      <c r="D241" s="37" t="n">
        <v>20</v>
      </c>
      <c r="E241" s="37" t="n">
        <v>5</v>
      </c>
      <c r="F241" s="37" t="n">
        <v>0</v>
      </c>
      <c r="G241" s="37" t="s">
        <v>192</v>
      </c>
      <c r="H241" s="38" t="n">
        <v>199.116049960119</v>
      </c>
      <c r="I241" s="38" t="n">
        <v>200.901309957399</v>
      </c>
      <c r="J241" s="38" t="n">
        <v>220.523064254369</v>
      </c>
      <c r="K241" s="38" t="n">
        <v>237.143439319136</v>
      </c>
      <c r="L241" s="38" t="n">
        <v>36.6343183790409</v>
      </c>
      <c r="M241" s="38" t="n">
        <v>98.402958789402</v>
      </c>
      <c r="N241" s="38" t="n">
        <v>122.711833978602</v>
      </c>
      <c r="O241" s="38" t="n">
        <v>70.1256938006412</v>
      </c>
      <c r="P241" s="37" t="n">
        <v>0</v>
      </c>
      <c r="Q241" s="38" t="n">
        <v>0</v>
      </c>
      <c r="R241" s="38" t="n">
        <v>72</v>
      </c>
      <c r="S241" s="37" t="n">
        <v>0</v>
      </c>
    </row>
    <row r="242" customFormat="false" ht="15" hidden="false" customHeight="false" outlineLevel="0" collapsed="false">
      <c r="A242" s="37" t="n">
        <v>0</v>
      </c>
      <c r="B242" s="37" t="n">
        <v>0</v>
      </c>
      <c r="C242" s="37" t="n">
        <v>5</v>
      </c>
      <c r="D242" s="37" t="n">
        <v>20</v>
      </c>
      <c r="E242" s="37" t="n">
        <v>5</v>
      </c>
      <c r="F242" s="37" t="n">
        <v>0</v>
      </c>
      <c r="G242" s="37" t="s">
        <v>195</v>
      </c>
      <c r="H242" s="38" t="n">
        <v>199.116049960119</v>
      </c>
      <c r="I242" s="38" t="n">
        <v>201.272619657953</v>
      </c>
      <c r="J242" s="38" t="n">
        <v>223.838877998946</v>
      </c>
      <c r="K242" s="38" t="n">
        <v>243.420755435789</v>
      </c>
      <c r="L242" s="38" t="n">
        <v>50.1707554357889</v>
      </c>
      <c r="M242" s="38" t="n">
        <v>106.616933028968</v>
      </c>
      <c r="N242" s="38" t="n">
        <v>140.261012329657</v>
      </c>
      <c r="O242" s="38" t="n">
        <v>76.5965260677621</v>
      </c>
      <c r="P242" s="37" t="n">
        <v>0</v>
      </c>
      <c r="Q242" s="38" t="n">
        <v>0</v>
      </c>
      <c r="R242" s="38" t="n">
        <v>67.6293589579459</v>
      </c>
      <c r="S242" s="37" t="n">
        <v>1</v>
      </c>
    </row>
    <row r="243" customFormat="false" ht="15" hidden="false" customHeight="false" outlineLevel="0" collapsed="false">
      <c r="A243" s="37" t="n">
        <v>0</v>
      </c>
      <c r="B243" s="37" t="n">
        <v>0</v>
      </c>
      <c r="C243" s="37" t="n">
        <v>5</v>
      </c>
      <c r="D243" s="37" t="n">
        <v>20</v>
      </c>
      <c r="E243" s="37" t="n">
        <v>5</v>
      </c>
      <c r="F243" s="37" t="n">
        <v>0</v>
      </c>
      <c r="G243" s="37" t="s">
        <v>197</v>
      </c>
      <c r="H243" s="38" t="n">
        <v>199.116049960119</v>
      </c>
      <c r="I243" s="38" t="n">
        <v>200.914295761745</v>
      </c>
      <c r="J243" s="38" t="n">
        <v>220.504389757999</v>
      </c>
      <c r="K243" s="38" t="n">
        <v>237.297690527756</v>
      </c>
      <c r="L243" s="38" t="n">
        <v>35.8947775599718</v>
      </c>
      <c r="M243" s="38" t="n">
        <v>104.249644210291</v>
      </c>
      <c r="N243" s="38" t="n">
        <v>128.494300251301</v>
      </c>
      <c r="O243" s="38" t="n">
        <v>75.1618144862732</v>
      </c>
      <c r="P243" s="37" t="n">
        <v>0</v>
      </c>
      <c r="Q243" s="38" t="n">
        <v>0</v>
      </c>
      <c r="R243" s="38" t="n">
        <v>72</v>
      </c>
      <c r="S243" s="37" t="n">
        <v>0</v>
      </c>
    </row>
    <row r="244" customFormat="false" ht="15" hidden="false" customHeight="false" outlineLevel="0" collapsed="false">
      <c r="A244" s="37" t="n">
        <v>0</v>
      </c>
      <c r="B244" s="37" t="n">
        <v>0</v>
      </c>
      <c r="C244" s="37" t="n">
        <v>5</v>
      </c>
      <c r="D244" s="37" t="n">
        <v>20</v>
      </c>
      <c r="E244" s="37" t="n">
        <v>5</v>
      </c>
      <c r="F244" s="37" t="n">
        <v>0</v>
      </c>
      <c r="G244" s="37" t="s">
        <v>196</v>
      </c>
      <c r="H244" s="38" t="n">
        <v>199.116049960119</v>
      </c>
      <c r="I244" s="38" t="n">
        <v>200.902599659942</v>
      </c>
      <c r="J244" s="38" t="n">
        <v>212.189471501051</v>
      </c>
      <c r="K244" s="38" t="n">
        <v>237.78734789142</v>
      </c>
      <c r="L244" s="38" t="n">
        <v>44.2317923358644</v>
      </c>
      <c r="M244" s="38" t="n">
        <v>103.732811393967</v>
      </c>
      <c r="N244" s="38" t="n">
        <v>129.216556619941</v>
      </c>
      <c r="O244" s="38" t="n">
        <v>68.9173138437771</v>
      </c>
      <c r="P244" s="37" t="n">
        <v>0</v>
      </c>
      <c r="Q244" s="38" t="n">
        <v>0</v>
      </c>
      <c r="R244" s="38" t="n">
        <v>70.604</v>
      </c>
      <c r="S244" s="37" t="n">
        <v>0</v>
      </c>
    </row>
    <row r="245" customFormat="false" ht="15" hidden="false" customHeight="false" outlineLevel="0" collapsed="false">
      <c r="A245" s="37" t="n">
        <v>0</v>
      </c>
      <c r="B245" s="37" t="n">
        <v>0</v>
      </c>
      <c r="C245" s="37" t="n">
        <v>5</v>
      </c>
      <c r="D245" s="37" t="n">
        <v>25</v>
      </c>
      <c r="E245" s="37" t="n">
        <v>0</v>
      </c>
      <c r="F245" s="37" t="n">
        <v>0</v>
      </c>
      <c r="G245" s="37" t="s">
        <v>188</v>
      </c>
      <c r="H245" s="38" t="n">
        <v>199.195398851743</v>
      </c>
      <c r="I245" s="38" t="n">
        <v>201.087193630863</v>
      </c>
      <c r="J245" s="38" t="n">
        <v>216.466506594891</v>
      </c>
      <c r="K245" s="38" t="n">
        <v>224.337870062814</v>
      </c>
      <c r="L245" s="38" t="n">
        <v>71.373512120993</v>
      </c>
      <c r="M245" s="38" t="n">
        <v>100.087284311831</v>
      </c>
      <c r="N245" s="38" t="n">
        <v>117.474705418562</v>
      </c>
      <c r="O245" s="38" t="n">
        <v>70.1670844471949</v>
      </c>
      <c r="P245" s="37" t="n">
        <v>0</v>
      </c>
      <c r="Q245" s="38" t="n">
        <v>0</v>
      </c>
      <c r="R245" s="38" t="n">
        <v>72</v>
      </c>
      <c r="S245" s="37" t="n">
        <v>0</v>
      </c>
    </row>
    <row r="246" customFormat="false" ht="15" hidden="false" customHeight="false" outlineLevel="0" collapsed="false">
      <c r="A246" s="37" t="n">
        <v>0</v>
      </c>
      <c r="B246" s="37" t="n">
        <v>0</v>
      </c>
      <c r="C246" s="37" t="n">
        <v>5</v>
      </c>
      <c r="D246" s="37" t="n">
        <v>25</v>
      </c>
      <c r="E246" s="37" t="n">
        <v>0</v>
      </c>
      <c r="F246" s="37" t="n">
        <v>0</v>
      </c>
      <c r="G246" s="37" t="s">
        <v>192</v>
      </c>
      <c r="H246" s="38" t="n">
        <v>199.195398851743</v>
      </c>
      <c r="I246" s="38" t="n">
        <v>201.08203747631</v>
      </c>
      <c r="J246" s="38" t="n">
        <v>218.847725014438</v>
      </c>
      <c r="K246" s="38" t="n">
        <v>227.292855918793</v>
      </c>
      <c r="L246" s="38" t="n">
        <v>75.5485075323859</v>
      </c>
      <c r="M246" s="38" t="n">
        <v>97.0680303558937</v>
      </c>
      <c r="N246" s="38" t="n">
        <v>116.977462008019</v>
      </c>
      <c r="O246" s="38" t="n">
        <v>68.2482316290641</v>
      </c>
      <c r="P246" s="37" t="n">
        <v>0</v>
      </c>
      <c r="Q246" s="38" t="n">
        <v>0</v>
      </c>
      <c r="R246" s="38" t="n">
        <v>72</v>
      </c>
      <c r="S246" s="37" t="n">
        <v>0</v>
      </c>
    </row>
    <row r="247" customFormat="false" ht="15" hidden="false" customHeight="false" outlineLevel="0" collapsed="false">
      <c r="A247" s="37" t="n">
        <v>0</v>
      </c>
      <c r="B247" s="37" t="n">
        <v>0</v>
      </c>
      <c r="C247" s="37" t="n">
        <v>5</v>
      </c>
      <c r="D247" s="37" t="n">
        <v>25</v>
      </c>
      <c r="E247" s="37" t="n">
        <v>0</v>
      </c>
      <c r="F247" s="37" t="n">
        <v>0</v>
      </c>
      <c r="G247" s="37" t="s">
        <v>195</v>
      </c>
      <c r="H247" s="38" t="n">
        <v>199.195398851743</v>
      </c>
      <c r="I247" s="38" t="n">
        <v>201.487529218069</v>
      </c>
      <c r="J247" s="38" t="n">
        <v>222.088972409458</v>
      </c>
      <c r="K247" s="38" t="n">
        <v>233.573280902522</v>
      </c>
      <c r="L247" s="38" t="n">
        <v>41.5732809025221</v>
      </c>
      <c r="M247" s="38" t="n">
        <v>105.819630829554</v>
      </c>
      <c r="N247" s="38" t="n">
        <v>132.893300015459</v>
      </c>
      <c r="O247" s="38" t="n">
        <v>74.7980745375122</v>
      </c>
      <c r="P247" s="37" t="n">
        <v>0</v>
      </c>
      <c r="Q247" s="38" t="n">
        <v>0</v>
      </c>
      <c r="R247" s="38" t="n">
        <v>67.6357765206001</v>
      </c>
      <c r="S247" s="37" t="n">
        <v>1</v>
      </c>
    </row>
    <row r="248" customFormat="false" ht="15" hidden="false" customHeight="false" outlineLevel="0" collapsed="false">
      <c r="A248" s="37" t="n">
        <v>0</v>
      </c>
      <c r="B248" s="37" t="n">
        <v>0</v>
      </c>
      <c r="C248" s="37" t="n">
        <v>5</v>
      </c>
      <c r="D248" s="37" t="n">
        <v>25</v>
      </c>
      <c r="E248" s="37" t="n">
        <v>0</v>
      </c>
      <c r="F248" s="37" t="n">
        <v>0</v>
      </c>
      <c r="G248" s="37" t="s">
        <v>197</v>
      </c>
      <c r="H248" s="38" t="n">
        <v>199.195398851743</v>
      </c>
      <c r="I248" s="38" t="n">
        <v>201.08182558137</v>
      </c>
      <c r="J248" s="38" t="n">
        <v>218.048861430787</v>
      </c>
      <c r="K248" s="38" t="n">
        <v>226.285985941839</v>
      </c>
      <c r="L248" s="38" t="n">
        <v>69.3197097421553</v>
      </c>
      <c r="M248" s="38" t="n">
        <v>99.5382722167705</v>
      </c>
      <c r="N248" s="38" t="n">
        <v>113.586943942754</v>
      </c>
      <c r="O248" s="38" t="n">
        <v>68.9373659201195</v>
      </c>
      <c r="P248" s="37" t="n">
        <v>0</v>
      </c>
      <c r="Q248" s="38" t="n">
        <v>0</v>
      </c>
      <c r="R248" s="38" t="n">
        <v>72</v>
      </c>
      <c r="S248" s="37" t="n">
        <v>0</v>
      </c>
    </row>
    <row r="249" customFormat="false" ht="15" hidden="false" customHeight="false" outlineLevel="0" collapsed="false">
      <c r="A249" s="37" t="n">
        <v>0</v>
      </c>
      <c r="B249" s="37" t="n">
        <v>0</v>
      </c>
      <c r="C249" s="37" t="n">
        <v>5</v>
      </c>
      <c r="D249" s="37" t="n">
        <v>25</v>
      </c>
      <c r="E249" s="37" t="n">
        <v>0</v>
      </c>
      <c r="F249" s="37" t="n">
        <v>0</v>
      </c>
      <c r="G249" s="37" t="s">
        <v>196</v>
      </c>
      <c r="H249" s="38" t="n">
        <v>199.195398851743</v>
      </c>
      <c r="I249" s="38" t="n">
        <v>201.081506553105</v>
      </c>
      <c r="J249" s="38" t="n">
        <v>210.954059233956</v>
      </c>
      <c r="K249" s="38" t="n">
        <v>228.432649356519</v>
      </c>
      <c r="L249" s="38" t="n">
        <v>34.8770938009639</v>
      </c>
      <c r="M249" s="38" t="n">
        <v>101.898826231169</v>
      </c>
      <c r="N249" s="38" t="n">
        <v>116.402858719069</v>
      </c>
      <c r="O249" s="38" t="n">
        <v>66.0769976501127</v>
      </c>
      <c r="P249" s="37" t="n">
        <v>0</v>
      </c>
      <c r="Q249" s="38" t="n">
        <v>0</v>
      </c>
      <c r="R249" s="38" t="n">
        <v>70.7373333333333</v>
      </c>
      <c r="S249" s="37" t="n">
        <v>0</v>
      </c>
    </row>
    <row r="250" customFormat="false" ht="15" hidden="false" customHeight="false" outlineLevel="0" collapsed="false">
      <c r="A250" s="37" t="n">
        <v>0</v>
      </c>
      <c r="B250" s="37" t="n">
        <v>0</v>
      </c>
      <c r="C250" s="37" t="n">
        <v>10</v>
      </c>
      <c r="D250" s="37" t="n">
        <v>0</v>
      </c>
      <c r="E250" s="37" t="n">
        <v>0</v>
      </c>
      <c r="F250" s="37" t="n">
        <v>20</v>
      </c>
      <c r="G250" s="37" t="s">
        <v>188</v>
      </c>
      <c r="H250" s="38" t="n">
        <v>198.539292686565</v>
      </c>
      <c r="I250" s="38" t="n">
        <v>199.619602414439</v>
      </c>
      <c r="J250" s="38" t="n">
        <v>206.671334994145</v>
      </c>
      <c r="K250" s="38" t="n">
        <v>246.824166724627</v>
      </c>
      <c r="L250" s="38" t="n">
        <v>203.743759495413</v>
      </c>
      <c r="M250" s="38" t="n">
        <v>103.205446628537</v>
      </c>
      <c r="N250" s="38" t="n">
        <v>118.063144943712</v>
      </c>
      <c r="O250" s="38" t="n">
        <v>68.137724694297</v>
      </c>
      <c r="P250" s="37" t="n">
        <v>0</v>
      </c>
      <c r="Q250" s="38" t="n">
        <v>0</v>
      </c>
      <c r="R250" s="38" t="n">
        <v>70.5</v>
      </c>
      <c r="S250" s="37" t="n">
        <v>1</v>
      </c>
    </row>
    <row r="251" customFormat="false" ht="15" hidden="false" customHeight="false" outlineLevel="0" collapsed="false">
      <c r="A251" s="37" t="n">
        <v>0</v>
      </c>
      <c r="B251" s="37" t="n">
        <v>0</v>
      </c>
      <c r="C251" s="37" t="n">
        <v>10</v>
      </c>
      <c r="D251" s="37" t="n">
        <v>0</v>
      </c>
      <c r="E251" s="37" t="n">
        <v>0</v>
      </c>
      <c r="F251" s="37" t="n">
        <v>20</v>
      </c>
      <c r="G251" s="37" t="s">
        <v>192</v>
      </c>
      <c r="H251" s="38" t="n">
        <v>198.539292686565</v>
      </c>
      <c r="I251" s="38" t="n">
        <v>199.613507106766</v>
      </c>
      <c r="J251" s="38" t="n">
        <v>208.98764170814</v>
      </c>
      <c r="K251" s="38" t="n">
        <v>249.771645814941</v>
      </c>
      <c r="L251" s="38" t="n">
        <v>208.874017017135</v>
      </c>
      <c r="M251" s="38" t="n">
        <v>100.177452757732</v>
      </c>
      <c r="N251" s="38" t="n">
        <v>117.742025090764</v>
      </c>
      <c r="O251" s="38" t="n">
        <v>66.9763233699074</v>
      </c>
      <c r="P251" s="37" t="n">
        <v>0</v>
      </c>
      <c r="Q251" s="38" t="n">
        <v>0</v>
      </c>
      <c r="R251" s="38" t="n">
        <v>70.5</v>
      </c>
      <c r="S251" s="37" t="n">
        <v>0</v>
      </c>
    </row>
    <row r="252" customFormat="false" ht="15" hidden="false" customHeight="false" outlineLevel="0" collapsed="false">
      <c r="A252" s="37" t="n">
        <v>0</v>
      </c>
      <c r="B252" s="37" t="n">
        <v>0</v>
      </c>
      <c r="C252" s="37" t="n">
        <v>10</v>
      </c>
      <c r="D252" s="37" t="n">
        <v>0</v>
      </c>
      <c r="E252" s="37" t="n">
        <v>0</v>
      </c>
      <c r="F252" s="37" t="n">
        <v>20</v>
      </c>
      <c r="G252" s="37" t="s">
        <v>195</v>
      </c>
      <c r="H252" s="38" t="n">
        <v>198.539292686565</v>
      </c>
      <c r="I252" s="38" t="n">
        <v>199.650318199858</v>
      </c>
      <c r="J252" s="38" t="n">
        <v>205.011820590925</v>
      </c>
      <c r="K252" s="38" t="n">
        <v>241.689449364146</v>
      </c>
      <c r="L252" s="38" t="n">
        <v>203.276392903317</v>
      </c>
      <c r="M252" s="38" t="n">
        <v>103.251868416197</v>
      </c>
      <c r="N252" s="38" t="n">
        <v>114.017143757687</v>
      </c>
      <c r="O252" s="38" t="n">
        <v>66.2501792563934</v>
      </c>
      <c r="P252" s="37" t="n">
        <v>0</v>
      </c>
      <c r="Q252" s="38" t="n">
        <v>0</v>
      </c>
      <c r="R252" s="38" t="n">
        <v>68.6510830617511</v>
      </c>
      <c r="S252" s="37" t="n">
        <v>0</v>
      </c>
    </row>
    <row r="253" customFormat="false" ht="15" hidden="false" customHeight="false" outlineLevel="0" collapsed="false">
      <c r="A253" s="37" t="n">
        <v>0</v>
      </c>
      <c r="B253" s="37" t="n">
        <v>0</v>
      </c>
      <c r="C253" s="37" t="n">
        <v>10</v>
      </c>
      <c r="D253" s="37" t="n">
        <v>0</v>
      </c>
      <c r="E253" s="37" t="n">
        <v>0</v>
      </c>
      <c r="F253" s="37" t="n">
        <v>20</v>
      </c>
      <c r="G253" s="37" t="s">
        <v>197</v>
      </c>
      <c r="H253" s="38" t="n">
        <v>198.539292686565</v>
      </c>
      <c r="I253" s="38" t="n">
        <v>199.610072932475</v>
      </c>
      <c r="J253" s="38" t="n">
        <v>207.966551572868</v>
      </c>
      <c r="K253" s="38" t="n">
        <v>248.439964448229</v>
      </c>
      <c r="L253" s="38" t="n">
        <v>205.970785617244</v>
      </c>
      <c r="M253" s="38" t="n">
        <v>100.610167189298</v>
      </c>
      <c r="N253" s="38" t="n">
        <v>108.851879545363</v>
      </c>
      <c r="O253" s="38" t="n">
        <v>66.0763135188767</v>
      </c>
      <c r="P253" s="37" t="n">
        <v>0</v>
      </c>
      <c r="Q253" s="38" t="n">
        <v>0</v>
      </c>
      <c r="R253" s="38" t="n">
        <v>70.5</v>
      </c>
      <c r="S253" s="37" t="n">
        <v>0</v>
      </c>
    </row>
    <row r="254" customFormat="false" ht="15" hidden="false" customHeight="false" outlineLevel="0" collapsed="false">
      <c r="A254" s="37" t="n">
        <v>0</v>
      </c>
      <c r="B254" s="37" t="n">
        <v>0</v>
      </c>
      <c r="C254" s="37" t="n">
        <v>10</v>
      </c>
      <c r="D254" s="37" t="n">
        <v>0</v>
      </c>
      <c r="E254" s="37" t="n">
        <v>0</v>
      </c>
      <c r="F254" s="37" t="n">
        <v>20</v>
      </c>
      <c r="G254" s="37" t="s">
        <v>196</v>
      </c>
      <c r="H254" s="38" t="n">
        <v>198.539292686565</v>
      </c>
      <c r="I254" s="38" t="n">
        <v>199.612505659266</v>
      </c>
      <c r="J254" s="38" t="n">
        <v>208.501375409867</v>
      </c>
      <c r="K254" s="38" t="n">
        <v>249.22485766616</v>
      </c>
      <c r="L254" s="38" t="n">
        <v>213.186206872509</v>
      </c>
      <c r="M254" s="38" t="n">
        <v>101.879841508711</v>
      </c>
      <c r="N254" s="38" t="n">
        <v>116.114411973604</v>
      </c>
      <c r="O254" s="38" t="n">
        <v>67.1217425917443</v>
      </c>
      <c r="P254" s="37" t="n">
        <v>0</v>
      </c>
      <c r="Q254" s="38" t="n">
        <v>0</v>
      </c>
      <c r="R254" s="38" t="n">
        <v>69.6040571428571</v>
      </c>
      <c r="S254" s="37" t="n">
        <v>0</v>
      </c>
    </row>
    <row r="255" customFormat="false" ht="15" hidden="false" customHeight="false" outlineLevel="0" collapsed="false">
      <c r="A255" s="37" t="n">
        <v>0</v>
      </c>
      <c r="B255" s="37" t="n">
        <v>0</v>
      </c>
      <c r="C255" s="37" t="n">
        <v>10</v>
      </c>
      <c r="D255" s="37" t="n">
        <v>0</v>
      </c>
      <c r="E255" s="37" t="n">
        <v>5</v>
      </c>
      <c r="F255" s="37" t="n">
        <v>15</v>
      </c>
      <c r="G255" s="37" t="s">
        <v>188</v>
      </c>
      <c r="H255" s="38" t="n">
        <v>198.57322143692</v>
      </c>
      <c r="I255" s="38" t="n">
        <v>199.922370173186</v>
      </c>
      <c r="J255" s="38" t="n">
        <v>209.585259213875</v>
      </c>
      <c r="K255" s="38" t="n">
        <v>251.932243214535</v>
      </c>
      <c r="L255" s="38" t="n">
        <v>169.105756319651</v>
      </c>
      <c r="M255" s="38" t="n">
        <v>104.635786105124</v>
      </c>
      <c r="N255" s="38" t="n">
        <v>124.979783650251</v>
      </c>
      <c r="O255" s="38" t="n">
        <v>69.2834268974642</v>
      </c>
      <c r="P255" s="37" t="n">
        <v>0</v>
      </c>
      <c r="Q255" s="38" t="n">
        <v>0</v>
      </c>
      <c r="R255" s="38" t="n">
        <v>70.5</v>
      </c>
      <c r="S255" s="37" t="n">
        <v>0</v>
      </c>
    </row>
    <row r="256" customFormat="false" ht="15" hidden="false" customHeight="false" outlineLevel="0" collapsed="false">
      <c r="A256" s="37" t="n">
        <v>0</v>
      </c>
      <c r="B256" s="37" t="n">
        <v>0</v>
      </c>
      <c r="C256" s="37" t="n">
        <v>10</v>
      </c>
      <c r="D256" s="37" t="n">
        <v>0</v>
      </c>
      <c r="E256" s="37" t="n">
        <v>5</v>
      </c>
      <c r="F256" s="37" t="n">
        <v>15</v>
      </c>
      <c r="G256" s="37" t="s">
        <v>192</v>
      </c>
      <c r="H256" s="38" t="n">
        <v>198.57322143692</v>
      </c>
      <c r="I256" s="38" t="n">
        <v>199.916253261841</v>
      </c>
      <c r="J256" s="38" t="n">
        <v>211.822248785903</v>
      </c>
      <c r="K256" s="38" t="n">
        <v>254.776429495479</v>
      </c>
      <c r="L256" s="38" t="n">
        <v>173.869674086777</v>
      </c>
      <c r="M256" s="38" t="n">
        <v>101.607661496464</v>
      </c>
      <c r="N256" s="38" t="n">
        <v>124.47037403635</v>
      </c>
      <c r="O256" s="38" t="n">
        <v>68.1908836362247</v>
      </c>
      <c r="P256" s="37" t="n">
        <v>0</v>
      </c>
      <c r="Q256" s="38" t="n">
        <v>0</v>
      </c>
      <c r="R256" s="38" t="n">
        <v>70.5</v>
      </c>
      <c r="S256" s="37" t="n">
        <v>0</v>
      </c>
    </row>
    <row r="257" customFormat="false" ht="15" hidden="false" customHeight="false" outlineLevel="0" collapsed="false">
      <c r="A257" s="37" t="n">
        <v>0</v>
      </c>
      <c r="B257" s="37" t="n">
        <v>0</v>
      </c>
      <c r="C257" s="37" t="n">
        <v>10</v>
      </c>
      <c r="D257" s="37" t="n">
        <v>0</v>
      </c>
      <c r="E257" s="37" t="n">
        <v>5</v>
      </c>
      <c r="F257" s="37" t="n">
        <v>15</v>
      </c>
      <c r="G257" s="37" t="s">
        <v>195</v>
      </c>
      <c r="H257" s="38" t="n">
        <v>198.57322143692</v>
      </c>
      <c r="I257" s="38" t="n">
        <v>199.961655501352</v>
      </c>
      <c r="J257" s="38" t="n">
        <v>207.974509635321</v>
      </c>
      <c r="K257" s="38" t="n">
        <v>246.923205342663</v>
      </c>
      <c r="L257" s="38" t="n">
        <v>168.505948109186</v>
      </c>
      <c r="M257" s="38" t="n">
        <v>104.702430654999</v>
      </c>
      <c r="N257" s="38" t="n">
        <v>121.156413311106</v>
      </c>
      <c r="O257" s="38" t="n">
        <v>67.7261545163647</v>
      </c>
      <c r="P257" s="37" t="n">
        <v>0</v>
      </c>
      <c r="Q257" s="38" t="n">
        <v>0</v>
      </c>
      <c r="R257" s="38" t="n">
        <v>68.649822829957</v>
      </c>
      <c r="S257" s="37" t="n">
        <v>0</v>
      </c>
    </row>
    <row r="258" customFormat="false" ht="15" hidden="false" customHeight="false" outlineLevel="0" collapsed="false">
      <c r="A258" s="37" t="n">
        <v>0</v>
      </c>
      <c r="B258" s="37" t="n">
        <v>0</v>
      </c>
      <c r="C258" s="37" t="n">
        <v>10</v>
      </c>
      <c r="D258" s="37" t="n">
        <v>0</v>
      </c>
      <c r="E258" s="37" t="n">
        <v>5</v>
      </c>
      <c r="F258" s="37" t="n">
        <v>15</v>
      </c>
      <c r="G258" s="37" t="s">
        <v>197</v>
      </c>
      <c r="H258" s="38" t="n">
        <v>198.57322143692</v>
      </c>
      <c r="I258" s="38" t="n">
        <v>199.923369511105</v>
      </c>
      <c r="J258" s="38" t="n">
        <v>211.452745845207</v>
      </c>
      <c r="K258" s="38" t="n">
        <v>254.422890041228</v>
      </c>
      <c r="L258" s="38" t="n">
        <v>172.522350904504</v>
      </c>
      <c r="M258" s="38" t="n">
        <v>105.44366947638</v>
      </c>
      <c r="N258" s="38" t="n">
        <v>125.324450036935</v>
      </c>
      <c r="O258" s="38" t="n">
        <v>71.4964803460562</v>
      </c>
      <c r="P258" s="37" t="n">
        <v>0</v>
      </c>
      <c r="Q258" s="38" t="n">
        <v>0</v>
      </c>
      <c r="R258" s="38" t="n">
        <v>70.5</v>
      </c>
      <c r="S258" s="37" t="n">
        <v>1</v>
      </c>
    </row>
    <row r="259" customFormat="false" ht="15" hidden="false" customHeight="false" outlineLevel="0" collapsed="false">
      <c r="A259" s="37" t="n">
        <v>0</v>
      </c>
      <c r="B259" s="37" t="n">
        <v>0</v>
      </c>
      <c r="C259" s="37" t="n">
        <v>10</v>
      </c>
      <c r="D259" s="37" t="n">
        <v>0</v>
      </c>
      <c r="E259" s="37" t="n">
        <v>5</v>
      </c>
      <c r="F259" s="37" t="n">
        <v>15</v>
      </c>
      <c r="G259" s="37" t="s">
        <v>196</v>
      </c>
      <c r="H259" s="38" t="n">
        <v>198.57322143692</v>
      </c>
      <c r="I259" s="38" t="n">
        <v>199.916799974525</v>
      </c>
      <c r="J259" s="38" t="n">
        <v>211.304314685972</v>
      </c>
      <c r="K259" s="38" t="n">
        <v>254.213504074632</v>
      </c>
      <c r="L259" s="38" t="n">
        <v>178.174853280981</v>
      </c>
      <c r="M259" s="38" t="n">
        <v>103.988721701239</v>
      </c>
      <c r="N259" s="38" t="n">
        <v>124.524224923339</v>
      </c>
      <c r="O259" s="38" t="n">
        <v>69.7520443750086</v>
      </c>
      <c r="P259" s="37" t="n">
        <v>0</v>
      </c>
      <c r="Q259" s="38" t="n">
        <v>0</v>
      </c>
      <c r="R259" s="38" t="n">
        <v>69.6040571428571</v>
      </c>
      <c r="S259" s="37" t="n">
        <v>0</v>
      </c>
    </row>
    <row r="260" customFormat="false" ht="15" hidden="false" customHeight="false" outlineLevel="0" collapsed="false">
      <c r="A260" s="37" t="n">
        <v>0</v>
      </c>
      <c r="B260" s="37" t="n">
        <v>0</v>
      </c>
      <c r="C260" s="37" t="n">
        <v>10</v>
      </c>
      <c r="D260" s="37" t="n">
        <v>0</v>
      </c>
      <c r="E260" s="37" t="n">
        <v>10</v>
      </c>
      <c r="F260" s="37" t="n">
        <v>10</v>
      </c>
      <c r="G260" s="37" t="s">
        <v>188</v>
      </c>
      <c r="H260" s="38" t="n">
        <v>198.587295743941</v>
      </c>
      <c r="I260" s="38" t="n">
        <v>200.102312482477</v>
      </c>
      <c r="J260" s="38" t="n">
        <v>211.627428019162</v>
      </c>
      <c r="K260" s="38" t="n">
        <v>255.306833954386</v>
      </c>
      <c r="L260" s="38" t="n">
        <v>132.68523807564</v>
      </c>
      <c r="M260" s="38" t="n">
        <v>105.65253654484</v>
      </c>
      <c r="N260" s="38" t="n">
        <v>130.082242872739</v>
      </c>
      <c r="O260" s="38" t="n">
        <v>69.5148460709828</v>
      </c>
      <c r="P260" s="37" t="n">
        <v>0</v>
      </c>
      <c r="Q260" s="38" t="n">
        <v>0</v>
      </c>
      <c r="R260" s="38" t="n">
        <v>70.5</v>
      </c>
      <c r="S260" s="37" t="n">
        <v>0</v>
      </c>
    </row>
    <row r="261" customFormat="false" ht="15" hidden="false" customHeight="false" outlineLevel="0" collapsed="false">
      <c r="A261" s="37" t="n">
        <v>0</v>
      </c>
      <c r="B261" s="37" t="n">
        <v>0</v>
      </c>
      <c r="C261" s="37" t="n">
        <v>10</v>
      </c>
      <c r="D261" s="37" t="n">
        <v>0</v>
      </c>
      <c r="E261" s="37" t="n">
        <v>10</v>
      </c>
      <c r="F261" s="37" t="n">
        <v>10</v>
      </c>
      <c r="G261" s="37" t="s">
        <v>192</v>
      </c>
      <c r="H261" s="38" t="n">
        <v>198.587295743941</v>
      </c>
      <c r="I261" s="38" t="n">
        <v>200.094730521704</v>
      </c>
      <c r="J261" s="38" t="n">
        <v>213.749236212828</v>
      </c>
      <c r="K261" s="38" t="n">
        <v>257.985589101248</v>
      </c>
      <c r="L261" s="38" t="n">
        <v>137.058160858812</v>
      </c>
      <c r="M261" s="38" t="n">
        <v>102.618245694634</v>
      </c>
      <c r="N261" s="38" t="n">
        <v>129.314842345881</v>
      </c>
      <c r="O261" s="38" t="n">
        <v>69.9475691184102</v>
      </c>
      <c r="P261" s="37" t="n">
        <v>0</v>
      </c>
      <c r="Q261" s="38" t="n">
        <v>0</v>
      </c>
      <c r="R261" s="38" t="n">
        <v>70.5</v>
      </c>
      <c r="S261" s="37" t="n">
        <v>0</v>
      </c>
    </row>
    <row r="262" customFormat="false" ht="15" hidden="false" customHeight="false" outlineLevel="0" collapsed="false">
      <c r="A262" s="37" t="n">
        <v>0</v>
      </c>
      <c r="B262" s="37" t="n">
        <v>0</v>
      </c>
      <c r="C262" s="37" t="n">
        <v>10</v>
      </c>
      <c r="D262" s="37" t="n">
        <v>0</v>
      </c>
      <c r="E262" s="37" t="n">
        <v>10</v>
      </c>
      <c r="F262" s="37" t="n">
        <v>10</v>
      </c>
      <c r="G262" s="37" t="s">
        <v>195</v>
      </c>
      <c r="H262" s="38" t="n">
        <v>198.587295743941</v>
      </c>
      <c r="I262" s="38" t="n">
        <v>200.146899805423</v>
      </c>
      <c r="J262" s="38" t="n">
        <v>209.980528765745</v>
      </c>
      <c r="K262" s="38" t="n">
        <v>250.255008137774</v>
      </c>
      <c r="L262" s="38" t="n">
        <v>131.785848359372</v>
      </c>
      <c r="M262" s="38" t="n">
        <v>105.729331925521</v>
      </c>
      <c r="N262" s="38" t="n">
        <v>126.254672770578</v>
      </c>
      <c r="O262" s="38" t="n">
        <v>68.1769740972016</v>
      </c>
      <c r="P262" s="37" t="n">
        <v>0</v>
      </c>
      <c r="Q262" s="38" t="n">
        <v>0</v>
      </c>
      <c r="R262" s="38" t="n">
        <v>68.6342520664795</v>
      </c>
      <c r="S262" s="37" t="n">
        <v>0</v>
      </c>
    </row>
    <row r="263" customFormat="false" ht="15" hidden="false" customHeight="false" outlineLevel="0" collapsed="false">
      <c r="A263" s="37" t="n">
        <v>0</v>
      </c>
      <c r="B263" s="37" t="n">
        <v>0</v>
      </c>
      <c r="C263" s="37" t="n">
        <v>10</v>
      </c>
      <c r="D263" s="37" t="n">
        <v>0</v>
      </c>
      <c r="E263" s="37" t="n">
        <v>10</v>
      </c>
      <c r="F263" s="37" t="n">
        <v>10</v>
      </c>
      <c r="G263" s="37" t="s">
        <v>197</v>
      </c>
      <c r="H263" s="38" t="n">
        <v>198.587295743941</v>
      </c>
      <c r="I263" s="38" t="n">
        <v>200.123403394377</v>
      </c>
      <c r="J263" s="38" t="n">
        <v>214.343000724299</v>
      </c>
      <c r="K263" s="38" t="n">
        <v>259.012082462388</v>
      </c>
      <c r="L263" s="38" t="n">
        <v>137.820749663654</v>
      </c>
      <c r="M263" s="38" t="n">
        <v>109.209811268863</v>
      </c>
      <c r="N263" s="38" t="n">
        <v>138.786114311425</v>
      </c>
      <c r="O263" s="38" t="n">
        <v>74.903149187088</v>
      </c>
      <c r="P263" s="37" t="n">
        <v>0</v>
      </c>
      <c r="Q263" s="38" t="n">
        <v>0</v>
      </c>
      <c r="R263" s="38" t="n">
        <v>70.5</v>
      </c>
      <c r="S263" s="37" t="n">
        <v>1</v>
      </c>
    </row>
    <row r="264" customFormat="false" ht="15" hidden="false" customHeight="false" outlineLevel="0" collapsed="false">
      <c r="A264" s="37" t="n">
        <v>0</v>
      </c>
      <c r="B264" s="37" t="n">
        <v>0</v>
      </c>
      <c r="C264" s="37" t="n">
        <v>10</v>
      </c>
      <c r="D264" s="37" t="n">
        <v>0</v>
      </c>
      <c r="E264" s="37" t="n">
        <v>10</v>
      </c>
      <c r="F264" s="37" t="n">
        <v>10</v>
      </c>
      <c r="G264" s="37" t="s">
        <v>196</v>
      </c>
      <c r="H264" s="38" t="n">
        <v>198.587295743941</v>
      </c>
      <c r="I264" s="38" t="n">
        <v>200.099295861267</v>
      </c>
      <c r="J264" s="38" t="n">
        <v>213.283969087247</v>
      </c>
      <c r="K264" s="38" t="n">
        <v>257.53159954031</v>
      </c>
      <c r="L264" s="38" t="n">
        <v>141.462684846131</v>
      </c>
      <c r="M264" s="38" t="n">
        <v>105.574762753745</v>
      </c>
      <c r="N264" s="38" t="n">
        <v>130.891592961861</v>
      </c>
      <c r="O264" s="38" t="n">
        <v>72.1572679757215</v>
      </c>
      <c r="P264" s="37" t="n">
        <v>0</v>
      </c>
      <c r="Q264" s="38" t="n">
        <v>0</v>
      </c>
      <c r="R264" s="38" t="n">
        <v>69.5967938067303</v>
      </c>
      <c r="S264" s="37" t="n">
        <v>0</v>
      </c>
    </row>
    <row r="265" customFormat="false" ht="15" hidden="false" customHeight="false" outlineLevel="0" collapsed="false">
      <c r="A265" s="37" t="n">
        <v>0</v>
      </c>
      <c r="B265" s="37" t="n">
        <v>0</v>
      </c>
      <c r="C265" s="37" t="n">
        <v>10</v>
      </c>
      <c r="D265" s="37" t="n">
        <v>0</v>
      </c>
      <c r="E265" s="37" t="n">
        <v>15</v>
      </c>
      <c r="F265" s="37" t="n">
        <v>5</v>
      </c>
      <c r="G265" s="37" t="s">
        <v>188</v>
      </c>
      <c r="H265" s="38" t="n">
        <v>198.60173539407</v>
      </c>
      <c r="I265" s="38" t="n">
        <v>200.227104585353</v>
      </c>
      <c r="J265" s="38" t="n">
        <v>212.990602389779</v>
      </c>
      <c r="K265" s="38" t="n">
        <v>257.561180456751</v>
      </c>
      <c r="L265" s="38" t="n">
        <v>95.1138990673996</v>
      </c>
      <c r="M265" s="38" t="n">
        <v>106.419067070447</v>
      </c>
      <c r="N265" s="38" t="n">
        <v>133.456162610151</v>
      </c>
      <c r="O265" s="38" t="n">
        <v>68.8803656815464</v>
      </c>
      <c r="P265" s="37" t="n">
        <v>0</v>
      </c>
      <c r="Q265" s="38" t="n">
        <v>0</v>
      </c>
      <c r="R265" s="38" t="n">
        <v>70.5</v>
      </c>
      <c r="S265" s="37" t="n">
        <v>0</v>
      </c>
    </row>
    <row r="266" customFormat="false" ht="15" hidden="false" customHeight="false" outlineLevel="0" collapsed="false">
      <c r="A266" s="37" t="n">
        <v>0</v>
      </c>
      <c r="B266" s="37" t="n">
        <v>0</v>
      </c>
      <c r="C266" s="37" t="n">
        <v>10</v>
      </c>
      <c r="D266" s="37" t="n">
        <v>0</v>
      </c>
      <c r="E266" s="37" t="n">
        <v>15</v>
      </c>
      <c r="F266" s="37" t="n">
        <v>5</v>
      </c>
      <c r="G266" s="37" t="s">
        <v>192</v>
      </c>
      <c r="H266" s="38" t="n">
        <v>198.60173539407</v>
      </c>
      <c r="I266" s="38" t="n">
        <v>200.219948024314</v>
      </c>
      <c r="J266" s="38" t="n">
        <v>215.040718342242</v>
      </c>
      <c r="K266" s="38" t="n">
        <v>260.142169072773</v>
      </c>
      <c r="L266" s="38" t="n">
        <v>99.1953837150546</v>
      </c>
      <c r="M266" s="38" t="n">
        <v>103.386040933851</v>
      </c>
      <c r="N266" s="38" t="n">
        <v>132.569675900669</v>
      </c>
      <c r="O266" s="38" t="n">
        <v>69.4178288579529</v>
      </c>
      <c r="P266" s="37" t="n">
        <v>0</v>
      </c>
      <c r="Q266" s="38" t="n">
        <v>0</v>
      </c>
      <c r="R266" s="38" t="n">
        <v>70.5</v>
      </c>
      <c r="S266" s="37" t="n">
        <v>0</v>
      </c>
    </row>
    <row r="267" customFormat="false" ht="15" hidden="false" customHeight="false" outlineLevel="0" collapsed="false">
      <c r="A267" s="37" t="n">
        <v>0</v>
      </c>
      <c r="B267" s="37" t="n">
        <v>0</v>
      </c>
      <c r="C267" s="37" t="n">
        <v>10</v>
      </c>
      <c r="D267" s="37" t="n">
        <v>0</v>
      </c>
      <c r="E267" s="37" t="n">
        <v>15</v>
      </c>
      <c r="F267" s="37" t="n">
        <v>5</v>
      </c>
      <c r="G267" s="37" t="s">
        <v>195</v>
      </c>
      <c r="H267" s="38" t="n">
        <v>198.60173539407</v>
      </c>
      <c r="I267" s="38" t="n">
        <v>200.279359398606</v>
      </c>
      <c r="J267" s="38" t="n">
        <v>211.365650104999</v>
      </c>
      <c r="K267" s="38" t="n">
        <v>252.564368231498</v>
      </c>
      <c r="L267" s="38" t="n">
        <v>94.0384469871398</v>
      </c>
      <c r="M267" s="38" t="n">
        <v>106.515160244202</v>
      </c>
      <c r="N267" s="38" t="n">
        <v>129.72643269712</v>
      </c>
      <c r="O267" s="38" t="n">
        <v>67.7814202253703</v>
      </c>
      <c r="P267" s="37" t="n">
        <v>0</v>
      </c>
      <c r="Q267" s="38" t="n">
        <v>0</v>
      </c>
      <c r="R267" s="38" t="n">
        <v>68.6172236266925</v>
      </c>
      <c r="S267" s="37" t="n">
        <v>0</v>
      </c>
    </row>
    <row r="268" customFormat="false" ht="15" hidden="false" customHeight="false" outlineLevel="0" collapsed="false">
      <c r="A268" s="37" t="n">
        <v>0</v>
      </c>
      <c r="B268" s="37" t="n">
        <v>0</v>
      </c>
      <c r="C268" s="37" t="n">
        <v>10</v>
      </c>
      <c r="D268" s="37" t="n">
        <v>0</v>
      </c>
      <c r="E268" s="37" t="n">
        <v>15</v>
      </c>
      <c r="F268" s="37" t="n">
        <v>5</v>
      </c>
      <c r="G268" s="37" t="s">
        <v>197</v>
      </c>
      <c r="H268" s="38" t="n">
        <v>198.60173539407</v>
      </c>
      <c r="I268" s="38" t="n">
        <v>200.266652016831</v>
      </c>
      <c r="J268" s="38" t="n">
        <v>216.362369837561</v>
      </c>
      <c r="K268" s="38" t="n">
        <v>262.213290435893</v>
      </c>
      <c r="L268" s="38" t="n">
        <v>101.489870598795</v>
      </c>
      <c r="M268" s="38" t="n">
        <v>111.665854713688</v>
      </c>
      <c r="N268" s="38" t="n">
        <v>144.2465157681</v>
      </c>
      <c r="O268" s="38" t="n">
        <v>74.8634939345325</v>
      </c>
      <c r="P268" s="37" t="n">
        <v>0</v>
      </c>
      <c r="Q268" s="38" t="n">
        <v>0</v>
      </c>
      <c r="R268" s="38" t="n">
        <v>70.5</v>
      </c>
      <c r="S268" s="37" t="n">
        <v>1</v>
      </c>
    </row>
    <row r="269" customFormat="false" ht="15" hidden="false" customHeight="false" outlineLevel="0" collapsed="false">
      <c r="A269" s="37" t="n">
        <v>0</v>
      </c>
      <c r="B269" s="37" t="n">
        <v>0</v>
      </c>
      <c r="C269" s="37" t="n">
        <v>10</v>
      </c>
      <c r="D269" s="37" t="n">
        <v>0</v>
      </c>
      <c r="E269" s="37" t="n">
        <v>15</v>
      </c>
      <c r="F269" s="37" t="n">
        <v>5</v>
      </c>
      <c r="G269" s="37" t="s">
        <v>196</v>
      </c>
      <c r="H269" s="38" t="n">
        <v>198.60173539407</v>
      </c>
      <c r="I269" s="38" t="n">
        <v>200.22602869519</v>
      </c>
      <c r="J269" s="38" t="n">
        <v>214.577966254966</v>
      </c>
      <c r="K269" s="38" t="n">
        <v>259.713582085049</v>
      </c>
      <c r="L269" s="38" t="n">
        <v>103.581088115242</v>
      </c>
      <c r="M269" s="38" t="n">
        <v>106.695117948522</v>
      </c>
      <c r="N269" s="38" t="n">
        <v>134.371233604539</v>
      </c>
      <c r="O269" s="38" t="n">
        <v>71.5042725769158</v>
      </c>
      <c r="P269" s="37" t="n">
        <v>0</v>
      </c>
      <c r="Q269" s="38" t="n">
        <v>0</v>
      </c>
      <c r="R269" s="38" t="n">
        <v>69.5815347805797</v>
      </c>
      <c r="S269" s="37" t="n">
        <v>0</v>
      </c>
    </row>
    <row r="270" customFormat="false" ht="15" hidden="false" customHeight="false" outlineLevel="0" collapsed="false">
      <c r="A270" s="37" t="n">
        <v>0</v>
      </c>
      <c r="B270" s="37" t="n">
        <v>0</v>
      </c>
      <c r="C270" s="37" t="n">
        <v>10</v>
      </c>
      <c r="D270" s="37" t="n">
        <v>0</v>
      </c>
      <c r="E270" s="37" t="n">
        <v>20</v>
      </c>
      <c r="F270" s="37" t="n">
        <v>0</v>
      </c>
      <c r="G270" s="37" t="s">
        <v>188</v>
      </c>
      <c r="H270" s="38" t="n">
        <v>198.618076078173</v>
      </c>
      <c r="I270" s="38" t="n">
        <v>200.343169082832</v>
      </c>
      <c r="J270" s="38" t="n">
        <v>214.166274883186</v>
      </c>
      <c r="K270" s="38" t="n">
        <v>259.555431567922</v>
      </c>
      <c r="L270" s="38" t="n">
        <v>57.2716399386646</v>
      </c>
      <c r="M270" s="38" t="n">
        <v>107.146528301835</v>
      </c>
      <c r="N270" s="38" t="n">
        <v>136.312852995264</v>
      </c>
      <c r="O270" s="38" t="n">
        <v>69.4831567534756</v>
      </c>
      <c r="P270" s="37" t="n">
        <v>0</v>
      </c>
      <c r="Q270" s="38" t="n">
        <v>0</v>
      </c>
      <c r="R270" s="38" t="n">
        <v>70.5</v>
      </c>
      <c r="S270" s="37" t="n">
        <v>0</v>
      </c>
    </row>
    <row r="271" customFormat="false" ht="15" hidden="false" customHeight="false" outlineLevel="0" collapsed="false">
      <c r="A271" s="37" t="n">
        <v>0</v>
      </c>
      <c r="B271" s="37" t="n">
        <v>0</v>
      </c>
      <c r="C271" s="37" t="n">
        <v>10</v>
      </c>
      <c r="D271" s="37" t="n">
        <v>0</v>
      </c>
      <c r="E271" s="37" t="n">
        <v>20</v>
      </c>
      <c r="F271" s="37" t="n">
        <v>0</v>
      </c>
      <c r="G271" s="37" t="s">
        <v>192</v>
      </c>
      <c r="H271" s="38" t="n">
        <v>198.618076078173</v>
      </c>
      <c r="I271" s="38" t="n">
        <v>200.336440105047</v>
      </c>
      <c r="J271" s="38" t="n">
        <v>216.17116800128</v>
      </c>
      <c r="K271" s="38" t="n">
        <v>262.079069641828</v>
      </c>
      <c r="L271" s="38" t="n">
        <v>61.1130128724359</v>
      </c>
      <c r="M271" s="38" t="n">
        <v>104.114835105152</v>
      </c>
      <c r="N271" s="38" t="n">
        <v>135.334797849479</v>
      </c>
      <c r="O271" s="38" t="n">
        <v>68.8146766674704</v>
      </c>
      <c r="P271" s="37" t="n">
        <v>0</v>
      </c>
      <c r="Q271" s="38" t="n">
        <v>0</v>
      </c>
      <c r="R271" s="38" t="n">
        <v>70.5</v>
      </c>
      <c r="S271" s="37" t="n">
        <v>0</v>
      </c>
    </row>
    <row r="272" customFormat="false" ht="15" hidden="false" customHeight="false" outlineLevel="0" collapsed="false">
      <c r="A272" s="37" t="n">
        <v>0</v>
      </c>
      <c r="B272" s="37" t="n">
        <v>0</v>
      </c>
      <c r="C272" s="37" t="n">
        <v>10</v>
      </c>
      <c r="D272" s="37" t="n">
        <v>0</v>
      </c>
      <c r="E272" s="37" t="n">
        <v>20</v>
      </c>
      <c r="F272" s="37" t="n">
        <v>0</v>
      </c>
      <c r="G272" s="37" t="s">
        <v>195</v>
      </c>
      <c r="H272" s="38" t="n">
        <v>198.618076078173</v>
      </c>
      <c r="I272" s="38" t="n">
        <v>200.403027656142</v>
      </c>
      <c r="J272" s="38" t="n">
        <v>212.582623476524</v>
      </c>
      <c r="K272" s="38" t="n">
        <v>254.644671580741</v>
      </c>
      <c r="L272" s="38" t="n">
        <v>56.0619070877226</v>
      </c>
      <c r="M272" s="38" t="n">
        <v>107.261952814811</v>
      </c>
      <c r="N272" s="38" t="n">
        <v>132.613657544167</v>
      </c>
      <c r="O272" s="38" t="n">
        <v>67.2973661093346</v>
      </c>
      <c r="P272" s="37" t="n">
        <v>0</v>
      </c>
      <c r="Q272" s="38" t="n">
        <v>0</v>
      </c>
      <c r="R272" s="38" t="n">
        <v>68.6001706520945</v>
      </c>
      <c r="S272" s="37" t="n">
        <v>0</v>
      </c>
    </row>
    <row r="273" customFormat="false" ht="15" hidden="false" customHeight="false" outlineLevel="0" collapsed="false">
      <c r="A273" s="37" t="n">
        <v>0</v>
      </c>
      <c r="B273" s="37" t="n">
        <v>0</v>
      </c>
      <c r="C273" s="37" t="n">
        <v>10</v>
      </c>
      <c r="D273" s="37" t="n">
        <v>0</v>
      </c>
      <c r="E273" s="37" t="n">
        <v>20</v>
      </c>
      <c r="F273" s="37" t="n">
        <v>0</v>
      </c>
      <c r="G273" s="37" t="s">
        <v>197</v>
      </c>
      <c r="H273" s="38" t="n">
        <v>198.618076078173</v>
      </c>
      <c r="I273" s="38" t="n">
        <v>200.403643343011</v>
      </c>
      <c r="J273" s="38" t="n">
        <v>216.546177451782</v>
      </c>
      <c r="K273" s="38" t="n">
        <v>263.066353512555</v>
      </c>
      <c r="L273" s="38" t="n">
        <v>71.5663535125547</v>
      </c>
      <c r="M273" s="38" t="n">
        <v>114.048826325867</v>
      </c>
      <c r="N273" s="38" t="n">
        <v>144.178792087163</v>
      </c>
      <c r="O273" s="38" t="n">
        <v>73.8234087172653</v>
      </c>
      <c r="P273" s="37" t="n">
        <v>0</v>
      </c>
      <c r="Q273" s="38" t="n">
        <v>0</v>
      </c>
      <c r="R273" s="38" t="n">
        <v>70.5</v>
      </c>
      <c r="S273" s="37" t="n">
        <v>1</v>
      </c>
    </row>
    <row r="274" customFormat="false" ht="15" hidden="false" customHeight="false" outlineLevel="0" collapsed="false">
      <c r="A274" s="37" t="n">
        <v>0</v>
      </c>
      <c r="B274" s="37" t="n">
        <v>0</v>
      </c>
      <c r="C274" s="37" t="n">
        <v>10</v>
      </c>
      <c r="D274" s="37" t="n">
        <v>0</v>
      </c>
      <c r="E274" s="37" t="n">
        <v>20</v>
      </c>
      <c r="F274" s="37" t="n">
        <v>0</v>
      </c>
      <c r="G274" s="37" t="s">
        <v>196</v>
      </c>
      <c r="H274" s="38" t="n">
        <v>198.618076078173</v>
      </c>
      <c r="I274" s="38" t="n">
        <v>200.342450198094</v>
      </c>
      <c r="J274" s="38" t="n">
        <v>215.656243689558</v>
      </c>
      <c r="K274" s="38" t="n">
        <v>261.592574333678</v>
      </c>
      <c r="L274" s="38" t="n">
        <v>65.3790987040746</v>
      </c>
      <c r="M274" s="38" t="n">
        <v>107.760209264236</v>
      </c>
      <c r="N274" s="38" t="n">
        <v>137.121788824727</v>
      </c>
      <c r="O274" s="38" t="n">
        <v>70.7167644866025</v>
      </c>
      <c r="P274" s="37" t="n">
        <v>0</v>
      </c>
      <c r="Q274" s="38" t="n">
        <v>0</v>
      </c>
      <c r="R274" s="38" t="n">
        <v>69.5620991822284</v>
      </c>
      <c r="S274" s="37" t="n">
        <v>0</v>
      </c>
    </row>
    <row r="275" customFormat="false" ht="15" hidden="false" customHeight="false" outlineLevel="0" collapsed="false">
      <c r="A275" s="37" t="n">
        <v>0</v>
      </c>
      <c r="B275" s="37" t="n">
        <v>0</v>
      </c>
      <c r="C275" s="37" t="n">
        <v>10</v>
      </c>
      <c r="D275" s="37" t="n">
        <v>5</v>
      </c>
      <c r="E275" s="37" t="n">
        <v>0</v>
      </c>
      <c r="F275" s="37" t="n">
        <v>15</v>
      </c>
      <c r="G275" s="37" t="s">
        <v>188</v>
      </c>
      <c r="H275" s="38" t="n">
        <v>198.803938047233</v>
      </c>
      <c r="I275" s="38" t="n">
        <v>201.634416249302</v>
      </c>
      <c r="J275" s="38" t="n">
        <v>217.107088409991</v>
      </c>
      <c r="K275" s="38" t="n">
        <v>255.720640400162</v>
      </c>
      <c r="L275" s="38" t="n">
        <v>173.885966454335</v>
      </c>
      <c r="M275" s="38" t="n">
        <v>106.117496379857</v>
      </c>
      <c r="N275" s="38" t="n">
        <v>127.500074330028</v>
      </c>
      <c r="O275" s="38" t="n">
        <v>75.6712932374803</v>
      </c>
      <c r="P275" s="37" t="n">
        <v>0</v>
      </c>
      <c r="Q275" s="38" t="n">
        <v>0</v>
      </c>
      <c r="R275" s="38" t="n">
        <v>72</v>
      </c>
      <c r="S275" s="37" t="n">
        <v>0</v>
      </c>
    </row>
    <row r="276" customFormat="false" ht="15" hidden="false" customHeight="false" outlineLevel="0" collapsed="false">
      <c r="A276" s="37" t="n">
        <v>0</v>
      </c>
      <c r="B276" s="37" t="n">
        <v>0</v>
      </c>
      <c r="C276" s="37" t="n">
        <v>10</v>
      </c>
      <c r="D276" s="37" t="n">
        <v>5</v>
      </c>
      <c r="E276" s="37" t="n">
        <v>0</v>
      </c>
      <c r="F276" s="37" t="n">
        <v>15</v>
      </c>
      <c r="G276" s="37" t="s">
        <v>192</v>
      </c>
      <c r="H276" s="38" t="n">
        <v>198.803938047233</v>
      </c>
      <c r="I276" s="38" t="n">
        <v>201.622847524424</v>
      </c>
      <c r="J276" s="38" t="n">
        <v>218.963629983294</v>
      </c>
      <c r="K276" s="38" t="n">
        <v>258.023742913298</v>
      </c>
      <c r="L276" s="38" t="n">
        <v>177.530855228823</v>
      </c>
      <c r="M276" s="38" t="n">
        <v>103.075846358953</v>
      </c>
      <c r="N276" s="38" t="n">
        <v>126.384720053881</v>
      </c>
      <c r="O276" s="38" t="n">
        <v>74.0072168255859</v>
      </c>
      <c r="P276" s="37" t="n">
        <v>0</v>
      </c>
      <c r="Q276" s="38" t="n">
        <v>0</v>
      </c>
      <c r="R276" s="38" t="n">
        <v>72</v>
      </c>
      <c r="S276" s="37" t="n">
        <v>0</v>
      </c>
    </row>
    <row r="277" customFormat="false" ht="15" hidden="false" customHeight="false" outlineLevel="0" collapsed="false">
      <c r="A277" s="37" t="n">
        <v>0</v>
      </c>
      <c r="B277" s="37" t="n">
        <v>0</v>
      </c>
      <c r="C277" s="37" t="n">
        <v>10</v>
      </c>
      <c r="D277" s="37" t="n">
        <v>5</v>
      </c>
      <c r="E277" s="37" t="n">
        <v>0</v>
      </c>
      <c r="F277" s="37" t="n">
        <v>15</v>
      </c>
      <c r="G277" s="37" t="s">
        <v>195</v>
      </c>
      <c r="H277" s="38" t="n">
        <v>198.803938047233</v>
      </c>
      <c r="I277" s="38" t="n">
        <v>201.780850073901</v>
      </c>
      <c r="J277" s="38" t="n">
        <v>218.68435666716</v>
      </c>
      <c r="K277" s="38" t="n">
        <v>255.945938425979</v>
      </c>
      <c r="L277" s="38" t="n">
        <v>178.955655562436</v>
      </c>
      <c r="M277" s="38" t="n">
        <v>108.029345918842</v>
      </c>
      <c r="N277" s="38" t="n">
        <v>132.048443993917</v>
      </c>
      <c r="O277" s="38" t="n">
        <v>77.0252526804268</v>
      </c>
      <c r="P277" s="37" t="n">
        <v>0</v>
      </c>
      <c r="Q277" s="38" t="n">
        <v>0</v>
      </c>
      <c r="R277" s="38" t="n">
        <v>70.577915140937</v>
      </c>
      <c r="S277" s="37" t="n">
        <v>1</v>
      </c>
    </row>
    <row r="278" customFormat="false" ht="15" hidden="false" customHeight="false" outlineLevel="0" collapsed="false">
      <c r="A278" s="37" t="n">
        <v>0</v>
      </c>
      <c r="B278" s="37" t="n">
        <v>0</v>
      </c>
      <c r="C278" s="37" t="n">
        <v>10</v>
      </c>
      <c r="D278" s="37" t="n">
        <v>5</v>
      </c>
      <c r="E278" s="37" t="n">
        <v>0</v>
      </c>
      <c r="F278" s="37" t="n">
        <v>15</v>
      </c>
      <c r="G278" s="37" t="s">
        <v>197</v>
      </c>
      <c r="H278" s="38" t="n">
        <v>198.803938047233</v>
      </c>
      <c r="I278" s="38" t="n">
        <v>201.61840535562</v>
      </c>
      <c r="J278" s="38" t="n">
        <v>217.957467649802</v>
      </c>
      <c r="K278" s="38" t="n">
        <v>256.684181507517</v>
      </c>
      <c r="L278" s="38" t="n">
        <v>174.481470007604</v>
      </c>
      <c r="M278" s="38" t="n">
        <v>103.507815680355</v>
      </c>
      <c r="N278" s="38" t="n">
        <v>117.690490127219</v>
      </c>
      <c r="O278" s="38" t="n">
        <v>73.4615839156873</v>
      </c>
      <c r="P278" s="37" t="n">
        <v>0</v>
      </c>
      <c r="Q278" s="38" t="n">
        <v>0</v>
      </c>
      <c r="R278" s="38" t="n">
        <v>72</v>
      </c>
      <c r="S278" s="37" t="n">
        <v>0</v>
      </c>
    </row>
    <row r="279" customFormat="false" ht="15" hidden="false" customHeight="false" outlineLevel="0" collapsed="false">
      <c r="A279" s="37" t="n">
        <v>0</v>
      </c>
      <c r="B279" s="37" t="n">
        <v>0</v>
      </c>
      <c r="C279" s="37" t="n">
        <v>10</v>
      </c>
      <c r="D279" s="37" t="n">
        <v>5</v>
      </c>
      <c r="E279" s="37" t="n">
        <v>0</v>
      </c>
      <c r="F279" s="37" t="n">
        <v>15</v>
      </c>
      <c r="G279" s="37" t="s">
        <v>196</v>
      </c>
      <c r="H279" s="38" t="n">
        <v>198.803938047233</v>
      </c>
      <c r="I279" s="38" t="n">
        <v>201.621572542882</v>
      </c>
      <c r="J279" s="38" t="n">
        <v>211.006614179366</v>
      </c>
      <c r="K279" s="38" t="n">
        <v>259.090389212542</v>
      </c>
      <c r="L279" s="38" t="n">
        <v>185.534833656986</v>
      </c>
      <c r="M279" s="38" t="n">
        <v>105.41875799399</v>
      </c>
      <c r="N279" s="38" t="n">
        <v>125.149173031044</v>
      </c>
      <c r="O279" s="38" t="n">
        <v>71.1978768294802</v>
      </c>
      <c r="P279" s="37" t="n">
        <v>0</v>
      </c>
      <c r="Q279" s="38" t="n">
        <v>0</v>
      </c>
      <c r="R279" s="38" t="n">
        <v>70.6403330573552</v>
      </c>
      <c r="S279" s="37" t="n">
        <v>0</v>
      </c>
    </row>
    <row r="280" customFormat="false" ht="15" hidden="false" customHeight="false" outlineLevel="0" collapsed="false">
      <c r="A280" s="37" t="n">
        <v>0</v>
      </c>
      <c r="B280" s="37" t="n">
        <v>0</v>
      </c>
      <c r="C280" s="37" t="n">
        <v>10</v>
      </c>
      <c r="D280" s="37" t="n">
        <v>5</v>
      </c>
      <c r="E280" s="37" t="n">
        <v>5</v>
      </c>
      <c r="F280" s="37" t="n">
        <v>10</v>
      </c>
      <c r="G280" s="37" t="s">
        <v>188</v>
      </c>
      <c r="H280" s="38" t="n">
        <v>198.809430798653</v>
      </c>
      <c r="I280" s="38" t="n">
        <v>201.754768204693</v>
      </c>
      <c r="J280" s="38" t="n">
        <v>219.969226943989</v>
      </c>
      <c r="K280" s="38" t="n">
        <v>259.84399296129</v>
      </c>
      <c r="L280" s="38" t="n">
        <v>138.211107681781</v>
      </c>
      <c r="M280" s="38" t="n">
        <v>107.12334090226</v>
      </c>
      <c r="N280" s="38" t="n">
        <v>134.321589597055</v>
      </c>
      <c r="O280" s="38" t="n">
        <v>76.3539342708484</v>
      </c>
      <c r="P280" s="37" t="n">
        <v>0</v>
      </c>
      <c r="Q280" s="38" t="n">
        <v>0</v>
      </c>
      <c r="R280" s="38" t="n">
        <v>72</v>
      </c>
      <c r="S280" s="37" t="n">
        <v>0</v>
      </c>
    </row>
    <row r="281" customFormat="false" ht="15" hidden="false" customHeight="false" outlineLevel="0" collapsed="false">
      <c r="A281" s="37" t="n">
        <v>0</v>
      </c>
      <c r="B281" s="37" t="n">
        <v>0</v>
      </c>
      <c r="C281" s="37" t="n">
        <v>10</v>
      </c>
      <c r="D281" s="37" t="n">
        <v>5</v>
      </c>
      <c r="E281" s="37" t="n">
        <v>5</v>
      </c>
      <c r="F281" s="37" t="n">
        <v>10</v>
      </c>
      <c r="G281" s="37" t="s">
        <v>192</v>
      </c>
      <c r="H281" s="38" t="n">
        <v>198.809430798653</v>
      </c>
      <c r="I281" s="38" t="n">
        <v>201.742512254486</v>
      </c>
      <c r="J281" s="38" t="n">
        <v>221.751101805374</v>
      </c>
      <c r="K281" s="38" t="n">
        <v>262.048594432417</v>
      </c>
      <c r="L281" s="38" t="n">
        <v>141.541770493986</v>
      </c>
      <c r="M281" s="38" t="n">
        <v>104.079073234165</v>
      </c>
      <c r="N281" s="38" t="n">
        <v>133.030529963882</v>
      </c>
      <c r="O281" s="38" t="n">
        <v>74.8497054362461</v>
      </c>
      <c r="P281" s="37" t="n">
        <v>0</v>
      </c>
      <c r="Q281" s="38" t="n">
        <v>0</v>
      </c>
      <c r="R281" s="38" t="n">
        <v>72</v>
      </c>
      <c r="S281" s="37" t="n">
        <v>0</v>
      </c>
    </row>
    <row r="282" customFormat="false" ht="15" hidden="false" customHeight="false" outlineLevel="0" collapsed="false">
      <c r="A282" s="37" t="n">
        <v>0</v>
      </c>
      <c r="B282" s="37" t="n">
        <v>0</v>
      </c>
      <c r="C282" s="37" t="n">
        <v>10</v>
      </c>
      <c r="D282" s="37" t="n">
        <v>5</v>
      </c>
      <c r="E282" s="37" t="n">
        <v>5</v>
      </c>
      <c r="F282" s="37" t="n">
        <v>10</v>
      </c>
      <c r="G282" s="37" t="s">
        <v>195</v>
      </c>
      <c r="H282" s="38" t="n">
        <v>198.809430798653</v>
      </c>
      <c r="I282" s="38" t="n">
        <v>201.91523057514</v>
      </c>
      <c r="J282" s="38" t="n">
        <v>221.729323847621</v>
      </c>
      <c r="K282" s="38" t="n">
        <v>260.411013786914</v>
      </c>
      <c r="L282" s="38" t="n">
        <v>143.398000107427</v>
      </c>
      <c r="M282" s="38" t="n">
        <v>109.040827099564</v>
      </c>
      <c r="N282" s="38" t="n">
        <v>139.143848069201</v>
      </c>
      <c r="O282" s="38" t="n">
        <v>78.1507780027179</v>
      </c>
      <c r="P282" s="37" t="n">
        <v>0</v>
      </c>
      <c r="Q282" s="38" t="n">
        <v>0</v>
      </c>
      <c r="R282" s="38" t="n">
        <v>70.5710958961541</v>
      </c>
      <c r="S282" s="37" t="n">
        <v>1</v>
      </c>
    </row>
    <row r="283" customFormat="false" ht="15" hidden="false" customHeight="false" outlineLevel="0" collapsed="false">
      <c r="A283" s="37" t="n">
        <v>0</v>
      </c>
      <c r="B283" s="37" t="n">
        <v>0</v>
      </c>
      <c r="C283" s="37" t="n">
        <v>10</v>
      </c>
      <c r="D283" s="37" t="n">
        <v>5</v>
      </c>
      <c r="E283" s="37" t="n">
        <v>5</v>
      </c>
      <c r="F283" s="37" t="n">
        <v>10</v>
      </c>
      <c r="G283" s="37" t="s">
        <v>197</v>
      </c>
      <c r="H283" s="38" t="n">
        <v>198.809430798653</v>
      </c>
      <c r="I283" s="38" t="n">
        <v>201.750561031301</v>
      </c>
      <c r="J283" s="38" t="n">
        <v>221.431023975319</v>
      </c>
      <c r="K283" s="38" t="n">
        <v>261.742421714488</v>
      </c>
      <c r="L283" s="38" t="n">
        <v>140.089129176749</v>
      </c>
      <c r="M283" s="38" t="n">
        <v>107.937416539725</v>
      </c>
      <c r="N283" s="38" t="n">
        <v>134.120039754063</v>
      </c>
      <c r="O283" s="38" t="n">
        <v>78.475525905247</v>
      </c>
      <c r="P283" s="37" t="n">
        <v>0</v>
      </c>
      <c r="Q283" s="38" t="n">
        <v>0</v>
      </c>
      <c r="R283" s="38" t="n">
        <v>72</v>
      </c>
      <c r="S283" s="37" t="n">
        <v>0</v>
      </c>
    </row>
    <row r="284" customFormat="false" ht="15" hidden="false" customHeight="false" outlineLevel="0" collapsed="false">
      <c r="A284" s="37" t="n">
        <v>0</v>
      </c>
      <c r="B284" s="37" t="n">
        <v>0</v>
      </c>
      <c r="C284" s="37" t="n">
        <v>10</v>
      </c>
      <c r="D284" s="37" t="n">
        <v>5</v>
      </c>
      <c r="E284" s="37" t="n">
        <v>5</v>
      </c>
      <c r="F284" s="37" t="n">
        <v>10</v>
      </c>
      <c r="G284" s="37" t="s">
        <v>196</v>
      </c>
      <c r="H284" s="38" t="n">
        <v>198.809430798653</v>
      </c>
      <c r="I284" s="38" t="n">
        <v>201.744932547366</v>
      </c>
      <c r="J284" s="38" t="n">
        <v>221.287010579539</v>
      </c>
      <c r="K284" s="38" t="n">
        <v>261.52832121094</v>
      </c>
      <c r="L284" s="38" t="n">
        <v>145.485514999879</v>
      </c>
      <c r="M284" s="38" t="n">
        <v>107.12867667183</v>
      </c>
      <c r="N284" s="38" t="n">
        <v>134.640667049992</v>
      </c>
      <c r="O284" s="38" t="n">
        <v>76.5519142408242</v>
      </c>
      <c r="P284" s="37" t="n">
        <v>0</v>
      </c>
      <c r="Q284" s="38" t="n">
        <v>0</v>
      </c>
      <c r="R284" s="38" t="n">
        <v>71.1030598426787</v>
      </c>
      <c r="S284" s="37" t="n">
        <v>0</v>
      </c>
    </row>
    <row r="285" customFormat="false" ht="15" hidden="false" customHeight="false" outlineLevel="0" collapsed="false">
      <c r="A285" s="37" t="n">
        <v>0</v>
      </c>
      <c r="B285" s="37" t="n">
        <v>0</v>
      </c>
      <c r="C285" s="37" t="n">
        <v>10</v>
      </c>
      <c r="D285" s="37" t="n">
        <v>5</v>
      </c>
      <c r="E285" s="37" t="n">
        <v>10</v>
      </c>
      <c r="F285" s="37" t="n">
        <v>5</v>
      </c>
      <c r="G285" s="37" t="s">
        <v>188</v>
      </c>
      <c r="H285" s="38" t="n">
        <v>198.817899863589</v>
      </c>
      <c r="I285" s="38" t="n">
        <v>201.910389734415</v>
      </c>
      <c r="J285" s="38" t="n">
        <v>222.229790185367</v>
      </c>
      <c r="K285" s="38" t="n">
        <v>263.298485105446</v>
      </c>
      <c r="L285" s="38" t="n">
        <v>101.850326816622</v>
      </c>
      <c r="M285" s="38" t="n">
        <v>108.084021424795</v>
      </c>
      <c r="N285" s="38" t="n">
        <v>139.6829819849</v>
      </c>
      <c r="O285" s="38" t="n">
        <v>76.0130511765839</v>
      </c>
      <c r="P285" s="37" t="n">
        <v>0</v>
      </c>
      <c r="Q285" s="38" t="n">
        <v>0</v>
      </c>
      <c r="R285" s="38" t="n">
        <v>72</v>
      </c>
      <c r="S285" s="37" t="n">
        <v>0</v>
      </c>
    </row>
    <row r="286" customFormat="false" ht="15" hidden="false" customHeight="false" outlineLevel="0" collapsed="false">
      <c r="A286" s="37" t="n">
        <v>0</v>
      </c>
      <c r="B286" s="37" t="n">
        <v>0</v>
      </c>
      <c r="C286" s="37" t="n">
        <v>10</v>
      </c>
      <c r="D286" s="37" t="n">
        <v>5</v>
      </c>
      <c r="E286" s="37" t="n">
        <v>10</v>
      </c>
      <c r="F286" s="37" t="n">
        <v>5</v>
      </c>
      <c r="G286" s="37" t="s">
        <v>192</v>
      </c>
      <c r="H286" s="38" t="n">
        <v>198.817899863589</v>
      </c>
      <c r="I286" s="38" t="n">
        <v>201.896545012189</v>
      </c>
      <c r="J286" s="38" t="n">
        <v>223.908205754853</v>
      </c>
      <c r="K286" s="38" t="n">
        <v>265.354765269631</v>
      </c>
      <c r="L286" s="38" t="n">
        <v>104.834078446409</v>
      </c>
      <c r="M286" s="38" t="n">
        <v>105.034114949316</v>
      </c>
      <c r="N286" s="38" t="n">
        <v>138.165149406136</v>
      </c>
      <c r="O286" s="38" t="n">
        <v>74.5867096096582</v>
      </c>
      <c r="P286" s="37" t="n">
        <v>0</v>
      </c>
      <c r="Q286" s="38" t="n">
        <v>0</v>
      </c>
      <c r="R286" s="38" t="n">
        <v>72</v>
      </c>
      <c r="S286" s="37" t="n">
        <v>0</v>
      </c>
    </row>
    <row r="287" customFormat="false" ht="15" hidden="false" customHeight="false" outlineLevel="0" collapsed="false">
      <c r="A287" s="37" t="n">
        <v>0</v>
      </c>
      <c r="B287" s="37" t="n">
        <v>0</v>
      </c>
      <c r="C287" s="37" t="n">
        <v>10</v>
      </c>
      <c r="D287" s="37" t="n">
        <v>5</v>
      </c>
      <c r="E287" s="37" t="n">
        <v>10</v>
      </c>
      <c r="F287" s="37" t="n">
        <v>5</v>
      </c>
      <c r="G287" s="37" t="s">
        <v>195</v>
      </c>
      <c r="H287" s="38" t="n">
        <v>198.817899863589</v>
      </c>
      <c r="I287" s="38" t="n">
        <v>202.085035555737</v>
      </c>
      <c r="J287" s="38" t="n">
        <v>224.165611545943</v>
      </c>
      <c r="K287" s="38" t="n">
        <v>264.183647405949</v>
      </c>
      <c r="L287" s="38" t="n">
        <v>107.15045301576</v>
      </c>
      <c r="M287" s="38" t="n">
        <v>110.010756664614</v>
      </c>
      <c r="N287" s="38" t="n">
        <v>144.771094498768</v>
      </c>
      <c r="O287" s="38" t="n">
        <v>78.0870973324568</v>
      </c>
      <c r="P287" s="37" t="n">
        <v>0</v>
      </c>
      <c r="Q287" s="38" t="n">
        <v>0</v>
      </c>
      <c r="R287" s="38" t="n">
        <v>70.5650416829434</v>
      </c>
      <c r="S287" s="37" t="n">
        <v>0</v>
      </c>
    </row>
    <row r="288" customFormat="false" ht="15" hidden="false" customHeight="false" outlineLevel="0" collapsed="false">
      <c r="A288" s="37" t="n">
        <v>0</v>
      </c>
      <c r="B288" s="37" t="n">
        <v>0</v>
      </c>
      <c r="C288" s="37" t="n">
        <v>10</v>
      </c>
      <c r="D288" s="37" t="n">
        <v>5</v>
      </c>
      <c r="E288" s="37" t="n">
        <v>10</v>
      </c>
      <c r="F288" s="37" t="n">
        <v>5</v>
      </c>
      <c r="G288" s="37" t="s">
        <v>197</v>
      </c>
      <c r="H288" s="38" t="n">
        <v>198.817899863589</v>
      </c>
      <c r="I288" s="38" t="n">
        <v>201.929065136784</v>
      </c>
      <c r="J288" s="38" t="n">
        <v>224.595043536318</v>
      </c>
      <c r="K288" s="38" t="n">
        <v>266.494831737811</v>
      </c>
      <c r="L288" s="38" t="n">
        <v>105.538929514389</v>
      </c>
      <c r="M288" s="38" t="n">
        <v>111.607364607268</v>
      </c>
      <c r="N288" s="38" t="n">
        <v>147.877959267176</v>
      </c>
      <c r="O288" s="38" t="n">
        <v>79.9307264571331</v>
      </c>
      <c r="P288" s="37" t="n">
        <v>0</v>
      </c>
      <c r="Q288" s="38" t="n">
        <v>0</v>
      </c>
      <c r="R288" s="38" t="n">
        <v>72</v>
      </c>
      <c r="S288" s="37" t="n">
        <v>1</v>
      </c>
    </row>
    <row r="289" customFormat="false" ht="15" hidden="false" customHeight="false" outlineLevel="0" collapsed="false">
      <c r="A289" s="37" t="n">
        <v>0</v>
      </c>
      <c r="B289" s="37" t="n">
        <v>0</v>
      </c>
      <c r="C289" s="37" t="n">
        <v>10</v>
      </c>
      <c r="D289" s="37" t="n">
        <v>5</v>
      </c>
      <c r="E289" s="37" t="n">
        <v>10</v>
      </c>
      <c r="F289" s="37" t="n">
        <v>5</v>
      </c>
      <c r="G289" s="37" t="s">
        <v>196</v>
      </c>
      <c r="H289" s="38" t="n">
        <v>198.817899863589</v>
      </c>
      <c r="I289" s="38" t="n">
        <v>201.903518938092</v>
      </c>
      <c r="J289" s="38" t="n">
        <v>223.46561474689</v>
      </c>
      <c r="K289" s="38" t="n">
        <v>264.920101689868</v>
      </c>
      <c r="L289" s="38" t="n">
        <v>108.872963378426</v>
      </c>
      <c r="M289" s="38" t="n">
        <v>108.638043175099</v>
      </c>
      <c r="N289" s="38" t="n">
        <v>141.178273311993</v>
      </c>
      <c r="O289" s="38" t="n">
        <v>76.8125988051811</v>
      </c>
      <c r="P289" s="37" t="n">
        <v>0</v>
      </c>
      <c r="Q289" s="38" t="n">
        <v>0</v>
      </c>
      <c r="R289" s="38" t="n">
        <v>71.1020201385873</v>
      </c>
      <c r="S289" s="37" t="n">
        <v>0</v>
      </c>
    </row>
    <row r="290" customFormat="false" ht="15" hidden="false" customHeight="false" outlineLevel="0" collapsed="false">
      <c r="A290" s="37" t="n">
        <v>0</v>
      </c>
      <c r="B290" s="37" t="n">
        <v>0</v>
      </c>
      <c r="C290" s="37" t="n">
        <v>10</v>
      </c>
      <c r="D290" s="37" t="n">
        <v>5</v>
      </c>
      <c r="E290" s="37" t="n">
        <v>15</v>
      </c>
      <c r="F290" s="37" t="n">
        <v>0</v>
      </c>
      <c r="G290" s="37" t="s">
        <v>188</v>
      </c>
      <c r="H290" s="38" t="n">
        <v>198.831021687961</v>
      </c>
      <c r="I290" s="38" t="n">
        <v>202.01070005751</v>
      </c>
      <c r="J290" s="38" t="n">
        <v>223.740724799433</v>
      </c>
      <c r="K290" s="38" t="n">
        <v>265.568448552605</v>
      </c>
      <c r="L290" s="38" t="n">
        <v>64.273295783288</v>
      </c>
      <c r="M290" s="38" t="n">
        <v>108.789466153055</v>
      </c>
      <c r="N290" s="38" t="n">
        <v>143.296191445637</v>
      </c>
      <c r="O290" s="38" t="n">
        <v>75.3810427444203</v>
      </c>
      <c r="P290" s="37" t="n">
        <v>0</v>
      </c>
      <c r="Q290" s="38" t="n">
        <v>0</v>
      </c>
      <c r="R290" s="38" t="n">
        <v>72</v>
      </c>
      <c r="S290" s="37" t="n">
        <v>0</v>
      </c>
    </row>
    <row r="291" customFormat="false" ht="15" hidden="false" customHeight="false" outlineLevel="0" collapsed="false">
      <c r="A291" s="37" t="n">
        <v>0</v>
      </c>
      <c r="B291" s="37" t="n">
        <v>0</v>
      </c>
      <c r="C291" s="37" t="n">
        <v>10</v>
      </c>
      <c r="D291" s="37" t="n">
        <v>5</v>
      </c>
      <c r="E291" s="37" t="n">
        <v>15</v>
      </c>
      <c r="F291" s="37" t="n">
        <v>0</v>
      </c>
      <c r="G291" s="37" t="s">
        <v>192</v>
      </c>
      <c r="H291" s="38" t="n">
        <v>198.831021687961</v>
      </c>
      <c r="I291" s="38" t="n">
        <v>201.997528408077</v>
      </c>
      <c r="J291" s="38" t="n">
        <v>225.360243361145</v>
      </c>
      <c r="K291" s="38" t="n">
        <v>267.555785935705</v>
      </c>
      <c r="L291" s="38" t="n">
        <v>67.0218850248816</v>
      </c>
      <c r="M291" s="38" t="n">
        <v>105.741318559151</v>
      </c>
      <c r="N291" s="38" t="n">
        <v>141.657325660804</v>
      </c>
      <c r="O291" s="38" t="n">
        <v>74.054582550683</v>
      </c>
      <c r="P291" s="37" t="n">
        <v>0</v>
      </c>
      <c r="Q291" s="38" t="n">
        <v>0</v>
      </c>
      <c r="R291" s="38" t="n">
        <v>72</v>
      </c>
      <c r="S291" s="37" t="n">
        <v>0</v>
      </c>
    </row>
    <row r="292" customFormat="false" ht="15" hidden="false" customHeight="false" outlineLevel="0" collapsed="false">
      <c r="A292" s="37" t="n">
        <v>0</v>
      </c>
      <c r="B292" s="37" t="n">
        <v>0</v>
      </c>
      <c r="C292" s="37" t="n">
        <v>10</v>
      </c>
      <c r="D292" s="37" t="n">
        <v>5</v>
      </c>
      <c r="E292" s="37" t="n">
        <v>15</v>
      </c>
      <c r="F292" s="37" t="n">
        <v>0</v>
      </c>
      <c r="G292" s="37" t="s">
        <v>195</v>
      </c>
      <c r="H292" s="38" t="n">
        <v>198.831021687961</v>
      </c>
      <c r="I292" s="38" t="n">
        <v>202.197796627212</v>
      </c>
      <c r="J292" s="38" t="n">
        <v>225.818373994023</v>
      </c>
      <c r="K292" s="38" t="n">
        <v>266.716546414955</v>
      </c>
      <c r="L292" s="38" t="n">
        <v>69.6618624172137</v>
      </c>
      <c r="M292" s="38" t="n">
        <v>110.721469649676</v>
      </c>
      <c r="N292" s="38" t="n">
        <v>148.560212733023</v>
      </c>
      <c r="O292" s="38" t="n">
        <v>77.6698700443079</v>
      </c>
      <c r="P292" s="37" t="n">
        <v>0</v>
      </c>
      <c r="Q292" s="38" t="n">
        <v>0</v>
      </c>
      <c r="R292" s="38" t="n">
        <v>70.5585948006775</v>
      </c>
      <c r="S292" s="37" t="n">
        <v>0</v>
      </c>
    </row>
    <row r="293" customFormat="false" ht="15" hidden="false" customHeight="false" outlineLevel="0" collapsed="false">
      <c r="A293" s="37" t="n">
        <v>0</v>
      </c>
      <c r="B293" s="37" t="n">
        <v>0</v>
      </c>
      <c r="C293" s="37" t="n">
        <v>10</v>
      </c>
      <c r="D293" s="37" t="n">
        <v>5</v>
      </c>
      <c r="E293" s="37" t="n">
        <v>15</v>
      </c>
      <c r="F293" s="37" t="n">
        <v>0</v>
      </c>
      <c r="G293" s="37" t="s">
        <v>197</v>
      </c>
      <c r="H293" s="38" t="n">
        <v>198.831021687961</v>
      </c>
      <c r="I293" s="38" t="n">
        <v>202.049633733175</v>
      </c>
      <c r="J293" s="38" t="n">
        <v>225.156731876475</v>
      </c>
      <c r="K293" s="38" t="n">
        <v>267.666726023552</v>
      </c>
      <c r="L293" s="38" t="n">
        <v>71.1667260235521</v>
      </c>
      <c r="M293" s="38" t="n">
        <v>113.974258877275</v>
      </c>
      <c r="N293" s="38" t="n">
        <v>148.784042281424</v>
      </c>
      <c r="O293" s="38" t="n">
        <v>78.8818243564879</v>
      </c>
      <c r="P293" s="37" t="n">
        <v>0</v>
      </c>
      <c r="Q293" s="38" t="n">
        <v>0</v>
      </c>
      <c r="R293" s="38" t="n">
        <v>72</v>
      </c>
      <c r="S293" s="37" t="n">
        <v>1</v>
      </c>
    </row>
    <row r="294" customFormat="false" ht="15" hidden="false" customHeight="false" outlineLevel="0" collapsed="false">
      <c r="A294" s="37" t="n">
        <v>0</v>
      </c>
      <c r="B294" s="37" t="n">
        <v>0</v>
      </c>
      <c r="C294" s="37" t="n">
        <v>10</v>
      </c>
      <c r="D294" s="37" t="n">
        <v>5</v>
      </c>
      <c r="E294" s="37" t="n">
        <v>15</v>
      </c>
      <c r="F294" s="37" t="n">
        <v>0</v>
      </c>
      <c r="G294" s="37" t="s">
        <v>196</v>
      </c>
      <c r="H294" s="38" t="n">
        <v>198.831021687961</v>
      </c>
      <c r="I294" s="38" t="n">
        <v>202.006700184339</v>
      </c>
      <c r="J294" s="38" t="n">
        <v>224.897082955143</v>
      </c>
      <c r="K294" s="38" t="n">
        <v>267.127839360766</v>
      </c>
      <c r="L294" s="38" t="n">
        <v>71.0324521922229</v>
      </c>
      <c r="M294" s="38" t="n">
        <v>109.683124081482</v>
      </c>
      <c r="N294" s="38" t="n">
        <v>144.83019553418</v>
      </c>
      <c r="O294" s="38" t="n">
        <v>76.170877469096</v>
      </c>
      <c r="P294" s="37" t="n">
        <v>0</v>
      </c>
      <c r="Q294" s="38" t="n">
        <v>0</v>
      </c>
      <c r="R294" s="38" t="n">
        <v>71.0904404128831</v>
      </c>
      <c r="S294" s="37" t="n">
        <v>0</v>
      </c>
    </row>
    <row r="295" customFormat="false" ht="15" hidden="false" customHeight="false" outlineLevel="0" collapsed="false">
      <c r="A295" s="37" t="n">
        <v>0</v>
      </c>
      <c r="B295" s="37" t="n">
        <v>0</v>
      </c>
      <c r="C295" s="37" t="n">
        <v>10</v>
      </c>
      <c r="D295" s="37" t="n">
        <v>10</v>
      </c>
      <c r="E295" s="37" t="n">
        <v>0</v>
      </c>
      <c r="F295" s="37" t="n">
        <v>10</v>
      </c>
      <c r="G295" s="37" t="s">
        <v>188</v>
      </c>
      <c r="H295" s="38" t="n">
        <v>199.053638022362</v>
      </c>
      <c r="I295" s="38" t="n">
        <v>203.110178276243</v>
      </c>
      <c r="J295" s="38" t="n">
        <v>223.346132069751</v>
      </c>
      <c r="K295" s="38" t="n">
        <v>261.720904592132</v>
      </c>
      <c r="L295" s="38" t="n">
        <v>140.583800910934</v>
      </c>
      <c r="M295" s="38" t="n">
        <v>107.944245290635</v>
      </c>
      <c r="N295" s="38" t="n">
        <v>133.023401853834</v>
      </c>
      <c r="O295" s="38" t="n">
        <v>77.6910946548478</v>
      </c>
      <c r="P295" s="37" t="n">
        <v>0</v>
      </c>
      <c r="Q295" s="38" t="n">
        <v>0</v>
      </c>
      <c r="R295" s="38" t="n">
        <v>72</v>
      </c>
      <c r="S295" s="37" t="n">
        <v>0</v>
      </c>
    </row>
    <row r="296" customFormat="false" ht="15" hidden="false" customHeight="false" outlineLevel="0" collapsed="false">
      <c r="A296" s="37" t="n">
        <v>0</v>
      </c>
      <c r="B296" s="37" t="n">
        <v>0</v>
      </c>
      <c r="C296" s="37" t="n">
        <v>10</v>
      </c>
      <c r="D296" s="37" t="n">
        <v>10</v>
      </c>
      <c r="E296" s="37" t="n">
        <v>0</v>
      </c>
      <c r="F296" s="37" t="n">
        <v>10</v>
      </c>
      <c r="G296" s="37" t="s">
        <v>192</v>
      </c>
      <c r="H296" s="38" t="n">
        <v>199.053638022362</v>
      </c>
      <c r="I296" s="38" t="n">
        <v>203.094095010526</v>
      </c>
      <c r="J296" s="38" t="n">
        <v>231.217682242046</v>
      </c>
      <c r="K296" s="38" t="n">
        <v>266.076744231954</v>
      </c>
      <c r="L296" s="38" t="n">
        <v>135.847161382283</v>
      </c>
      <c r="M296" s="38" t="n">
        <v>104.891822671722</v>
      </c>
      <c r="N296" s="38" t="n">
        <v>134.580432959928</v>
      </c>
      <c r="O296" s="38" t="n">
        <v>76.7138469198304</v>
      </c>
      <c r="P296" s="37" t="n">
        <v>0</v>
      </c>
      <c r="Q296" s="38" t="n">
        <v>0</v>
      </c>
      <c r="R296" s="38" t="n">
        <v>72</v>
      </c>
      <c r="S296" s="37" t="n">
        <v>0</v>
      </c>
    </row>
    <row r="297" customFormat="false" ht="15" hidden="false" customHeight="false" outlineLevel="0" collapsed="false">
      <c r="A297" s="37" t="n">
        <v>0</v>
      </c>
      <c r="B297" s="37" t="n">
        <v>0</v>
      </c>
      <c r="C297" s="37" t="n">
        <v>10</v>
      </c>
      <c r="D297" s="37" t="n">
        <v>10</v>
      </c>
      <c r="E297" s="37" t="n">
        <v>0</v>
      </c>
      <c r="F297" s="37" t="n">
        <v>10</v>
      </c>
      <c r="G297" s="37" t="s">
        <v>195</v>
      </c>
      <c r="H297" s="38" t="n">
        <v>199.053638022362</v>
      </c>
      <c r="I297" s="38" t="n">
        <v>203.382051505488</v>
      </c>
      <c r="J297" s="38" t="n">
        <v>223.411134424896</v>
      </c>
      <c r="K297" s="38" t="n">
        <v>262.921787123023</v>
      </c>
      <c r="L297" s="38" t="n">
        <v>151.671787123023</v>
      </c>
      <c r="M297" s="38" t="n">
        <v>111.334587021833</v>
      </c>
      <c r="N297" s="38" t="n">
        <v>139.391432353676</v>
      </c>
      <c r="O297" s="38" t="n">
        <v>79.4421322095843</v>
      </c>
      <c r="P297" s="37" t="n">
        <v>0</v>
      </c>
      <c r="Q297" s="38" t="n">
        <v>0</v>
      </c>
      <c r="R297" s="38" t="n">
        <v>68.2204647487489</v>
      </c>
      <c r="S297" s="37" t="n">
        <v>1</v>
      </c>
    </row>
    <row r="298" customFormat="false" ht="15" hidden="false" customHeight="false" outlineLevel="0" collapsed="false">
      <c r="A298" s="37" t="n">
        <v>0</v>
      </c>
      <c r="B298" s="37" t="n">
        <v>0</v>
      </c>
      <c r="C298" s="37" t="n">
        <v>10</v>
      </c>
      <c r="D298" s="37" t="n">
        <v>10</v>
      </c>
      <c r="E298" s="37" t="n">
        <v>0</v>
      </c>
      <c r="F298" s="37" t="n">
        <v>10</v>
      </c>
      <c r="G298" s="37" t="s">
        <v>197</v>
      </c>
      <c r="H298" s="38" t="n">
        <v>199.053638022362</v>
      </c>
      <c r="I298" s="38" t="n">
        <v>203.089453843207</v>
      </c>
      <c r="J298" s="38" t="n">
        <v>223.89315336482</v>
      </c>
      <c r="K298" s="38" t="n">
        <v>262.25784213467</v>
      </c>
      <c r="L298" s="38" t="n">
        <v>140.265148369362</v>
      </c>
      <c r="M298" s="38" t="n">
        <v>105.343472095998</v>
      </c>
      <c r="N298" s="38" t="n">
        <v>122.885533425755</v>
      </c>
      <c r="O298" s="38" t="n">
        <v>75.4399123571444</v>
      </c>
      <c r="P298" s="37" t="n">
        <v>0</v>
      </c>
      <c r="Q298" s="38" t="n">
        <v>0</v>
      </c>
      <c r="R298" s="38" t="n">
        <v>72</v>
      </c>
      <c r="S298" s="37" t="n">
        <v>0</v>
      </c>
    </row>
    <row r="299" customFormat="false" ht="15" hidden="false" customHeight="false" outlineLevel="0" collapsed="false">
      <c r="A299" s="37" t="n">
        <v>0</v>
      </c>
      <c r="B299" s="37" t="n">
        <v>0</v>
      </c>
      <c r="C299" s="37" t="n">
        <v>10</v>
      </c>
      <c r="D299" s="37" t="n">
        <v>10</v>
      </c>
      <c r="E299" s="37" t="n">
        <v>0</v>
      </c>
      <c r="F299" s="37" t="n">
        <v>10</v>
      </c>
      <c r="G299" s="37" t="s">
        <v>196</v>
      </c>
      <c r="H299" s="38" t="n">
        <v>199.053638022362</v>
      </c>
      <c r="I299" s="38" t="n">
        <v>203.092619956188</v>
      </c>
      <c r="J299" s="38" t="n">
        <v>216.893750324242</v>
      </c>
      <c r="K299" s="38" t="n">
        <v>264.584310558147</v>
      </c>
      <c r="L299" s="38" t="n">
        <v>151.028755002592</v>
      </c>
      <c r="M299" s="38" t="n">
        <v>107.722193176651</v>
      </c>
      <c r="N299" s="38" t="n">
        <v>130.992929037576</v>
      </c>
      <c r="O299" s="38" t="n">
        <v>74.8298271662551</v>
      </c>
      <c r="P299" s="37" t="n">
        <v>0</v>
      </c>
      <c r="Q299" s="38" t="n">
        <v>0</v>
      </c>
      <c r="R299" s="38" t="n">
        <v>70.7373333333333</v>
      </c>
      <c r="S299" s="37" t="n">
        <v>0</v>
      </c>
    </row>
    <row r="300" customFormat="false" ht="15" hidden="false" customHeight="false" outlineLevel="0" collapsed="false">
      <c r="A300" s="37" t="n">
        <v>0</v>
      </c>
      <c r="B300" s="37" t="n">
        <v>0</v>
      </c>
      <c r="C300" s="37" t="n">
        <v>10</v>
      </c>
      <c r="D300" s="37" t="n">
        <v>10</v>
      </c>
      <c r="E300" s="37" t="n">
        <v>5</v>
      </c>
      <c r="F300" s="37" t="n">
        <v>5</v>
      </c>
      <c r="G300" s="37" t="s">
        <v>188</v>
      </c>
      <c r="H300" s="38" t="n">
        <v>199.046285014398</v>
      </c>
      <c r="I300" s="38" t="n">
        <v>203.148615905883</v>
      </c>
      <c r="J300" s="38" t="n">
        <v>226.220070792825</v>
      </c>
      <c r="K300" s="38" t="n">
        <v>265.527004426928</v>
      </c>
      <c r="L300" s="38" t="n">
        <v>104.577872211007</v>
      </c>
      <c r="M300" s="38" t="n">
        <v>108.775253679352</v>
      </c>
      <c r="N300" s="38" t="n">
        <v>139.872433518944</v>
      </c>
      <c r="O300" s="38" t="n">
        <v>77.7078421747609</v>
      </c>
      <c r="P300" s="37" t="n">
        <v>0</v>
      </c>
      <c r="Q300" s="38" t="n">
        <v>0</v>
      </c>
      <c r="R300" s="38" t="n">
        <v>72</v>
      </c>
      <c r="S300" s="37" t="n">
        <v>0</v>
      </c>
    </row>
    <row r="301" customFormat="false" ht="15" hidden="false" customHeight="false" outlineLevel="0" collapsed="false">
      <c r="A301" s="37" t="n">
        <v>0</v>
      </c>
      <c r="B301" s="37" t="n">
        <v>0</v>
      </c>
      <c r="C301" s="37" t="n">
        <v>10</v>
      </c>
      <c r="D301" s="37" t="n">
        <v>10</v>
      </c>
      <c r="E301" s="37" t="n">
        <v>5</v>
      </c>
      <c r="F301" s="37" t="n">
        <v>5</v>
      </c>
      <c r="G301" s="37" t="s">
        <v>192</v>
      </c>
      <c r="H301" s="38" t="n">
        <v>199.046285014398</v>
      </c>
      <c r="I301" s="38" t="n">
        <v>203.132661753381</v>
      </c>
      <c r="J301" s="38" t="n">
        <v>234.293467972882</v>
      </c>
      <c r="K301" s="38" t="n">
        <v>270.044370562149</v>
      </c>
      <c r="L301" s="38" t="n">
        <v>99.7173498724671</v>
      </c>
      <c r="M301" s="38" t="n">
        <v>105.72272893466</v>
      </c>
      <c r="N301" s="38" t="n">
        <v>141.468882099541</v>
      </c>
      <c r="O301" s="38" t="n">
        <v>76.8989445391797</v>
      </c>
      <c r="P301" s="37" t="n">
        <v>0</v>
      </c>
      <c r="Q301" s="38" t="n">
        <v>0</v>
      </c>
      <c r="R301" s="38" t="n">
        <v>72</v>
      </c>
      <c r="S301" s="37" t="n">
        <v>0</v>
      </c>
    </row>
    <row r="302" customFormat="false" ht="15" hidden="false" customHeight="false" outlineLevel="0" collapsed="false">
      <c r="A302" s="37" t="n">
        <v>0</v>
      </c>
      <c r="B302" s="37" t="n">
        <v>0</v>
      </c>
      <c r="C302" s="37" t="n">
        <v>10</v>
      </c>
      <c r="D302" s="37" t="n">
        <v>10</v>
      </c>
      <c r="E302" s="37" t="n">
        <v>5</v>
      </c>
      <c r="F302" s="37" t="n">
        <v>5</v>
      </c>
      <c r="G302" s="37" t="s">
        <v>195</v>
      </c>
      <c r="H302" s="38" t="n">
        <v>199.046285014398</v>
      </c>
      <c r="I302" s="38" t="n">
        <v>203.436214369803</v>
      </c>
      <c r="J302" s="38" t="n">
        <v>229.547828044624</v>
      </c>
      <c r="K302" s="38" t="n">
        <v>271.238289358496</v>
      </c>
      <c r="L302" s="38" t="n">
        <v>117.988289358496</v>
      </c>
      <c r="M302" s="38" t="n">
        <v>112.142710638961</v>
      </c>
      <c r="N302" s="38" t="n">
        <v>150.676988496181</v>
      </c>
      <c r="O302" s="38" t="n">
        <v>81.3213813196178</v>
      </c>
      <c r="P302" s="37" t="n">
        <v>0</v>
      </c>
      <c r="Q302" s="38" t="n">
        <v>0</v>
      </c>
      <c r="R302" s="38" t="n">
        <v>67.7158486622654</v>
      </c>
      <c r="S302" s="37" t="n">
        <v>1</v>
      </c>
    </row>
    <row r="303" customFormat="false" ht="15" hidden="false" customHeight="false" outlineLevel="0" collapsed="false">
      <c r="A303" s="37" t="n">
        <v>0</v>
      </c>
      <c r="B303" s="37" t="n">
        <v>0</v>
      </c>
      <c r="C303" s="37" t="n">
        <v>10</v>
      </c>
      <c r="D303" s="37" t="n">
        <v>10</v>
      </c>
      <c r="E303" s="37" t="n">
        <v>5</v>
      </c>
      <c r="F303" s="37" t="n">
        <v>5</v>
      </c>
      <c r="G303" s="37" t="s">
        <v>197</v>
      </c>
      <c r="H303" s="38" t="n">
        <v>199.046285014398</v>
      </c>
      <c r="I303" s="38" t="n">
        <v>203.142162528138</v>
      </c>
      <c r="J303" s="38" t="n">
        <v>227.430515153939</v>
      </c>
      <c r="K303" s="38" t="n">
        <v>267.080236915522</v>
      </c>
      <c r="L303" s="38" t="n">
        <v>105.628593336556</v>
      </c>
      <c r="M303" s="38" t="n">
        <v>109.595494776501</v>
      </c>
      <c r="N303" s="38" t="n">
        <v>139.40278639749</v>
      </c>
      <c r="O303" s="38" t="n">
        <v>79.7826721403528</v>
      </c>
      <c r="P303" s="37" t="n">
        <v>0</v>
      </c>
      <c r="Q303" s="38" t="n">
        <v>0</v>
      </c>
      <c r="R303" s="38" t="n">
        <v>72</v>
      </c>
      <c r="S303" s="37" t="n">
        <v>0</v>
      </c>
    </row>
    <row r="304" customFormat="false" ht="15" hidden="false" customHeight="false" outlineLevel="0" collapsed="false">
      <c r="A304" s="37" t="n">
        <v>0</v>
      </c>
      <c r="B304" s="37" t="n">
        <v>0</v>
      </c>
      <c r="C304" s="37" t="n">
        <v>10</v>
      </c>
      <c r="D304" s="37" t="n">
        <v>10</v>
      </c>
      <c r="E304" s="37" t="n">
        <v>5</v>
      </c>
      <c r="F304" s="37" t="n">
        <v>5</v>
      </c>
      <c r="G304" s="37" t="s">
        <v>196</v>
      </c>
      <c r="H304" s="38" t="n">
        <v>199.046285014398</v>
      </c>
      <c r="I304" s="38" t="n">
        <v>203.134833592305</v>
      </c>
      <c r="J304" s="38" t="n">
        <v>219.229501213278</v>
      </c>
      <c r="K304" s="38" t="n">
        <v>267.783431447796</v>
      </c>
      <c r="L304" s="38" t="n">
        <v>114.22787589224</v>
      </c>
      <c r="M304" s="38" t="n">
        <v>109.251309285733</v>
      </c>
      <c r="N304" s="38" t="n">
        <v>138.855176112617</v>
      </c>
      <c r="O304" s="38" t="n">
        <v>76.1604961522239</v>
      </c>
      <c r="P304" s="37" t="n">
        <v>0</v>
      </c>
      <c r="Q304" s="38" t="n">
        <v>0</v>
      </c>
      <c r="R304" s="38" t="n">
        <v>70.604</v>
      </c>
      <c r="S304" s="37" t="n">
        <v>0</v>
      </c>
    </row>
    <row r="305" customFormat="false" ht="15" hidden="false" customHeight="false" outlineLevel="0" collapsed="false">
      <c r="A305" s="37" t="n">
        <v>0</v>
      </c>
      <c r="B305" s="37" t="n">
        <v>0</v>
      </c>
      <c r="C305" s="37" t="n">
        <v>10</v>
      </c>
      <c r="D305" s="37" t="n">
        <v>10</v>
      </c>
      <c r="E305" s="37" t="n">
        <v>10</v>
      </c>
      <c r="F305" s="37" t="n">
        <v>0</v>
      </c>
      <c r="G305" s="37" t="s">
        <v>188</v>
      </c>
      <c r="H305" s="38" t="n">
        <v>199.055327196384</v>
      </c>
      <c r="I305" s="38" t="n">
        <v>203.298629947923</v>
      </c>
      <c r="J305" s="38" t="n">
        <v>228.628178732462</v>
      </c>
      <c r="K305" s="38" t="n">
        <v>269.155759087654</v>
      </c>
      <c r="L305" s="38" t="n">
        <v>68.3948700022356</v>
      </c>
      <c r="M305" s="38" t="n">
        <v>109.720682064019</v>
      </c>
      <c r="N305" s="38" t="n">
        <v>145.411930232116</v>
      </c>
      <c r="O305" s="38" t="n">
        <v>77.47302218338</v>
      </c>
      <c r="P305" s="37" t="n">
        <v>0</v>
      </c>
      <c r="Q305" s="38" t="n">
        <v>0</v>
      </c>
      <c r="R305" s="38" t="n">
        <v>72</v>
      </c>
      <c r="S305" s="37" t="n">
        <v>0</v>
      </c>
    </row>
    <row r="306" customFormat="false" ht="15" hidden="false" customHeight="false" outlineLevel="0" collapsed="false">
      <c r="A306" s="37" t="n">
        <v>0</v>
      </c>
      <c r="B306" s="37" t="n">
        <v>0</v>
      </c>
      <c r="C306" s="37" t="n">
        <v>10</v>
      </c>
      <c r="D306" s="37" t="n">
        <v>10</v>
      </c>
      <c r="E306" s="37" t="n">
        <v>10</v>
      </c>
      <c r="F306" s="37" t="n">
        <v>0</v>
      </c>
      <c r="G306" s="37" t="s">
        <v>192</v>
      </c>
      <c r="H306" s="38" t="n">
        <v>199.055327196384</v>
      </c>
      <c r="I306" s="38" t="n">
        <v>203.27958092289</v>
      </c>
      <c r="J306" s="38" t="n">
        <v>236.851382699574</v>
      </c>
      <c r="K306" s="38" t="n">
        <v>273.712053172684</v>
      </c>
      <c r="L306" s="38" t="n">
        <v>63.3233897391054</v>
      </c>
      <c r="M306" s="38" t="n">
        <v>106.658318929142</v>
      </c>
      <c r="N306" s="38" t="n">
        <v>147.026002164521</v>
      </c>
      <c r="O306" s="38" t="n">
        <v>76.8361701175522</v>
      </c>
      <c r="P306" s="37" t="n">
        <v>0</v>
      </c>
      <c r="Q306" s="38" t="n">
        <v>0</v>
      </c>
      <c r="R306" s="38" t="n">
        <v>72</v>
      </c>
      <c r="S306" s="37" t="n">
        <v>0</v>
      </c>
    </row>
    <row r="307" customFormat="false" ht="15" hidden="false" customHeight="false" outlineLevel="0" collapsed="false">
      <c r="A307" s="37" t="n">
        <v>0</v>
      </c>
      <c r="B307" s="37" t="n">
        <v>0</v>
      </c>
      <c r="C307" s="37" t="n">
        <v>10</v>
      </c>
      <c r="D307" s="37" t="n">
        <v>10</v>
      </c>
      <c r="E307" s="37" t="n">
        <v>10</v>
      </c>
      <c r="F307" s="37" t="n">
        <v>0</v>
      </c>
      <c r="G307" s="37" t="s">
        <v>195</v>
      </c>
      <c r="H307" s="38" t="n">
        <v>199.055327196384</v>
      </c>
      <c r="I307" s="38" t="n">
        <v>203.606626579759</v>
      </c>
      <c r="J307" s="38" t="n">
        <v>232.247331487312</v>
      </c>
      <c r="K307" s="38" t="n">
        <v>275.393608760568</v>
      </c>
      <c r="L307" s="38" t="n">
        <v>82.1436087605684</v>
      </c>
      <c r="M307" s="38" t="n">
        <v>113.097450105228</v>
      </c>
      <c r="N307" s="38" t="n">
        <v>156.501789306561</v>
      </c>
      <c r="O307" s="38" t="n">
        <v>81.413118801161</v>
      </c>
      <c r="P307" s="37" t="n">
        <v>0</v>
      </c>
      <c r="Q307" s="38" t="n">
        <v>0</v>
      </c>
      <c r="R307" s="38" t="n">
        <v>67.7040510977502</v>
      </c>
      <c r="S307" s="37" t="n">
        <v>1</v>
      </c>
    </row>
    <row r="308" customFormat="false" ht="15" hidden="false" customHeight="false" outlineLevel="0" collapsed="false">
      <c r="A308" s="37" t="n">
        <v>0</v>
      </c>
      <c r="B308" s="37" t="n">
        <v>0</v>
      </c>
      <c r="C308" s="37" t="n">
        <v>10</v>
      </c>
      <c r="D308" s="37" t="n">
        <v>10</v>
      </c>
      <c r="E308" s="37" t="n">
        <v>10</v>
      </c>
      <c r="F308" s="37" t="n">
        <v>0</v>
      </c>
      <c r="G308" s="37" t="s">
        <v>197</v>
      </c>
      <c r="H308" s="38" t="n">
        <v>199.055327196384</v>
      </c>
      <c r="I308" s="38" t="n">
        <v>203.31504271714</v>
      </c>
      <c r="J308" s="38" t="n">
        <v>230.765335062656</v>
      </c>
      <c r="K308" s="38" t="n">
        <v>272.029772611211</v>
      </c>
      <c r="L308" s="38" t="n">
        <v>71.2722298722783</v>
      </c>
      <c r="M308" s="38" t="n">
        <v>113.226167736777</v>
      </c>
      <c r="N308" s="38" t="n">
        <v>153.312884716231</v>
      </c>
      <c r="O308" s="38" t="n">
        <v>81.3287729413765</v>
      </c>
      <c r="P308" s="37" t="n">
        <v>0</v>
      </c>
      <c r="Q308" s="38" t="n">
        <v>0</v>
      </c>
      <c r="R308" s="38" t="n">
        <v>72</v>
      </c>
      <c r="S308" s="37" t="n">
        <v>0</v>
      </c>
    </row>
    <row r="309" customFormat="false" ht="15" hidden="false" customHeight="false" outlineLevel="0" collapsed="false">
      <c r="A309" s="37" t="n">
        <v>0</v>
      </c>
      <c r="B309" s="37" t="n">
        <v>0</v>
      </c>
      <c r="C309" s="37" t="n">
        <v>10</v>
      </c>
      <c r="D309" s="37" t="n">
        <v>10</v>
      </c>
      <c r="E309" s="37" t="n">
        <v>10</v>
      </c>
      <c r="F309" s="37" t="n">
        <v>0</v>
      </c>
      <c r="G309" s="37" t="s">
        <v>196</v>
      </c>
      <c r="H309" s="38" t="n">
        <v>199.055327196384</v>
      </c>
      <c r="I309" s="38" t="n">
        <v>203.287543228776</v>
      </c>
      <c r="J309" s="38" t="n">
        <v>221.431481366058</v>
      </c>
      <c r="K309" s="38" t="n">
        <v>271.196334515984</v>
      </c>
      <c r="L309" s="38" t="n">
        <v>77.6407789604281</v>
      </c>
      <c r="M309" s="38" t="n">
        <v>110.731026912937</v>
      </c>
      <c r="N309" s="38" t="n">
        <v>145.48821781564</v>
      </c>
      <c r="O309" s="38" t="n">
        <v>76.5254351742519</v>
      </c>
      <c r="P309" s="37" t="n">
        <v>0</v>
      </c>
      <c r="Q309" s="38" t="n">
        <v>0</v>
      </c>
      <c r="R309" s="38" t="n">
        <v>70.604</v>
      </c>
      <c r="S309" s="37" t="n">
        <v>0</v>
      </c>
    </row>
    <row r="310" customFormat="false" ht="15" hidden="false" customHeight="false" outlineLevel="0" collapsed="false">
      <c r="A310" s="37" t="n">
        <v>0</v>
      </c>
      <c r="B310" s="37" t="n">
        <v>0</v>
      </c>
      <c r="C310" s="37" t="n">
        <v>10</v>
      </c>
      <c r="D310" s="37" t="n">
        <v>15</v>
      </c>
      <c r="E310" s="37" t="n">
        <v>0</v>
      </c>
      <c r="F310" s="37" t="n">
        <v>5</v>
      </c>
      <c r="G310" s="37" t="s">
        <v>188</v>
      </c>
      <c r="H310" s="38" t="n">
        <v>199.233565090105</v>
      </c>
      <c r="I310" s="38" t="n">
        <v>204.055130670873</v>
      </c>
      <c r="J310" s="38" t="n">
        <v>227.196943012168</v>
      </c>
      <c r="K310" s="38" t="n">
        <v>262.177121701944</v>
      </c>
      <c r="L310" s="38" t="n">
        <v>101.485166742835</v>
      </c>
      <c r="M310" s="38" t="n">
        <v>108.737590458724</v>
      </c>
      <c r="N310" s="38" t="n">
        <v>135.718575918387</v>
      </c>
      <c r="O310" s="38" t="n">
        <v>77.2054461183202</v>
      </c>
      <c r="P310" s="37" t="n">
        <v>0</v>
      </c>
      <c r="Q310" s="38" t="n">
        <v>0</v>
      </c>
      <c r="R310" s="38" t="n">
        <v>72</v>
      </c>
      <c r="S310" s="37" t="n">
        <v>0</v>
      </c>
    </row>
    <row r="311" customFormat="false" ht="15" hidden="false" customHeight="false" outlineLevel="0" collapsed="false">
      <c r="A311" s="37" t="n">
        <v>0</v>
      </c>
      <c r="B311" s="37" t="n">
        <v>0</v>
      </c>
      <c r="C311" s="37" t="n">
        <v>10</v>
      </c>
      <c r="D311" s="37" t="n">
        <v>15</v>
      </c>
      <c r="E311" s="37" t="n">
        <v>0</v>
      </c>
      <c r="F311" s="37" t="n">
        <v>5</v>
      </c>
      <c r="G311" s="37" t="s">
        <v>192</v>
      </c>
      <c r="H311" s="38" t="n">
        <v>199.233565090105</v>
      </c>
      <c r="I311" s="38" t="n">
        <v>204.036805250781</v>
      </c>
      <c r="J311" s="38" t="n">
        <v>235.073235185418</v>
      </c>
      <c r="K311" s="38" t="n">
        <v>266.457773968991</v>
      </c>
      <c r="L311" s="38" t="n">
        <v>96.5262345150307</v>
      </c>
      <c r="M311" s="38" t="n">
        <v>105.68010873263</v>
      </c>
      <c r="N311" s="38" t="n">
        <v>137.157202283243</v>
      </c>
      <c r="O311" s="38" t="n">
        <v>76.0447397016119</v>
      </c>
      <c r="P311" s="37" t="n">
        <v>0</v>
      </c>
      <c r="Q311" s="38" t="n">
        <v>0</v>
      </c>
      <c r="R311" s="38" t="n">
        <v>72</v>
      </c>
      <c r="S311" s="37" t="n">
        <v>0</v>
      </c>
    </row>
    <row r="312" customFormat="false" ht="15" hidden="false" customHeight="false" outlineLevel="0" collapsed="false">
      <c r="A312" s="37" t="n">
        <v>0</v>
      </c>
      <c r="B312" s="37" t="n">
        <v>0</v>
      </c>
      <c r="C312" s="37" t="n">
        <v>10</v>
      </c>
      <c r="D312" s="37" t="n">
        <v>15</v>
      </c>
      <c r="E312" s="37" t="n">
        <v>0</v>
      </c>
      <c r="F312" s="37" t="n">
        <v>5</v>
      </c>
      <c r="G312" s="37" t="s">
        <v>195</v>
      </c>
      <c r="H312" s="38" t="n">
        <v>199.233565090105</v>
      </c>
      <c r="I312" s="38" t="n">
        <v>204.43164662231</v>
      </c>
      <c r="J312" s="38" t="n">
        <v>228.574075378922</v>
      </c>
      <c r="K312" s="38" t="n">
        <v>265.625890735947</v>
      </c>
      <c r="L312" s="38" t="n">
        <v>114.375890735947</v>
      </c>
      <c r="M312" s="38" t="n">
        <v>113.143433801798</v>
      </c>
      <c r="N312" s="38" t="n">
        <v>144.298259968389</v>
      </c>
      <c r="O312" s="38" t="n">
        <v>79.8099667410588</v>
      </c>
      <c r="P312" s="37" t="n">
        <v>0</v>
      </c>
      <c r="Q312" s="38" t="n">
        <v>0</v>
      </c>
      <c r="R312" s="38" t="n">
        <v>68.32</v>
      </c>
      <c r="S312" s="37" t="n">
        <v>1</v>
      </c>
    </row>
    <row r="313" customFormat="false" ht="15" hidden="false" customHeight="false" outlineLevel="0" collapsed="false">
      <c r="A313" s="37" t="n">
        <v>0</v>
      </c>
      <c r="B313" s="37" t="n">
        <v>0</v>
      </c>
      <c r="C313" s="37" t="n">
        <v>10</v>
      </c>
      <c r="D313" s="37" t="n">
        <v>15</v>
      </c>
      <c r="E313" s="37" t="n">
        <v>0</v>
      </c>
      <c r="F313" s="37" t="n">
        <v>5</v>
      </c>
      <c r="G313" s="37" t="s">
        <v>197</v>
      </c>
      <c r="H313" s="38" t="n">
        <v>199.233565090105</v>
      </c>
      <c r="I313" s="38" t="n">
        <v>204.032692630415</v>
      </c>
      <c r="J313" s="38" t="n">
        <v>227.562214914191</v>
      </c>
      <c r="K313" s="38" t="n">
        <v>262.451699172043</v>
      </c>
      <c r="L313" s="38" t="n">
        <v>100.502313706619</v>
      </c>
      <c r="M313" s="38" t="n">
        <v>106.167749142747</v>
      </c>
      <c r="N313" s="38" t="n">
        <v>125.387640922394</v>
      </c>
      <c r="O313" s="38" t="n">
        <v>74.8556576758794</v>
      </c>
      <c r="P313" s="37" t="n">
        <v>0</v>
      </c>
      <c r="Q313" s="38" t="n">
        <v>0</v>
      </c>
      <c r="R313" s="38" t="n">
        <v>72</v>
      </c>
      <c r="S313" s="37" t="n">
        <v>0</v>
      </c>
    </row>
    <row r="314" customFormat="false" ht="15" hidden="false" customHeight="false" outlineLevel="0" collapsed="false">
      <c r="A314" s="37" t="n">
        <v>0</v>
      </c>
      <c r="B314" s="37" t="n">
        <v>0</v>
      </c>
      <c r="C314" s="37" t="n">
        <v>10</v>
      </c>
      <c r="D314" s="37" t="n">
        <v>15</v>
      </c>
      <c r="E314" s="37" t="n">
        <v>0</v>
      </c>
      <c r="F314" s="37" t="n">
        <v>5</v>
      </c>
      <c r="G314" s="37" t="s">
        <v>196</v>
      </c>
      <c r="H314" s="38" t="n">
        <v>199.233565090105</v>
      </c>
      <c r="I314" s="38" t="n">
        <v>204.035235215495</v>
      </c>
      <c r="J314" s="38" t="n">
        <v>220.446824565481</v>
      </c>
      <c r="K314" s="38" t="n">
        <v>264.615771575278</v>
      </c>
      <c r="L314" s="38" t="n">
        <v>111.060216019723</v>
      </c>
      <c r="M314" s="38" t="n">
        <v>108.839631898271</v>
      </c>
      <c r="N314" s="38" t="n">
        <v>133.334384011218</v>
      </c>
      <c r="O314" s="38" t="n">
        <v>74.1038339002716</v>
      </c>
      <c r="P314" s="37" t="n">
        <v>0</v>
      </c>
      <c r="Q314" s="38" t="n">
        <v>0</v>
      </c>
      <c r="R314" s="38" t="n">
        <v>70.7373333333333</v>
      </c>
      <c r="S314" s="37" t="n">
        <v>0</v>
      </c>
    </row>
    <row r="315" customFormat="false" ht="15" hidden="false" customHeight="false" outlineLevel="0" collapsed="false">
      <c r="A315" s="37" t="n">
        <v>0</v>
      </c>
      <c r="B315" s="37" t="n">
        <v>0</v>
      </c>
      <c r="C315" s="37" t="n">
        <v>10</v>
      </c>
      <c r="D315" s="37" t="n">
        <v>15</v>
      </c>
      <c r="E315" s="37" t="n">
        <v>5</v>
      </c>
      <c r="F315" s="37" t="n">
        <v>0</v>
      </c>
      <c r="G315" s="37" t="s">
        <v>188</v>
      </c>
      <c r="H315" s="38" t="n">
        <v>199.222217890677</v>
      </c>
      <c r="I315" s="38" t="n">
        <v>204.0833132131</v>
      </c>
      <c r="J315" s="38" t="n">
        <v>224.602514122287</v>
      </c>
      <c r="K315" s="38" t="n">
        <v>258.716404025159</v>
      </c>
      <c r="L315" s="38" t="n">
        <v>66.4664040251585</v>
      </c>
      <c r="M315" s="38" t="n">
        <v>109.553780003465</v>
      </c>
      <c r="N315" s="38" t="n">
        <v>135.67201895407</v>
      </c>
      <c r="O315" s="38" t="n">
        <v>75.2995760567127</v>
      </c>
      <c r="P315" s="37" t="n">
        <v>0</v>
      </c>
      <c r="Q315" s="38" t="n">
        <v>0</v>
      </c>
      <c r="R315" s="38" t="n">
        <v>72</v>
      </c>
      <c r="S315" s="37" t="n">
        <v>0</v>
      </c>
    </row>
    <row r="316" customFormat="false" ht="15" hidden="false" customHeight="false" outlineLevel="0" collapsed="false">
      <c r="A316" s="37" t="n">
        <v>0</v>
      </c>
      <c r="B316" s="37" t="n">
        <v>0</v>
      </c>
      <c r="C316" s="37" t="n">
        <v>10</v>
      </c>
      <c r="D316" s="37" t="n">
        <v>15</v>
      </c>
      <c r="E316" s="37" t="n">
        <v>5</v>
      </c>
      <c r="F316" s="37" t="n">
        <v>0</v>
      </c>
      <c r="G316" s="37" t="s">
        <v>192</v>
      </c>
      <c r="H316" s="38" t="n">
        <v>199.222217890677</v>
      </c>
      <c r="I316" s="38" t="n">
        <v>204.064653087774</v>
      </c>
      <c r="J316" s="38" t="n">
        <v>238.297144260897</v>
      </c>
      <c r="K316" s="38" t="n">
        <v>270.580399758545</v>
      </c>
      <c r="L316" s="38" t="n">
        <v>60.5806400606951</v>
      </c>
      <c r="M316" s="38" t="n">
        <v>106.494746979737</v>
      </c>
      <c r="N316" s="38" t="n">
        <v>144.205434005498</v>
      </c>
      <c r="O316" s="38" t="n">
        <v>76.2750592378237</v>
      </c>
      <c r="P316" s="37" t="n">
        <v>0</v>
      </c>
      <c r="Q316" s="38" t="n">
        <v>0</v>
      </c>
      <c r="R316" s="38" t="n">
        <v>72</v>
      </c>
      <c r="S316" s="37" t="n">
        <v>0</v>
      </c>
    </row>
    <row r="317" customFormat="false" ht="15" hidden="false" customHeight="false" outlineLevel="0" collapsed="false">
      <c r="A317" s="37" t="n">
        <v>0</v>
      </c>
      <c r="B317" s="37" t="n">
        <v>0</v>
      </c>
      <c r="C317" s="37" t="n">
        <v>10</v>
      </c>
      <c r="D317" s="37" t="n">
        <v>15</v>
      </c>
      <c r="E317" s="37" t="n">
        <v>5</v>
      </c>
      <c r="F317" s="37" t="n">
        <v>0</v>
      </c>
      <c r="G317" s="37" t="s">
        <v>195</v>
      </c>
      <c r="H317" s="38" t="n">
        <v>199.222217890677</v>
      </c>
      <c r="I317" s="38" t="n">
        <v>204.477339296887</v>
      </c>
      <c r="J317" s="38" t="n">
        <v>231.877888075284</v>
      </c>
      <c r="K317" s="38" t="n">
        <v>270.146145154417</v>
      </c>
      <c r="L317" s="38" t="n">
        <v>78.896145154417</v>
      </c>
      <c r="M317" s="38" t="n">
        <v>113.923194083225</v>
      </c>
      <c r="N317" s="38" t="n">
        <v>151.70062516779</v>
      </c>
      <c r="O317" s="38" t="n">
        <v>80.2530143956056</v>
      </c>
      <c r="P317" s="37" t="n">
        <v>0</v>
      </c>
      <c r="Q317" s="38" t="n">
        <v>0</v>
      </c>
      <c r="R317" s="38" t="n">
        <v>68.32</v>
      </c>
      <c r="S317" s="37" t="n">
        <v>1</v>
      </c>
    </row>
    <row r="318" customFormat="false" ht="15" hidden="false" customHeight="false" outlineLevel="0" collapsed="false">
      <c r="A318" s="37" t="n">
        <v>0</v>
      </c>
      <c r="B318" s="37" t="n">
        <v>0</v>
      </c>
      <c r="C318" s="37" t="n">
        <v>10</v>
      </c>
      <c r="D318" s="37" t="n">
        <v>15</v>
      </c>
      <c r="E318" s="37" t="n">
        <v>5</v>
      </c>
      <c r="F318" s="37" t="n">
        <v>0</v>
      </c>
      <c r="G318" s="37" t="s">
        <v>197</v>
      </c>
      <c r="H318" s="38" t="n">
        <v>199.222217890677</v>
      </c>
      <c r="I318" s="38" t="n">
        <v>204.075283949934</v>
      </c>
      <c r="J318" s="38" t="n">
        <v>231.207212826781</v>
      </c>
      <c r="K318" s="38" t="n">
        <v>267.395330543339</v>
      </c>
      <c r="L318" s="38" t="n">
        <v>65.9956881638052</v>
      </c>
      <c r="M318" s="38" t="n">
        <v>110.379730402513</v>
      </c>
      <c r="N318" s="38" t="n">
        <v>141.975363443395</v>
      </c>
      <c r="O318" s="38" t="n">
        <v>79.2207511141061</v>
      </c>
      <c r="P318" s="37" t="n">
        <v>0</v>
      </c>
      <c r="Q318" s="38" t="n">
        <v>0</v>
      </c>
      <c r="R318" s="38" t="n">
        <v>72</v>
      </c>
      <c r="S318" s="37" t="n">
        <v>0</v>
      </c>
    </row>
    <row r="319" customFormat="false" ht="15" hidden="false" customHeight="false" outlineLevel="0" collapsed="false">
      <c r="A319" s="37" t="n">
        <v>0</v>
      </c>
      <c r="B319" s="37" t="n">
        <v>0</v>
      </c>
      <c r="C319" s="37" t="n">
        <v>10</v>
      </c>
      <c r="D319" s="37" t="n">
        <v>15</v>
      </c>
      <c r="E319" s="37" t="n">
        <v>5</v>
      </c>
      <c r="F319" s="37" t="n">
        <v>0</v>
      </c>
      <c r="G319" s="37" t="s">
        <v>196</v>
      </c>
      <c r="H319" s="38" t="n">
        <v>199.222217890677</v>
      </c>
      <c r="I319" s="38" t="n">
        <v>204.067059570229</v>
      </c>
      <c r="J319" s="38" t="n">
        <v>222.855880451742</v>
      </c>
      <c r="K319" s="38" t="n">
        <v>267.893889247867</v>
      </c>
      <c r="L319" s="38" t="n">
        <v>74.3383336923113</v>
      </c>
      <c r="M319" s="38" t="n">
        <v>110.34089327614</v>
      </c>
      <c r="N319" s="38" t="n">
        <v>141.247218736737</v>
      </c>
      <c r="O319" s="38" t="n">
        <v>75.4192181541558</v>
      </c>
      <c r="P319" s="37" t="n">
        <v>0</v>
      </c>
      <c r="Q319" s="38" t="n">
        <v>0</v>
      </c>
      <c r="R319" s="38" t="n">
        <v>70.604</v>
      </c>
      <c r="S319" s="37" t="n">
        <v>0</v>
      </c>
    </row>
    <row r="320" customFormat="false" ht="15" hidden="false" customHeight="false" outlineLevel="0" collapsed="false">
      <c r="A320" s="37" t="n">
        <v>0</v>
      </c>
      <c r="B320" s="37" t="n">
        <v>0</v>
      </c>
      <c r="C320" s="37" t="n">
        <v>10</v>
      </c>
      <c r="D320" s="37" t="n">
        <v>20</v>
      </c>
      <c r="E320" s="37" t="n">
        <v>0</v>
      </c>
      <c r="F320" s="37" t="n">
        <v>0</v>
      </c>
      <c r="G320" s="37" t="s">
        <v>188</v>
      </c>
      <c r="H320" s="38" t="n">
        <v>199.409232033641</v>
      </c>
      <c r="I320" s="38" t="n">
        <v>204.924740654884</v>
      </c>
      <c r="J320" s="38" t="n">
        <v>224.869273033508</v>
      </c>
      <c r="K320" s="38" t="n">
        <v>253.970596926269</v>
      </c>
      <c r="L320" s="38" t="n">
        <v>61.7205969262688</v>
      </c>
      <c r="M320" s="38" t="n">
        <v>109.368269349016</v>
      </c>
      <c r="N320" s="38" t="n">
        <v>130.682631130193</v>
      </c>
      <c r="O320" s="38" t="n">
        <v>74.5303420315752</v>
      </c>
      <c r="P320" s="37" t="n">
        <v>0</v>
      </c>
      <c r="Q320" s="38" t="n">
        <v>0</v>
      </c>
      <c r="R320" s="38" t="n">
        <v>72</v>
      </c>
      <c r="S320" s="37" t="n">
        <v>0</v>
      </c>
    </row>
    <row r="321" customFormat="false" ht="15" hidden="false" customHeight="false" outlineLevel="0" collapsed="false">
      <c r="A321" s="37" t="n">
        <v>0</v>
      </c>
      <c r="B321" s="37" t="n">
        <v>0</v>
      </c>
      <c r="C321" s="37" t="n">
        <v>10</v>
      </c>
      <c r="D321" s="37" t="n">
        <v>20</v>
      </c>
      <c r="E321" s="37" t="n">
        <v>0</v>
      </c>
      <c r="F321" s="37" t="n">
        <v>0</v>
      </c>
      <c r="G321" s="37" t="s">
        <v>192</v>
      </c>
      <c r="H321" s="38" t="n">
        <v>199.409232033641</v>
      </c>
      <c r="I321" s="38" t="n">
        <v>204.90366213378</v>
      </c>
      <c r="J321" s="38" t="n">
        <v>238.245129318902</v>
      </c>
      <c r="K321" s="38" t="n">
        <v>265.515643670355</v>
      </c>
      <c r="L321" s="38" t="n">
        <v>55.860344356051</v>
      </c>
      <c r="M321" s="38" t="n">
        <v>106.304709751342</v>
      </c>
      <c r="N321" s="38" t="n">
        <v>138.967868821614</v>
      </c>
      <c r="O321" s="38" t="n">
        <v>75.1860544306788</v>
      </c>
      <c r="P321" s="37" t="n">
        <v>0</v>
      </c>
      <c r="Q321" s="38" t="n">
        <v>0</v>
      </c>
      <c r="R321" s="38" t="n">
        <v>72</v>
      </c>
      <c r="S321" s="37" t="n">
        <v>0</v>
      </c>
    </row>
    <row r="322" customFormat="false" ht="15" hidden="false" customHeight="false" outlineLevel="0" collapsed="false">
      <c r="A322" s="37" t="n">
        <v>0</v>
      </c>
      <c r="B322" s="37" t="n">
        <v>0</v>
      </c>
      <c r="C322" s="37" t="n">
        <v>10</v>
      </c>
      <c r="D322" s="37" t="n">
        <v>20</v>
      </c>
      <c r="E322" s="37" t="n">
        <v>0</v>
      </c>
      <c r="F322" s="37" t="n">
        <v>0</v>
      </c>
      <c r="G322" s="37" t="s">
        <v>195</v>
      </c>
      <c r="H322" s="38" t="n">
        <v>199.409232033641</v>
      </c>
      <c r="I322" s="38" t="n">
        <v>205.416801775774</v>
      </c>
      <c r="J322" s="38" t="n">
        <v>232.649374516932</v>
      </c>
      <c r="K322" s="38" t="n">
        <v>266.405922201084</v>
      </c>
      <c r="L322" s="38" t="n">
        <v>75.1559222010841</v>
      </c>
      <c r="M322" s="38" t="n">
        <v>114.803794446998</v>
      </c>
      <c r="N322" s="38" t="n">
        <v>147.292432749773</v>
      </c>
      <c r="O322" s="38" t="n">
        <v>79.5063324650872</v>
      </c>
      <c r="P322" s="37" t="n">
        <v>0</v>
      </c>
      <c r="Q322" s="38" t="n">
        <v>0</v>
      </c>
      <c r="R322" s="38" t="n">
        <v>68.32</v>
      </c>
      <c r="S322" s="37" t="n">
        <v>1</v>
      </c>
    </row>
    <row r="323" customFormat="false" ht="15" hidden="false" customHeight="false" outlineLevel="0" collapsed="false">
      <c r="A323" s="37" t="n">
        <v>0</v>
      </c>
      <c r="B323" s="37" t="n">
        <v>0</v>
      </c>
      <c r="C323" s="37" t="n">
        <v>10</v>
      </c>
      <c r="D323" s="37" t="n">
        <v>20</v>
      </c>
      <c r="E323" s="37" t="n">
        <v>0</v>
      </c>
      <c r="F323" s="37" t="n">
        <v>0</v>
      </c>
      <c r="G323" s="37" t="s">
        <v>197</v>
      </c>
      <c r="H323" s="38" t="n">
        <v>199.409232033641</v>
      </c>
      <c r="I323" s="38" t="n">
        <v>204.899754150195</v>
      </c>
      <c r="J323" s="38" t="n">
        <v>230.70563182398</v>
      </c>
      <c r="K323" s="38" t="n">
        <v>261.481273237083</v>
      </c>
      <c r="L323" s="38" t="n">
        <v>59.536082624251</v>
      </c>
      <c r="M323" s="38" t="n">
        <v>106.828235968497</v>
      </c>
      <c r="N323" s="38" t="n">
        <v>127.242951956517</v>
      </c>
      <c r="O323" s="38" t="n">
        <v>74.0938731974379</v>
      </c>
      <c r="P323" s="37" t="n">
        <v>0</v>
      </c>
      <c r="Q323" s="38" t="n">
        <v>0</v>
      </c>
      <c r="R323" s="38" t="n">
        <v>72</v>
      </c>
      <c r="S323" s="37" t="n">
        <v>0</v>
      </c>
    </row>
    <row r="324" customFormat="false" ht="15" hidden="false" customHeight="false" outlineLevel="0" collapsed="false">
      <c r="A324" s="37" t="n">
        <v>0</v>
      </c>
      <c r="B324" s="37" t="n">
        <v>0</v>
      </c>
      <c r="C324" s="37" t="n">
        <v>10</v>
      </c>
      <c r="D324" s="37" t="n">
        <v>20</v>
      </c>
      <c r="E324" s="37" t="n">
        <v>0</v>
      </c>
      <c r="F324" s="37" t="n">
        <v>0</v>
      </c>
      <c r="G324" s="37" t="s">
        <v>196</v>
      </c>
      <c r="H324" s="38" t="n">
        <v>199.409232033641</v>
      </c>
      <c r="I324" s="38" t="n">
        <v>204.901987390365</v>
      </c>
      <c r="J324" s="38" t="n">
        <v>223.528870392433</v>
      </c>
      <c r="K324" s="38" t="n">
        <v>263.549146905347</v>
      </c>
      <c r="L324" s="38" t="n">
        <v>69.9935913497918</v>
      </c>
      <c r="M324" s="38" t="n">
        <v>109.788805800454</v>
      </c>
      <c r="N324" s="38" t="n">
        <v>135.125073045399</v>
      </c>
      <c r="O324" s="38" t="n">
        <v>73.1947408146336</v>
      </c>
      <c r="P324" s="37" t="n">
        <v>0</v>
      </c>
      <c r="Q324" s="38" t="n">
        <v>0</v>
      </c>
      <c r="R324" s="38" t="n">
        <v>70.7373333333333</v>
      </c>
      <c r="S324" s="37" t="n">
        <v>0</v>
      </c>
    </row>
    <row r="325" customFormat="false" ht="15" hidden="false" customHeight="false" outlineLevel="0" collapsed="false">
      <c r="A325" s="37" t="n">
        <v>0</v>
      </c>
      <c r="B325" s="37" t="n">
        <v>0</v>
      </c>
      <c r="C325" s="37" t="n">
        <v>15</v>
      </c>
      <c r="D325" s="37" t="n">
        <v>0</v>
      </c>
      <c r="E325" s="37" t="n">
        <v>0</v>
      </c>
      <c r="F325" s="37" t="n">
        <v>15</v>
      </c>
      <c r="G325" s="37" t="s">
        <v>188</v>
      </c>
      <c r="H325" s="38" t="n">
        <v>198.873526955731</v>
      </c>
      <c r="I325" s="38" t="n">
        <v>201.751707324825</v>
      </c>
      <c r="J325" s="38" t="n">
        <v>212.779810353006</v>
      </c>
      <c r="K325" s="38" t="n">
        <v>256.284110399032</v>
      </c>
      <c r="L325" s="38" t="n">
        <v>173.889261686314</v>
      </c>
      <c r="M325" s="38" t="n">
        <v>107.532115519805</v>
      </c>
      <c r="N325" s="38" t="n">
        <v>123.424000068716</v>
      </c>
      <c r="O325" s="38" t="n">
        <v>70.8638169550997</v>
      </c>
      <c r="P325" s="37" t="n">
        <v>0</v>
      </c>
      <c r="Q325" s="38" t="n">
        <v>0</v>
      </c>
      <c r="R325" s="38" t="n">
        <v>70.5</v>
      </c>
      <c r="S325" s="37" t="n">
        <v>1</v>
      </c>
    </row>
    <row r="326" customFormat="false" ht="15" hidden="false" customHeight="false" outlineLevel="0" collapsed="false">
      <c r="A326" s="37" t="n">
        <v>0</v>
      </c>
      <c r="B326" s="37" t="n">
        <v>0</v>
      </c>
      <c r="C326" s="37" t="n">
        <v>15</v>
      </c>
      <c r="D326" s="37" t="n">
        <v>0</v>
      </c>
      <c r="E326" s="37" t="n">
        <v>0</v>
      </c>
      <c r="F326" s="37" t="n">
        <v>15</v>
      </c>
      <c r="G326" s="37" t="s">
        <v>192</v>
      </c>
      <c r="H326" s="38" t="n">
        <v>198.873526955731</v>
      </c>
      <c r="I326" s="38" t="n">
        <v>201.739739114057</v>
      </c>
      <c r="J326" s="38" t="n">
        <v>214.741269848248</v>
      </c>
      <c r="K326" s="38" t="n">
        <v>258.697532111479</v>
      </c>
      <c r="L326" s="38" t="n">
        <v>177.985144021304</v>
      </c>
      <c r="M326" s="38" t="n">
        <v>104.485564268108</v>
      </c>
      <c r="N326" s="38" t="n">
        <v>122.418971903421</v>
      </c>
      <c r="O326" s="38" t="n">
        <v>69.5230457522048</v>
      </c>
      <c r="P326" s="37" t="n">
        <v>0</v>
      </c>
      <c r="Q326" s="38" t="n">
        <v>0</v>
      </c>
      <c r="R326" s="38" t="n">
        <v>70.5</v>
      </c>
      <c r="S326" s="37" t="n">
        <v>0</v>
      </c>
    </row>
    <row r="327" customFormat="false" ht="15" hidden="false" customHeight="false" outlineLevel="0" collapsed="false">
      <c r="A327" s="37" t="n">
        <v>0</v>
      </c>
      <c r="B327" s="37" t="n">
        <v>0</v>
      </c>
      <c r="C327" s="37" t="n">
        <v>15</v>
      </c>
      <c r="D327" s="37" t="n">
        <v>0</v>
      </c>
      <c r="E327" s="37" t="n">
        <v>0</v>
      </c>
      <c r="F327" s="37" t="n">
        <v>15</v>
      </c>
      <c r="G327" s="37" t="s">
        <v>195</v>
      </c>
      <c r="H327" s="38" t="n">
        <v>198.873526955731</v>
      </c>
      <c r="I327" s="38" t="n">
        <v>201.800723825549</v>
      </c>
      <c r="J327" s="38" t="n">
        <v>211.118662912096</v>
      </c>
      <c r="K327" s="38" t="n">
        <v>251.244279393569</v>
      </c>
      <c r="L327" s="38" t="n">
        <v>172.933993679283</v>
      </c>
      <c r="M327" s="38" t="n">
        <v>107.608423076814</v>
      </c>
      <c r="N327" s="38" t="n">
        <v>119.355410462825</v>
      </c>
      <c r="O327" s="38" t="n">
        <v>67.8495592256634</v>
      </c>
      <c r="P327" s="37" t="n">
        <v>0</v>
      </c>
      <c r="Q327" s="38" t="n">
        <v>0</v>
      </c>
      <c r="R327" s="38" t="n">
        <v>68.6819142857143</v>
      </c>
      <c r="S327" s="37" t="n">
        <v>0</v>
      </c>
    </row>
    <row r="328" customFormat="false" ht="15" hidden="false" customHeight="false" outlineLevel="0" collapsed="false">
      <c r="A328" s="37" t="n">
        <v>0</v>
      </c>
      <c r="B328" s="37" t="n">
        <v>0</v>
      </c>
      <c r="C328" s="37" t="n">
        <v>15</v>
      </c>
      <c r="D328" s="37" t="n">
        <v>0</v>
      </c>
      <c r="E328" s="37" t="n">
        <v>0</v>
      </c>
      <c r="F328" s="37" t="n">
        <v>15</v>
      </c>
      <c r="G328" s="37" t="s">
        <v>197</v>
      </c>
      <c r="H328" s="38" t="n">
        <v>198.873526955731</v>
      </c>
      <c r="I328" s="38" t="n">
        <v>201.734595477719</v>
      </c>
      <c r="J328" s="38" t="n">
        <v>213.626381107557</v>
      </c>
      <c r="K328" s="38" t="n">
        <v>257.191021904829</v>
      </c>
      <c r="L328" s="38" t="n">
        <v>174.796770088217</v>
      </c>
      <c r="M328" s="38" t="n">
        <v>103.580248177184</v>
      </c>
      <c r="N328" s="38" t="n">
        <v>113.216174335116</v>
      </c>
      <c r="O328" s="38" t="n">
        <v>68.657984779923</v>
      </c>
      <c r="P328" s="37" t="n">
        <v>0</v>
      </c>
      <c r="Q328" s="38" t="n">
        <v>0</v>
      </c>
      <c r="R328" s="38" t="n">
        <v>70.5</v>
      </c>
      <c r="S328" s="37" t="n">
        <v>0</v>
      </c>
    </row>
    <row r="329" customFormat="false" ht="15" hidden="false" customHeight="false" outlineLevel="0" collapsed="false">
      <c r="A329" s="37" t="n">
        <v>0</v>
      </c>
      <c r="B329" s="37" t="n">
        <v>0</v>
      </c>
      <c r="C329" s="37" t="n">
        <v>15</v>
      </c>
      <c r="D329" s="37" t="n">
        <v>0</v>
      </c>
      <c r="E329" s="37" t="n">
        <v>0</v>
      </c>
      <c r="F329" s="37" t="n">
        <v>15</v>
      </c>
      <c r="G329" s="37" t="s">
        <v>196</v>
      </c>
      <c r="H329" s="38" t="n">
        <v>198.873526955731</v>
      </c>
      <c r="I329" s="38" t="n">
        <v>201.73714648765</v>
      </c>
      <c r="J329" s="38" t="n">
        <v>214.124091105671</v>
      </c>
      <c r="K329" s="38" t="n">
        <v>257.948344003239</v>
      </c>
      <c r="L329" s="38" t="n">
        <v>181.909339745929</v>
      </c>
      <c r="M329" s="38" t="n">
        <v>105.383390952825</v>
      </c>
      <c r="N329" s="38" t="n">
        <v>120.495180940076</v>
      </c>
      <c r="O329" s="38" t="n">
        <v>69.6537550978474</v>
      </c>
      <c r="P329" s="37" t="n">
        <v>0</v>
      </c>
      <c r="Q329" s="38" t="n">
        <v>0</v>
      </c>
      <c r="R329" s="38" t="n">
        <v>69.603972311579</v>
      </c>
      <c r="S329" s="37" t="n">
        <v>0</v>
      </c>
    </row>
    <row r="330" customFormat="false" ht="15" hidden="false" customHeight="false" outlineLevel="0" collapsed="false">
      <c r="A330" s="37" t="n">
        <v>0</v>
      </c>
      <c r="B330" s="37" t="n">
        <v>0</v>
      </c>
      <c r="C330" s="37" t="n">
        <v>15</v>
      </c>
      <c r="D330" s="37" t="n">
        <v>0</v>
      </c>
      <c r="E330" s="37" t="n">
        <v>5</v>
      </c>
      <c r="F330" s="37" t="n">
        <v>10</v>
      </c>
      <c r="G330" s="37" t="s">
        <v>188</v>
      </c>
      <c r="H330" s="38" t="n">
        <v>198.875055639205</v>
      </c>
      <c r="I330" s="38" t="n">
        <v>201.878099428274</v>
      </c>
      <c r="J330" s="38" t="n">
        <v>215.315994267309</v>
      </c>
      <c r="K330" s="38" t="n">
        <v>260.069920428429</v>
      </c>
      <c r="L330" s="38" t="n">
        <v>137.877042671677</v>
      </c>
      <c r="M330" s="38" t="n">
        <v>108.532004308458</v>
      </c>
      <c r="N330" s="38" t="n">
        <v>129.962131472756</v>
      </c>
      <c r="O330" s="38" t="n">
        <v>71.5543759640753</v>
      </c>
      <c r="P330" s="37" t="n">
        <v>0</v>
      </c>
      <c r="Q330" s="38" t="n">
        <v>0</v>
      </c>
      <c r="R330" s="38" t="n">
        <v>70.5</v>
      </c>
      <c r="S330" s="37" t="n">
        <v>1</v>
      </c>
    </row>
    <row r="331" customFormat="false" ht="15" hidden="false" customHeight="false" outlineLevel="0" collapsed="false">
      <c r="A331" s="37" t="n">
        <v>0</v>
      </c>
      <c r="B331" s="37" t="n">
        <v>0</v>
      </c>
      <c r="C331" s="37" t="n">
        <v>15</v>
      </c>
      <c r="D331" s="37" t="n">
        <v>0</v>
      </c>
      <c r="E331" s="37" t="n">
        <v>5</v>
      </c>
      <c r="F331" s="37" t="n">
        <v>10</v>
      </c>
      <c r="G331" s="37" t="s">
        <v>192</v>
      </c>
      <c r="H331" s="38" t="n">
        <v>198.875055639205</v>
      </c>
      <c r="I331" s="38" t="n">
        <v>201.865159102148</v>
      </c>
      <c r="J331" s="38" t="n">
        <v>217.174046712394</v>
      </c>
      <c r="K331" s="38" t="n">
        <v>262.333124914682</v>
      </c>
      <c r="L331" s="38" t="n">
        <v>141.609488917201</v>
      </c>
      <c r="M331" s="38" t="n">
        <v>105.478667389369</v>
      </c>
      <c r="N331" s="38" t="n">
        <v>128.746330378244</v>
      </c>
      <c r="O331" s="38" t="n">
        <v>70.4287764611476</v>
      </c>
      <c r="P331" s="37" t="n">
        <v>0</v>
      </c>
      <c r="Q331" s="38" t="n">
        <v>0</v>
      </c>
      <c r="R331" s="38" t="n">
        <v>70.5</v>
      </c>
      <c r="S331" s="37" t="n">
        <v>0</v>
      </c>
    </row>
    <row r="332" customFormat="false" ht="15" hidden="false" customHeight="false" outlineLevel="0" collapsed="false">
      <c r="A332" s="37" t="n">
        <v>0</v>
      </c>
      <c r="B332" s="37" t="n">
        <v>0</v>
      </c>
      <c r="C332" s="37" t="n">
        <v>15</v>
      </c>
      <c r="D332" s="37" t="n">
        <v>0</v>
      </c>
      <c r="E332" s="37" t="n">
        <v>5</v>
      </c>
      <c r="F332" s="37" t="n">
        <v>10</v>
      </c>
      <c r="G332" s="37" t="s">
        <v>195</v>
      </c>
      <c r="H332" s="38" t="n">
        <v>198.875055639205</v>
      </c>
      <c r="I332" s="38" t="n">
        <v>201.935718181043</v>
      </c>
      <c r="J332" s="38" t="n">
        <v>213.668183573026</v>
      </c>
      <c r="K332" s="38" t="n">
        <v>255.091347542997</v>
      </c>
      <c r="L332" s="38" t="n">
        <v>136.74768080629</v>
      </c>
      <c r="M332" s="38" t="n">
        <v>108.624000063231</v>
      </c>
      <c r="N332" s="38" t="n">
        <v>126.009139641969</v>
      </c>
      <c r="O332" s="38" t="n">
        <v>70.1462762514378</v>
      </c>
      <c r="P332" s="37" t="n">
        <v>0</v>
      </c>
      <c r="Q332" s="38" t="n">
        <v>0</v>
      </c>
      <c r="R332" s="38" t="n">
        <v>68.6718999789876</v>
      </c>
      <c r="S332" s="37" t="n">
        <v>0</v>
      </c>
    </row>
    <row r="333" customFormat="false" ht="15" hidden="false" customHeight="false" outlineLevel="0" collapsed="false">
      <c r="A333" s="37" t="n">
        <v>0</v>
      </c>
      <c r="B333" s="37" t="n">
        <v>0</v>
      </c>
      <c r="C333" s="37" t="n">
        <v>15</v>
      </c>
      <c r="D333" s="37" t="n">
        <v>0</v>
      </c>
      <c r="E333" s="37" t="n">
        <v>5</v>
      </c>
      <c r="F333" s="37" t="n">
        <v>10</v>
      </c>
      <c r="G333" s="37" t="s">
        <v>197</v>
      </c>
      <c r="H333" s="38" t="n">
        <v>198.875055639205</v>
      </c>
      <c r="I333" s="38" t="n">
        <v>201.869799224066</v>
      </c>
      <c r="J333" s="38" t="n">
        <v>216.678368605751</v>
      </c>
      <c r="K333" s="38" t="n">
        <v>261.767424008237</v>
      </c>
      <c r="L333" s="38" t="n">
        <v>139.910307477434</v>
      </c>
      <c r="M333" s="38" t="n">
        <v>108.017140396044</v>
      </c>
      <c r="N333" s="38" t="n">
        <v>128.79942254294</v>
      </c>
      <c r="O333" s="38" t="n">
        <v>73.5285973831268</v>
      </c>
      <c r="P333" s="37" t="n">
        <v>0</v>
      </c>
      <c r="Q333" s="38" t="n">
        <v>0</v>
      </c>
      <c r="R333" s="38" t="n">
        <v>70.5</v>
      </c>
      <c r="S333" s="37" t="n">
        <v>0</v>
      </c>
    </row>
    <row r="334" customFormat="false" ht="15" hidden="false" customHeight="false" outlineLevel="0" collapsed="false">
      <c r="A334" s="37" t="n">
        <v>0</v>
      </c>
      <c r="B334" s="37" t="n">
        <v>0</v>
      </c>
      <c r="C334" s="37" t="n">
        <v>15</v>
      </c>
      <c r="D334" s="37" t="n">
        <v>0</v>
      </c>
      <c r="E334" s="37" t="n">
        <v>5</v>
      </c>
      <c r="F334" s="37" t="n">
        <v>10</v>
      </c>
      <c r="G334" s="37" t="s">
        <v>196</v>
      </c>
      <c r="H334" s="38" t="n">
        <v>198.875055639205</v>
      </c>
      <c r="I334" s="38" t="n">
        <v>201.863914700795</v>
      </c>
      <c r="J334" s="38" t="n">
        <v>216.494389589129</v>
      </c>
      <c r="K334" s="38" t="n">
        <v>261.538977027473</v>
      </c>
      <c r="L334" s="38" t="n">
        <v>145.423632458773</v>
      </c>
      <c r="M334" s="38" t="n">
        <v>107.111525390788</v>
      </c>
      <c r="N334" s="38" t="n">
        <v>128.316671054103</v>
      </c>
      <c r="O334" s="38" t="n">
        <v>72.0203921385731</v>
      </c>
      <c r="P334" s="37" t="n">
        <v>0</v>
      </c>
      <c r="Q334" s="38" t="n">
        <v>0</v>
      </c>
      <c r="R334" s="38" t="n">
        <v>69.5856506368454</v>
      </c>
      <c r="S334" s="37" t="n">
        <v>0</v>
      </c>
    </row>
    <row r="335" customFormat="false" ht="15" hidden="false" customHeight="false" outlineLevel="0" collapsed="false">
      <c r="A335" s="37" t="n">
        <v>0</v>
      </c>
      <c r="B335" s="37" t="n">
        <v>0</v>
      </c>
      <c r="C335" s="37" t="n">
        <v>15</v>
      </c>
      <c r="D335" s="37" t="n">
        <v>0</v>
      </c>
      <c r="E335" s="37" t="n">
        <v>10</v>
      </c>
      <c r="F335" s="37" t="n">
        <v>5</v>
      </c>
      <c r="G335" s="37" t="s">
        <v>188</v>
      </c>
      <c r="H335" s="38" t="n">
        <v>198.8808216035</v>
      </c>
      <c r="I335" s="38" t="n">
        <v>202.049582978584</v>
      </c>
      <c r="J335" s="38" t="n">
        <v>217.336994437762</v>
      </c>
      <c r="K335" s="38" t="n">
        <v>263.318739164317</v>
      </c>
      <c r="L335" s="38" t="n">
        <v>101.301222469615</v>
      </c>
      <c r="M335" s="38" t="n">
        <v>109.511367896436</v>
      </c>
      <c r="N335" s="38" t="n">
        <v>135.103053905704</v>
      </c>
      <c r="O335" s="38" t="n">
        <v>71.2503697148764</v>
      </c>
      <c r="P335" s="37" t="n">
        <v>0</v>
      </c>
      <c r="Q335" s="38" t="n">
        <v>0</v>
      </c>
      <c r="R335" s="38" t="n">
        <v>70.5</v>
      </c>
      <c r="S335" s="37" t="n">
        <v>0</v>
      </c>
    </row>
    <row r="336" customFormat="false" ht="15" hidden="false" customHeight="false" outlineLevel="0" collapsed="false">
      <c r="A336" s="37" t="n">
        <v>0</v>
      </c>
      <c r="B336" s="37" t="n">
        <v>0</v>
      </c>
      <c r="C336" s="37" t="n">
        <v>15</v>
      </c>
      <c r="D336" s="37" t="n">
        <v>0</v>
      </c>
      <c r="E336" s="37" t="n">
        <v>10</v>
      </c>
      <c r="F336" s="37" t="n">
        <v>5</v>
      </c>
      <c r="G336" s="37" t="s">
        <v>192</v>
      </c>
      <c r="H336" s="38" t="n">
        <v>198.8808216035</v>
      </c>
      <c r="I336" s="38" t="n">
        <v>202.037008973448</v>
      </c>
      <c r="J336" s="38" t="n">
        <v>219.13594698098</v>
      </c>
      <c r="K336" s="38" t="n">
        <v>265.509872313861</v>
      </c>
      <c r="L336" s="38" t="n">
        <v>104.775830526144</v>
      </c>
      <c r="M336" s="38" t="n">
        <v>106.458995695037</v>
      </c>
      <c r="N336" s="38" t="n">
        <v>133.754426833998</v>
      </c>
      <c r="O336" s="38" t="n">
        <v>70.2094189231857</v>
      </c>
      <c r="P336" s="37" t="n">
        <v>0</v>
      </c>
      <c r="Q336" s="38" t="n">
        <v>0</v>
      </c>
      <c r="R336" s="38" t="n">
        <v>70.5</v>
      </c>
      <c r="S336" s="37" t="n">
        <v>0</v>
      </c>
    </row>
    <row r="337" customFormat="false" ht="15" hidden="false" customHeight="false" outlineLevel="0" collapsed="false">
      <c r="A337" s="37" t="n">
        <v>0</v>
      </c>
      <c r="B337" s="37" t="n">
        <v>0</v>
      </c>
      <c r="C337" s="37" t="n">
        <v>15</v>
      </c>
      <c r="D337" s="37" t="n">
        <v>0</v>
      </c>
      <c r="E337" s="37" t="n">
        <v>10</v>
      </c>
      <c r="F337" s="37" t="n">
        <v>5</v>
      </c>
      <c r="G337" s="37" t="s">
        <v>195</v>
      </c>
      <c r="H337" s="38" t="n">
        <v>198.8808216035</v>
      </c>
      <c r="I337" s="38" t="n">
        <v>202.116342839293</v>
      </c>
      <c r="J337" s="38" t="n">
        <v>215.740380751233</v>
      </c>
      <c r="K337" s="38" t="n">
        <v>258.45406754732</v>
      </c>
      <c r="L337" s="38" t="n">
        <v>100.057556328921</v>
      </c>
      <c r="M337" s="38" t="n">
        <v>109.625721750566</v>
      </c>
      <c r="N337" s="38" t="n">
        <v>131.299848849178</v>
      </c>
      <c r="O337" s="38" t="n">
        <v>70.1055741850799</v>
      </c>
      <c r="P337" s="37" t="n">
        <v>0</v>
      </c>
      <c r="Q337" s="38" t="n">
        <v>0</v>
      </c>
      <c r="R337" s="38" t="n">
        <v>68.6560466344803</v>
      </c>
      <c r="S337" s="37" t="n">
        <v>0</v>
      </c>
    </row>
    <row r="338" customFormat="false" ht="15" hidden="false" customHeight="false" outlineLevel="0" collapsed="false">
      <c r="A338" s="37" t="n">
        <v>0</v>
      </c>
      <c r="B338" s="37" t="n">
        <v>0</v>
      </c>
      <c r="C338" s="37" t="n">
        <v>15</v>
      </c>
      <c r="D338" s="37" t="n">
        <v>0</v>
      </c>
      <c r="E338" s="37" t="n">
        <v>10</v>
      </c>
      <c r="F338" s="37" t="n">
        <v>5</v>
      </c>
      <c r="G338" s="37" t="s">
        <v>197</v>
      </c>
      <c r="H338" s="38" t="n">
        <v>198.8808216035</v>
      </c>
      <c r="I338" s="38" t="n">
        <v>202.061377154361</v>
      </c>
      <c r="J338" s="38" t="n">
        <v>219.560558113926</v>
      </c>
      <c r="K338" s="38" t="n">
        <v>266.271678472917</v>
      </c>
      <c r="L338" s="38" t="n">
        <v>105.100154921398</v>
      </c>
      <c r="M338" s="38" t="n">
        <v>111.710965760412</v>
      </c>
      <c r="N338" s="38" t="n">
        <v>141.961107908969</v>
      </c>
      <c r="O338" s="38" t="n">
        <v>75.0056174900331</v>
      </c>
      <c r="P338" s="37" t="n">
        <v>0</v>
      </c>
      <c r="Q338" s="38" t="n">
        <v>0</v>
      </c>
      <c r="R338" s="38" t="n">
        <v>70.5</v>
      </c>
      <c r="S338" s="37" t="n">
        <v>1</v>
      </c>
    </row>
    <row r="339" customFormat="false" ht="15" hidden="false" customHeight="false" outlineLevel="0" collapsed="false">
      <c r="A339" s="37" t="n">
        <v>0</v>
      </c>
      <c r="B339" s="37" t="n">
        <v>0</v>
      </c>
      <c r="C339" s="37" t="n">
        <v>15</v>
      </c>
      <c r="D339" s="37" t="n">
        <v>0</v>
      </c>
      <c r="E339" s="37" t="n">
        <v>10</v>
      </c>
      <c r="F339" s="37" t="n">
        <v>5</v>
      </c>
      <c r="G339" s="37" t="s">
        <v>196</v>
      </c>
      <c r="H339" s="38" t="n">
        <v>198.8808216035</v>
      </c>
      <c r="I339" s="38" t="n">
        <v>202.037350926634</v>
      </c>
      <c r="J339" s="38" t="n">
        <v>218.451969588113</v>
      </c>
      <c r="K339" s="38" t="n">
        <v>264.74305710692</v>
      </c>
      <c r="L339" s="38" t="n">
        <v>108.56548583119</v>
      </c>
      <c r="M339" s="38" t="n">
        <v>108.663128562456</v>
      </c>
      <c r="N339" s="38" t="n">
        <v>134.542044595925</v>
      </c>
      <c r="O339" s="38" t="n">
        <v>72.2722230477123</v>
      </c>
      <c r="P339" s="37" t="n">
        <v>0</v>
      </c>
      <c r="Q339" s="38" t="n">
        <v>0</v>
      </c>
      <c r="R339" s="38" t="n">
        <v>69.5707162271582</v>
      </c>
      <c r="S339" s="37" t="n">
        <v>0</v>
      </c>
    </row>
    <row r="340" customFormat="false" ht="15" hidden="false" customHeight="false" outlineLevel="0" collapsed="false">
      <c r="A340" s="37" t="n">
        <v>0</v>
      </c>
      <c r="B340" s="37" t="n">
        <v>0</v>
      </c>
      <c r="C340" s="37" t="n">
        <v>15</v>
      </c>
      <c r="D340" s="37" t="n">
        <v>0</v>
      </c>
      <c r="E340" s="37" t="n">
        <v>15</v>
      </c>
      <c r="F340" s="37" t="n">
        <v>0</v>
      </c>
      <c r="G340" s="37" t="s">
        <v>188</v>
      </c>
      <c r="H340" s="38" t="n">
        <v>198.884787123599</v>
      </c>
      <c r="I340" s="38" t="n">
        <v>202.150280812107</v>
      </c>
      <c r="J340" s="38" t="n">
        <v>218.703612576664</v>
      </c>
      <c r="K340" s="38" t="n">
        <v>265.43454452866</v>
      </c>
      <c r="L340" s="38" t="n">
        <v>63.5687595586747</v>
      </c>
      <c r="M340" s="38" t="n">
        <v>110.207022285183</v>
      </c>
      <c r="N340" s="38" t="n">
        <v>138.683377366048</v>
      </c>
      <c r="O340" s="38" t="n">
        <v>70.6782242395619</v>
      </c>
      <c r="P340" s="37" t="n">
        <v>0</v>
      </c>
      <c r="Q340" s="38" t="n">
        <v>0</v>
      </c>
      <c r="R340" s="38" t="n">
        <v>70.5</v>
      </c>
      <c r="S340" s="37" t="n">
        <v>0</v>
      </c>
    </row>
    <row r="341" customFormat="false" ht="15" hidden="false" customHeight="false" outlineLevel="0" collapsed="false">
      <c r="A341" s="37" t="n">
        <v>0</v>
      </c>
      <c r="B341" s="37" t="n">
        <v>0</v>
      </c>
      <c r="C341" s="37" t="n">
        <v>15</v>
      </c>
      <c r="D341" s="37" t="n">
        <v>0</v>
      </c>
      <c r="E341" s="37" t="n">
        <v>15</v>
      </c>
      <c r="F341" s="37" t="n">
        <v>0</v>
      </c>
      <c r="G341" s="37" t="s">
        <v>192</v>
      </c>
      <c r="H341" s="38" t="n">
        <v>198.884787123599</v>
      </c>
      <c r="I341" s="38" t="n">
        <v>202.138108499178</v>
      </c>
      <c r="J341" s="38" t="n">
        <v>220.438896856401</v>
      </c>
      <c r="K341" s="38" t="n">
        <v>267.547156153932</v>
      </c>
      <c r="L341" s="38" t="n">
        <v>66.803449131049</v>
      </c>
      <c r="M341" s="38" t="n">
        <v>107.155833494716</v>
      </c>
      <c r="N341" s="38" t="n">
        <v>137.227178890774</v>
      </c>
      <c r="O341" s="38" t="n">
        <v>69.717420115954</v>
      </c>
      <c r="P341" s="37" t="n">
        <v>0</v>
      </c>
      <c r="Q341" s="38" t="n">
        <v>0</v>
      </c>
      <c r="R341" s="38" t="n">
        <v>70.5</v>
      </c>
      <c r="S341" s="37" t="n">
        <v>0</v>
      </c>
    </row>
    <row r="342" customFormat="false" ht="15" hidden="false" customHeight="false" outlineLevel="0" collapsed="false">
      <c r="A342" s="37" t="n">
        <v>0</v>
      </c>
      <c r="B342" s="37" t="n">
        <v>0</v>
      </c>
      <c r="C342" s="37" t="n">
        <v>15</v>
      </c>
      <c r="D342" s="37" t="n">
        <v>0</v>
      </c>
      <c r="E342" s="37" t="n">
        <v>15</v>
      </c>
      <c r="F342" s="37" t="n">
        <v>0</v>
      </c>
      <c r="G342" s="37" t="s">
        <v>195</v>
      </c>
      <c r="H342" s="38" t="n">
        <v>198.884787123599</v>
      </c>
      <c r="I342" s="38" t="n">
        <v>202.225910478126</v>
      </c>
      <c r="J342" s="38" t="n">
        <v>217.161623776949</v>
      </c>
      <c r="K342" s="38" t="n">
        <v>260.687196823938</v>
      </c>
      <c r="L342" s="38" t="n">
        <v>62.2445805584199</v>
      </c>
      <c r="M342" s="38" t="n">
        <v>110.343384902293</v>
      </c>
      <c r="N342" s="38" t="n">
        <v>135.008819743167</v>
      </c>
      <c r="O342" s="38" t="n">
        <v>69.753588502561</v>
      </c>
      <c r="P342" s="37" t="n">
        <v>0</v>
      </c>
      <c r="Q342" s="38" t="n">
        <v>0</v>
      </c>
      <c r="R342" s="38" t="n">
        <v>68.6422151203446</v>
      </c>
      <c r="S342" s="37" t="n">
        <v>0</v>
      </c>
    </row>
    <row r="343" customFormat="false" ht="15" hidden="false" customHeight="false" outlineLevel="0" collapsed="false">
      <c r="A343" s="37" t="n">
        <v>0</v>
      </c>
      <c r="B343" s="37" t="n">
        <v>0</v>
      </c>
      <c r="C343" s="37" t="n">
        <v>15</v>
      </c>
      <c r="D343" s="37" t="n">
        <v>0</v>
      </c>
      <c r="E343" s="37" t="n">
        <v>15</v>
      </c>
      <c r="F343" s="37" t="n">
        <v>0</v>
      </c>
      <c r="G343" s="37" t="s">
        <v>197</v>
      </c>
      <c r="H343" s="38" t="n">
        <v>198.884787123599</v>
      </c>
      <c r="I343" s="38" t="n">
        <v>202.178632716257</v>
      </c>
      <c r="J343" s="38" t="n">
        <v>221.549338662265</v>
      </c>
      <c r="K343" s="38" t="n">
        <v>269.294960900876</v>
      </c>
      <c r="L343" s="38" t="n">
        <v>68.5716907899019</v>
      </c>
      <c r="M343" s="38" t="n">
        <v>114.068336604855</v>
      </c>
      <c r="N343" s="38" t="n">
        <v>147.612004846323</v>
      </c>
      <c r="O343" s="38" t="n">
        <v>74.9615509806436</v>
      </c>
      <c r="P343" s="37" t="n">
        <v>0</v>
      </c>
      <c r="Q343" s="38" t="n">
        <v>0</v>
      </c>
      <c r="R343" s="38" t="n">
        <v>70.5</v>
      </c>
      <c r="S343" s="37" t="n">
        <v>1</v>
      </c>
    </row>
    <row r="344" customFormat="false" ht="15" hidden="false" customHeight="false" outlineLevel="0" collapsed="false">
      <c r="A344" s="37" t="n">
        <v>0</v>
      </c>
      <c r="B344" s="37" t="n">
        <v>0</v>
      </c>
      <c r="C344" s="37" t="n">
        <v>15</v>
      </c>
      <c r="D344" s="37" t="n">
        <v>0</v>
      </c>
      <c r="E344" s="37" t="n">
        <v>15</v>
      </c>
      <c r="F344" s="37" t="n">
        <v>0</v>
      </c>
      <c r="G344" s="37" t="s">
        <v>196</v>
      </c>
      <c r="H344" s="38" t="n">
        <v>198.884787123599</v>
      </c>
      <c r="I344" s="38" t="n">
        <v>202.139493104076</v>
      </c>
      <c r="J344" s="38" t="n">
        <v>219.753720602409</v>
      </c>
      <c r="K344" s="38" t="n">
        <v>266.803711416851</v>
      </c>
      <c r="L344" s="38" t="n">
        <v>70.5633700549786</v>
      </c>
      <c r="M344" s="38" t="n">
        <v>109.720253590854</v>
      </c>
      <c r="N344" s="38" t="n">
        <v>138.176445770296</v>
      </c>
      <c r="O344" s="38" t="n">
        <v>71.6995332948599</v>
      </c>
      <c r="P344" s="37" t="n">
        <v>0</v>
      </c>
      <c r="Q344" s="38" t="n">
        <v>0</v>
      </c>
      <c r="R344" s="38" t="n">
        <v>69.555651406484</v>
      </c>
      <c r="S344" s="37" t="n">
        <v>0</v>
      </c>
    </row>
    <row r="345" customFormat="false" ht="15" hidden="false" customHeight="false" outlineLevel="0" collapsed="false">
      <c r="A345" s="37" t="n">
        <v>0</v>
      </c>
      <c r="B345" s="37" t="n">
        <v>0</v>
      </c>
      <c r="C345" s="37" t="n">
        <v>15</v>
      </c>
      <c r="D345" s="37" t="n">
        <v>5</v>
      </c>
      <c r="E345" s="37" t="n">
        <v>0</v>
      </c>
      <c r="F345" s="37" t="n">
        <v>10</v>
      </c>
      <c r="G345" s="37" t="s">
        <v>188</v>
      </c>
      <c r="H345" s="38" t="n">
        <v>199.138595298356</v>
      </c>
      <c r="I345" s="38" t="n">
        <v>203.820603278607</v>
      </c>
      <c r="J345" s="38" t="n">
        <v>222.260741043057</v>
      </c>
      <c r="K345" s="38" t="n">
        <v>263.417860537791</v>
      </c>
      <c r="L345" s="38" t="n">
        <v>142.043607445688</v>
      </c>
      <c r="M345" s="38" t="n">
        <v>110.440160491973</v>
      </c>
      <c r="N345" s="38" t="n">
        <v>131.49426595449</v>
      </c>
      <c r="O345" s="38" t="n">
        <v>76.4263889406232</v>
      </c>
      <c r="P345" s="37" t="n">
        <v>0</v>
      </c>
      <c r="Q345" s="38" t="n">
        <v>0</v>
      </c>
      <c r="R345" s="38" t="n">
        <v>72</v>
      </c>
      <c r="S345" s="37" t="n">
        <v>0</v>
      </c>
    </row>
    <row r="346" customFormat="false" ht="15" hidden="false" customHeight="false" outlineLevel="0" collapsed="false">
      <c r="A346" s="37" t="n">
        <v>0</v>
      </c>
      <c r="B346" s="37" t="n">
        <v>0</v>
      </c>
      <c r="C346" s="37" t="n">
        <v>15</v>
      </c>
      <c r="D346" s="37" t="n">
        <v>5</v>
      </c>
      <c r="E346" s="37" t="n">
        <v>0</v>
      </c>
      <c r="F346" s="37" t="n">
        <v>10</v>
      </c>
      <c r="G346" s="37" t="s">
        <v>192</v>
      </c>
      <c r="H346" s="38" t="n">
        <v>199.138595298356</v>
      </c>
      <c r="I346" s="38" t="n">
        <v>203.801594532972</v>
      </c>
      <c r="J346" s="38" t="n">
        <v>229.805270914087</v>
      </c>
      <c r="K346" s="38" t="n">
        <v>267.45606313824</v>
      </c>
      <c r="L346" s="38" t="n">
        <v>136.981951600282</v>
      </c>
      <c r="M346" s="38" t="n">
        <v>107.376835251438</v>
      </c>
      <c r="N346" s="38" t="n">
        <v>132.705561199183</v>
      </c>
      <c r="O346" s="38" t="n">
        <v>75.4408998371254</v>
      </c>
      <c r="P346" s="37" t="n">
        <v>0</v>
      </c>
      <c r="Q346" s="38" t="n">
        <v>0</v>
      </c>
      <c r="R346" s="38" t="n">
        <v>72</v>
      </c>
      <c r="S346" s="37" t="n">
        <v>0</v>
      </c>
    </row>
    <row r="347" customFormat="false" ht="15" hidden="false" customHeight="false" outlineLevel="0" collapsed="false">
      <c r="A347" s="37" t="n">
        <v>0</v>
      </c>
      <c r="B347" s="37" t="n">
        <v>0</v>
      </c>
      <c r="C347" s="37" t="n">
        <v>15</v>
      </c>
      <c r="D347" s="37" t="n">
        <v>5</v>
      </c>
      <c r="E347" s="37" t="n">
        <v>0</v>
      </c>
      <c r="F347" s="37" t="n">
        <v>10</v>
      </c>
      <c r="G347" s="37" t="s">
        <v>195</v>
      </c>
      <c r="H347" s="38" t="n">
        <v>199.138595298356</v>
      </c>
      <c r="I347" s="38" t="n">
        <v>204.004810404792</v>
      </c>
      <c r="J347" s="38" t="n">
        <v>223.766104173555</v>
      </c>
      <c r="K347" s="38" t="n">
        <v>263.659864606172</v>
      </c>
      <c r="L347" s="38" t="n">
        <v>146.6532441573</v>
      </c>
      <c r="M347" s="38" t="n">
        <v>112.40103407834</v>
      </c>
      <c r="N347" s="38" t="n">
        <v>135.716469076473</v>
      </c>
      <c r="O347" s="38" t="n">
        <v>78.0721856322015</v>
      </c>
      <c r="P347" s="37" t="n">
        <v>0</v>
      </c>
      <c r="Q347" s="38" t="n">
        <v>0</v>
      </c>
      <c r="R347" s="38" t="n">
        <v>70.5730138653385</v>
      </c>
      <c r="S347" s="37" t="n">
        <v>1</v>
      </c>
    </row>
    <row r="348" customFormat="false" ht="15" hidden="false" customHeight="false" outlineLevel="0" collapsed="false">
      <c r="A348" s="37" t="n">
        <v>0</v>
      </c>
      <c r="B348" s="37" t="n">
        <v>0</v>
      </c>
      <c r="C348" s="37" t="n">
        <v>15</v>
      </c>
      <c r="D348" s="37" t="n">
        <v>5</v>
      </c>
      <c r="E348" s="37" t="n">
        <v>0</v>
      </c>
      <c r="F348" s="37" t="n">
        <v>10</v>
      </c>
      <c r="G348" s="37" t="s">
        <v>197</v>
      </c>
      <c r="H348" s="38" t="n">
        <v>199.138595298356</v>
      </c>
      <c r="I348" s="38" t="n">
        <v>203.793313181981</v>
      </c>
      <c r="J348" s="38" t="n">
        <v>222.72430184247</v>
      </c>
      <c r="K348" s="38" t="n">
        <v>263.773638325586</v>
      </c>
      <c r="L348" s="38" t="n">
        <v>141.638355499495</v>
      </c>
      <c r="M348" s="38" t="n">
        <v>106.542867809061</v>
      </c>
      <c r="N348" s="38" t="n">
        <v>120.815671177079</v>
      </c>
      <c r="O348" s="38" t="n">
        <v>74.0907560717192</v>
      </c>
      <c r="P348" s="37" t="n">
        <v>0</v>
      </c>
      <c r="Q348" s="38" t="n">
        <v>0</v>
      </c>
      <c r="R348" s="38" t="n">
        <v>72</v>
      </c>
      <c r="S348" s="37" t="n">
        <v>0</v>
      </c>
    </row>
    <row r="349" customFormat="false" ht="15" hidden="false" customHeight="false" outlineLevel="0" collapsed="false">
      <c r="A349" s="37" t="n">
        <v>0</v>
      </c>
      <c r="B349" s="37" t="n">
        <v>0</v>
      </c>
      <c r="C349" s="37" t="n">
        <v>15</v>
      </c>
      <c r="D349" s="37" t="n">
        <v>5</v>
      </c>
      <c r="E349" s="37" t="n">
        <v>0</v>
      </c>
      <c r="F349" s="37" t="n">
        <v>10</v>
      </c>
      <c r="G349" s="37" t="s">
        <v>196</v>
      </c>
      <c r="H349" s="38" t="n">
        <v>199.138595298356</v>
      </c>
      <c r="I349" s="38" t="n">
        <v>203.798155168337</v>
      </c>
      <c r="J349" s="38" t="n">
        <v>215.694559509855</v>
      </c>
      <c r="K349" s="38" t="n">
        <v>266.103768878485</v>
      </c>
      <c r="L349" s="38" t="n">
        <v>152.548213322929</v>
      </c>
      <c r="M349" s="38" t="n">
        <v>108.950703793571</v>
      </c>
      <c r="N349" s="38" t="n">
        <v>128.235783431924</v>
      </c>
      <c r="O349" s="38" t="n">
        <v>73.2939020852772</v>
      </c>
      <c r="P349" s="37" t="n">
        <v>0</v>
      </c>
      <c r="Q349" s="38" t="n">
        <v>0</v>
      </c>
      <c r="R349" s="38" t="n">
        <v>70.6386254870806</v>
      </c>
      <c r="S349" s="37" t="n">
        <v>0</v>
      </c>
    </row>
    <row r="350" customFormat="false" ht="15" hidden="false" customHeight="false" outlineLevel="0" collapsed="false">
      <c r="A350" s="37" t="n">
        <v>0</v>
      </c>
      <c r="B350" s="37" t="n">
        <v>0</v>
      </c>
      <c r="C350" s="37" t="n">
        <v>15</v>
      </c>
      <c r="D350" s="37" t="n">
        <v>5</v>
      </c>
      <c r="E350" s="37" t="n">
        <v>5</v>
      </c>
      <c r="F350" s="37" t="n">
        <v>5</v>
      </c>
      <c r="G350" s="37" t="s">
        <v>188</v>
      </c>
      <c r="H350" s="38" t="n">
        <v>199.124152913731</v>
      </c>
      <c r="I350" s="38" t="n">
        <v>203.865353154818</v>
      </c>
      <c r="J350" s="38" t="n">
        <v>225.014794218576</v>
      </c>
      <c r="K350" s="38" t="n">
        <v>267.127127606589</v>
      </c>
      <c r="L350" s="38" t="n">
        <v>105.982092921248</v>
      </c>
      <c r="M350" s="38" t="n">
        <v>111.267754874391</v>
      </c>
      <c r="N350" s="38" t="n">
        <v>138.309832228931</v>
      </c>
      <c r="O350" s="38" t="n">
        <v>76.3733085630398</v>
      </c>
      <c r="P350" s="37" t="n">
        <v>0</v>
      </c>
      <c r="Q350" s="38" t="n">
        <v>0</v>
      </c>
      <c r="R350" s="38" t="n">
        <v>72</v>
      </c>
      <c r="S350" s="37" t="n">
        <v>0</v>
      </c>
    </row>
    <row r="351" customFormat="false" ht="15" hidden="false" customHeight="false" outlineLevel="0" collapsed="false">
      <c r="A351" s="37" t="n">
        <v>0</v>
      </c>
      <c r="B351" s="37" t="n">
        <v>0</v>
      </c>
      <c r="C351" s="37" t="n">
        <v>15</v>
      </c>
      <c r="D351" s="37" t="n">
        <v>5</v>
      </c>
      <c r="E351" s="37" t="n">
        <v>5</v>
      </c>
      <c r="F351" s="37" t="n">
        <v>5</v>
      </c>
      <c r="G351" s="37" t="s">
        <v>192</v>
      </c>
      <c r="H351" s="38" t="n">
        <v>199.124152913731</v>
      </c>
      <c r="I351" s="38" t="n">
        <v>203.843919720424</v>
      </c>
      <c r="J351" s="38" t="n">
        <v>232.591110176143</v>
      </c>
      <c r="K351" s="38" t="n">
        <v>271.119782187604</v>
      </c>
      <c r="L351" s="38" t="n">
        <v>100.623692935143</v>
      </c>
      <c r="M351" s="38" t="n">
        <v>108.194014731653</v>
      </c>
      <c r="N351" s="38" t="n">
        <v>139.319776963383</v>
      </c>
      <c r="O351" s="38" t="n">
        <v>75.4567292877234</v>
      </c>
      <c r="P351" s="37" t="n">
        <v>0</v>
      </c>
      <c r="Q351" s="38" t="n">
        <v>0</v>
      </c>
      <c r="R351" s="38" t="n">
        <v>72</v>
      </c>
      <c r="S351" s="37" t="n">
        <v>0</v>
      </c>
    </row>
    <row r="352" customFormat="false" ht="15" hidden="false" customHeight="false" outlineLevel="0" collapsed="false">
      <c r="A352" s="37" t="n">
        <v>0</v>
      </c>
      <c r="B352" s="37" t="n">
        <v>0</v>
      </c>
      <c r="C352" s="37" t="n">
        <v>15</v>
      </c>
      <c r="D352" s="37" t="n">
        <v>5</v>
      </c>
      <c r="E352" s="37" t="n">
        <v>5</v>
      </c>
      <c r="F352" s="37" t="n">
        <v>5</v>
      </c>
      <c r="G352" s="37" t="s">
        <v>195</v>
      </c>
      <c r="H352" s="38" t="n">
        <v>199.124152913731</v>
      </c>
      <c r="I352" s="38" t="n">
        <v>204.064249785711</v>
      </c>
      <c r="J352" s="38" t="n">
        <v>226.68646079983</v>
      </c>
      <c r="K352" s="38" t="n">
        <v>267.693801217991</v>
      </c>
      <c r="L352" s="38" t="n">
        <v>110.658702007154</v>
      </c>
      <c r="M352" s="38" t="n">
        <v>113.226412047577</v>
      </c>
      <c r="N352" s="38" t="n">
        <v>142.722171522825</v>
      </c>
      <c r="O352" s="38" t="n">
        <v>78.2811323346656</v>
      </c>
      <c r="P352" s="37" t="n">
        <v>0</v>
      </c>
      <c r="Q352" s="38" t="n">
        <v>0</v>
      </c>
      <c r="R352" s="38" t="n">
        <v>70.5644702367489</v>
      </c>
      <c r="S352" s="37" t="n">
        <v>1</v>
      </c>
    </row>
    <row r="353" customFormat="false" ht="15" hidden="false" customHeight="false" outlineLevel="0" collapsed="false">
      <c r="A353" s="37" t="n">
        <v>0</v>
      </c>
      <c r="B353" s="37" t="n">
        <v>0</v>
      </c>
      <c r="C353" s="37" t="n">
        <v>15</v>
      </c>
      <c r="D353" s="37" t="n">
        <v>5</v>
      </c>
      <c r="E353" s="37" t="n">
        <v>5</v>
      </c>
      <c r="F353" s="37" t="n">
        <v>5</v>
      </c>
      <c r="G353" s="37" t="s">
        <v>197</v>
      </c>
      <c r="H353" s="38" t="n">
        <v>199.124152913731</v>
      </c>
      <c r="I353" s="38" t="n">
        <v>203.84817966179</v>
      </c>
      <c r="J353" s="38" t="n">
        <v>226.002029661403</v>
      </c>
      <c r="K353" s="38" t="n">
        <v>268.28345448089</v>
      </c>
      <c r="L353" s="38" t="n">
        <v>106.66795042884</v>
      </c>
      <c r="M353" s="38" t="n">
        <v>110.775737441749</v>
      </c>
      <c r="N353" s="38" t="n">
        <v>136.647446389722</v>
      </c>
      <c r="O353" s="38" t="n">
        <v>78.1742805481219</v>
      </c>
      <c r="P353" s="37" t="n">
        <v>0</v>
      </c>
      <c r="Q353" s="38" t="n">
        <v>0</v>
      </c>
      <c r="R353" s="38" t="n">
        <v>72</v>
      </c>
      <c r="S353" s="37" t="n">
        <v>0</v>
      </c>
    </row>
    <row r="354" customFormat="false" ht="15" hidden="false" customHeight="false" outlineLevel="0" collapsed="false">
      <c r="A354" s="37" t="n">
        <v>0</v>
      </c>
      <c r="B354" s="37" t="n">
        <v>0</v>
      </c>
      <c r="C354" s="37" t="n">
        <v>15</v>
      </c>
      <c r="D354" s="37" t="n">
        <v>5</v>
      </c>
      <c r="E354" s="37" t="n">
        <v>5</v>
      </c>
      <c r="F354" s="37" t="n">
        <v>5</v>
      </c>
      <c r="G354" s="37" t="s">
        <v>196</v>
      </c>
      <c r="H354" s="38" t="n">
        <v>199.124152913731</v>
      </c>
      <c r="I354" s="38" t="n">
        <v>203.843134850514</v>
      </c>
      <c r="J354" s="38" t="n">
        <v>225.841556110224</v>
      </c>
      <c r="K354" s="38" t="n">
        <v>268.052845731666</v>
      </c>
      <c r="L354" s="38" t="n">
        <v>111.976977596442</v>
      </c>
      <c r="M354" s="38" t="n">
        <v>110.490692936369</v>
      </c>
      <c r="N354" s="38" t="n">
        <v>137.476748504217</v>
      </c>
      <c r="O354" s="38" t="n">
        <v>76.3526461848955</v>
      </c>
      <c r="P354" s="37" t="n">
        <v>0</v>
      </c>
      <c r="Q354" s="38" t="n">
        <v>0</v>
      </c>
      <c r="R354" s="38" t="n">
        <v>71.0951249808797</v>
      </c>
      <c r="S354" s="37" t="n">
        <v>0</v>
      </c>
    </row>
    <row r="355" customFormat="false" ht="15" hidden="false" customHeight="false" outlineLevel="0" collapsed="false">
      <c r="A355" s="37" t="n">
        <v>0</v>
      </c>
      <c r="B355" s="37" t="n">
        <v>0</v>
      </c>
      <c r="C355" s="37" t="n">
        <v>15</v>
      </c>
      <c r="D355" s="37" t="n">
        <v>5</v>
      </c>
      <c r="E355" s="37" t="n">
        <v>10</v>
      </c>
      <c r="F355" s="37" t="n">
        <v>0</v>
      </c>
      <c r="G355" s="37" t="s">
        <v>188</v>
      </c>
      <c r="H355" s="38" t="n">
        <v>199.108195347339</v>
      </c>
      <c r="I355" s="38" t="n">
        <v>203.933508535509</v>
      </c>
      <c r="J355" s="38" t="n">
        <v>227.118665527997</v>
      </c>
      <c r="K355" s="38" t="n">
        <v>270.05740720513</v>
      </c>
      <c r="L355" s="38" t="n">
        <v>69.1169082473172</v>
      </c>
      <c r="M355" s="38" t="n">
        <v>112.029237114712</v>
      </c>
      <c r="N355" s="38" t="n">
        <v>143.570654867315</v>
      </c>
      <c r="O355" s="38" t="n">
        <v>76.0271483065291</v>
      </c>
      <c r="P355" s="37" t="n">
        <v>0</v>
      </c>
      <c r="Q355" s="38" t="n">
        <v>0</v>
      </c>
      <c r="R355" s="38" t="n">
        <v>72</v>
      </c>
      <c r="S355" s="37" t="n">
        <v>0</v>
      </c>
    </row>
    <row r="356" customFormat="false" ht="15" hidden="false" customHeight="false" outlineLevel="0" collapsed="false">
      <c r="A356" s="37" t="n">
        <v>0</v>
      </c>
      <c r="B356" s="37" t="n">
        <v>0</v>
      </c>
      <c r="C356" s="37" t="n">
        <v>15</v>
      </c>
      <c r="D356" s="37" t="n">
        <v>5</v>
      </c>
      <c r="E356" s="37" t="n">
        <v>10</v>
      </c>
      <c r="F356" s="37" t="n">
        <v>0</v>
      </c>
      <c r="G356" s="37" t="s">
        <v>192</v>
      </c>
      <c r="H356" s="38" t="n">
        <v>199.108195347339</v>
      </c>
      <c r="I356" s="38" t="n">
        <v>203.913003286905</v>
      </c>
      <c r="J356" s="38" t="n">
        <v>234.852698263897</v>
      </c>
      <c r="K356" s="38" t="n">
        <v>274.162617739928</v>
      </c>
      <c r="L356" s="38" t="n">
        <v>63.654799227087</v>
      </c>
      <c r="M356" s="38" t="n">
        <v>108.957719170679</v>
      </c>
      <c r="N356" s="38" t="n">
        <v>144.636694382457</v>
      </c>
      <c r="O356" s="38" t="n">
        <v>75.24244393226</v>
      </c>
      <c r="P356" s="37" t="n">
        <v>0</v>
      </c>
      <c r="Q356" s="38" t="n">
        <v>0</v>
      </c>
      <c r="R356" s="38" t="n">
        <v>72</v>
      </c>
      <c r="S356" s="37" t="n">
        <v>0</v>
      </c>
    </row>
    <row r="357" customFormat="false" ht="15" hidden="false" customHeight="false" outlineLevel="0" collapsed="false">
      <c r="A357" s="37" t="n">
        <v>0</v>
      </c>
      <c r="B357" s="37" t="n">
        <v>0</v>
      </c>
      <c r="C357" s="37" t="n">
        <v>15</v>
      </c>
      <c r="D357" s="37" t="n">
        <v>5</v>
      </c>
      <c r="E357" s="37" t="n">
        <v>10</v>
      </c>
      <c r="F357" s="37" t="n">
        <v>0</v>
      </c>
      <c r="G357" s="37" t="s">
        <v>195</v>
      </c>
      <c r="H357" s="38" t="n">
        <v>199.108195347339</v>
      </c>
      <c r="I357" s="38" t="n">
        <v>204.144770732873</v>
      </c>
      <c r="J357" s="38" t="n">
        <v>228.963823751983</v>
      </c>
      <c r="K357" s="38" t="n">
        <v>270.93073568863</v>
      </c>
      <c r="L357" s="38" t="n">
        <v>73.8682472888433</v>
      </c>
      <c r="M357" s="38" t="n">
        <v>113.983220592787</v>
      </c>
      <c r="N357" s="38" t="n">
        <v>148.185026063973</v>
      </c>
      <c r="O357" s="38" t="n">
        <v>78.1324285157543</v>
      </c>
      <c r="P357" s="37" t="n">
        <v>0</v>
      </c>
      <c r="Q357" s="38" t="n">
        <v>0</v>
      </c>
      <c r="R357" s="38" t="n">
        <v>70.5562534800641</v>
      </c>
      <c r="S357" s="37" t="n">
        <v>0</v>
      </c>
    </row>
    <row r="358" customFormat="false" ht="15" hidden="false" customHeight="false" outlineLevel="0" collapsed="false">
      <c r="A358" s="37" t="n">
        <v>0</v>
      </c>
      <c r="B358" s="37" t="n">
        <v>0</v>
      </c>
      <c r="C358" s="37" t="n">
        <v>15</v>
      </c>
      <c r="D358" s="37" t="n">
        <v>5</v>
      </c>
      <c r="E358" s="37" t="n">
        <v>10</v>
      </c>
      <c r="F358" s="37" t="n">
        <v>0</v>
      </c>
      <c r="G358" s="37" t="s">
        <v>197</v>
      </c>
      <c r="H358" s="38" t="n">
        <v>199.108195347339</v>
      </c>
      <c r="I358" s="38" t="n">
        <v>203.93937391238</v>
      </c>
      <c r="J358" s="38" t="n">
        <v>228.982207245941</v>
      </c>
      <c r="K358" s="38" t="n">
        <v>272.484882751157</v>
      </c>
      <c r="L358" s="38" t="n">
        <v>71.5374602762978</v>
      </c>
      <c r="M358" s="38" t="n">
        <v>114.208896922559</v>
      </c>
      <c r="N358" s="38" t="n">
        <v>149.864980448011</v>
      </c>
      <c r="O358" s="38" t="n">
        <v>79.6033149191617</v>
      </c>
      <c r="P358" s="37" t="n">
        <v>0</v>
      </c>
      <c r="Q358" s="38" t="n">
        <v>0</v>
      </c>
      <c r="R358" s="38" t="n">
        <v>72</v>
      </c>
      <c r="S358" s="37" t="n">
        <v>1</v>
      </c>
    </row>
    <row r="359" customFormat="false" ht="15" hidden="false" customHeight="false" outlineLevel="0" collapsed="false">
      <c r="A359" s="37" t="n">
        <v>0</v>
      </c>
      <c r="B359" s="37" t="n">
        <v>0</v>
      </c>
      <c r="C359" s="37" t="n">
        <v>15</v>
      </c>
      <c r="D359" s="37" t="n">
        <v>5</v>
      </c>
      <c r="E359" s="37" t="n">
        <v>10</v>
      </c>
      <c r="F359" s="37" t="n">
        <v>0</v>
      </c>
      <c r="G359" s="37" t="s">
        <v>196</v>
      </c>
      <c r="H359" s="38" t="n">
        <v>199.108195347339</v>
      </c>
      <c r="I359" s="38" t="n">
        <v>203.915213983865</v>
      </c>
      <c r="J359" s="38" t="n">
        <v>227.831040526072</v>
      </c>
      <c r="K359" s="38" t="n">
        <v>270.891124264403</v>
      </c>
      <c r="L359" s="38" t="n">
        <v>74.7555671831752</v>
      </c>
      <c r="M359" s="38" t="n">
        <v>111.815278040062</v>
      </c>
      <c r="N359" s="38" t="n">
        <v>143.693438878495</v>
      </c>
      <c r="O359" s="38" t="n">
        <v>76.5215738649168</v>
      </c>
      <c r="P359" s="37" t="n">
        <v>0</v>
      </c>
      <c r="Q359" s="38" t="n">
        <v>0</v>
      </c>
      <c r="R359" s="38" t="n">
        <v>71.0807996338387</v>
      </c>
      <c r="S359" s="37" t="n">
        <v>0</v>
      </c>
    </row>
    <row r="360" customFormat="false" ht="15" hidden="false" customHeight="false" outlineLevel="0" collapsed="false">
      <c r="A360" s="37" t="n">
        <v>0</v>
      </c>
      <c r="B360" s="37" t="n">
        <v>0</v>
      </c>
      <c r="C360" s="37" t="n">
        <v>15</v>
      </c>
      <c r="D360" s="37" t="n">
        <v>10</v>
      </c>
      <c r="E360" s="37" t="n">
        <v>0</v>
      </c>
      <c r="F360" s="37" t="n">
        <v>5</v>
      </c>
      <c r="G360" s="37" t="s">
        <v>188</v>
      </c>
      <c r="H360" s="38" t="n">
        <v>199.385169258674</v>
      </c>
      <c r="I360" s="38" t="n">
        <v>205.355550648439</v>
      </c>
      <c r="J360" s="38" t="n">
        <v>228.2188828117</v>
      </c>
      <c r="K360" s="38" t="n">
        <v>268.94439613024</v>
      </c>
      <c r="L360" s="38" t="n">
        <v>108.101152345649</v>
      </c>
      <c r="M360" s="38" t="n">
        <v>112.307938877061</v>
      </c>
      <c r="N360" s="38" t="n">
        <v>136.617055494991</v>
      </c>
      <c r="O360" s="38" t="n">
        <v>77.663992371873</v>
      </c>
      <c r="P360" s="37" t="n">
        <v>0</v>
      </c>
      <c r="Q360" s="38" t="n">
        <v>0</v>
      </c>
      <c r="R360" s="38" t="n">
        <v>72</v>
      </c>
      <c r="S360" s="37" t="n">
        <v>0</v>
      </c>
    </row>
    <row r="361" customFormat="false" ht="15" hidden="false" customHeight="false" outlineLevel="0" collapsed="false">
      <c r="A361" s="37" t="n">
        <v>0</v>
      </c>
      <c r="B361" s="37" t="n">
        <v>0</v>
      </c>
      <c r="C361" s="37" t="n">
        <v>15</v>
      </c>
      <c r="D361" s="37" t="n">
        <v>10</v>
      </c>
      <c r="E361" s="37" t="n">
        <v>0</v>
      </c>
      <c r="F361" s="37" t="n">
        <v>5</v>
      </c>
      <c r="G361" s="37" t="s">
        <v>192</v>
      </c>
      <c r="H361" s="38" t="n">
        <v>199.385169258674</v>
      </c>
      <c r="I361" s="38" t="n">
        <v>205.330754627717</v>
      </c>
      <c r="J361" s="38" t="n">
        <v>235.95849821737</v>
      </c>
      <c r="K361" s="38" t="n">
        <v>273.028459341317</v>
      </c>
      <c r="L361" s="38" t="n">
        <v>103.088431138708</v>
      </c>
      <c r="M361" s="38" t="n">
        <v>109.23126231698</v>
      </c>
      <c r="N361" s="38" t="n">
        <v>137.844533781663</v>
      </c>
      <c r="O361" s="38" t="n">
        <v>76.557510567641</v>
      </c>
      <c r="P361" s="37" t="n">
        <v>0</v>
      </c>
      <c r="Q361" s="38" t="n">
        <v>0</v>
      </c>
      <c r="R361" s="38" t="n">
        <v>72</v>
      </c>
      <c r="S361" s="37" t="n">
        <v>0</v>
      </c>
    </row>
    <row r="362" customFormat="false" ht="15" hidden="false" customHeight="false" outlineLevel="0" collapsed="false">
      <c r="A362" s="37" t="n">
        <v>0</v>
      </c>
      <c r="B362" s="37" t="n">
        <v>0</v>
      </c>
      <c r="C362" s="37" t="n">
        <v>15</v>
      </c>
      <c r="D362" s="37" t="n">
        <v>10</v>
      </c>
      <c r="E362" s="37" t="n">
        <v>0</v>
      </c>
      <c r="F362" s="37" t="n">
        <v>5</v>
      </c>
      <c r="G362" s="37" t="s">
        <v>195</v>
      </c>
      <c r="H362" s="38" t="n">
        <v>199.385169258674</v>
      </c>
      <c r="I362" s="38" t="n">
        <v>205.676154529813</v>
      </c>
      <c r="J362" s="38" t="n">
        <v>231.293266547926</v>
      </c>
      <c r="K362" s="38" t="n">
        <v>274.332395709485</v>
      </c>
      <c r="L362" s="38" t="n">
        <v>121.082395709485</v>
      </c>
      <c r="M362" s="38" t="n">
        <v>115.739737743258</v>
      </c>
      <c r="N362" s="38" t="n">
        <v>146.823348178832</v>
      </c>
      <c r="O362" s="38" t="n">
        <v>81.0599229803865</v>
      </c>
      <c r="P362" s="37" t="n">
        <v>0</v>
      </c>
      <c r="Q362" s="38" t="n">
        <v>0</v>
      </c>
      <c r="R362" s="38" t="n">
        <v>67.719863607903</v>
      </c>
      <c r="S362" s="37" t="n">
        <v>1</v>
      </c>
    </row>
    <row r="363" customFormat="false" ht="15" hidden="false" customHeight="false" outlineLevel="0" collapsed="false">
      <c r="A363" s="37" t="n">
        <v>0</v>
      </c>
      <c r="B363" s="37" t="n">
        <v>0</v>
      </c>
      <c r="C363" s="37" t="n">
        <v>15</v>
      </c>
      <c r="D363" s="37" t="n">
        <v>10</v>
      </c>
      <c r="E363" s="37" t="n">
        <v>0</v>
      </c>
      <c r="F363" s="37" t="n">
        <v>5</v>
      </c>
      <c r="G363" s="37" t="s">
        <v>197</v>
      </c>
      <c r="H363" s="38" t="n">
        <v>199.385169258674</v>
      </c>
      <c r="I363" s="38" t="n">
        <v>205.322066239129</v>
      </c>
      <c r="J363" s="38" t="n">
        <v>228.435475216773</v>
      </c>
      <c r="K363" s="38" t="n">
        <v>268.938434912057</v>
      </c>
      <c r="L363" s="38" t="n">
        <v>106.992564637417</v>
      </c>
      <c r="M363" s="38" t="n">
        <v>108.44954564878</v>
      </c>
      <c r="N363" s="38" t="n">
        <v>125.695993143122</v>
      </c>
      <c r="O363" s="38" t="n">
        <v>75.2841493943045</v>
      </c>
      <c r="P363" s="37" t="n">
        <v>0</v>
      </c>
      <c r="Q363" s="38" t="n">
        <v>0</v>
      </c>
      <c r="R363" s="38" t="n">
        <v>72</v>
      </c>
      <c r="S363" s="37" t="n">
        <v>0</v>
      </c>
    </row>
    <row r="364" customFormat="false" ht="15" hidden="false" customHeight="false" outlineLevel="0" collapsed="false">
      <c r="A364" s="37" t="n">
        <v>0</v>
      </c>
      <c r="B364" s="37" t="n">
        <v>0</v>
      </c>
      <c r="C364" s="37" t="n">
        <v>15</v>
      </c>
      <c r="D364" s="37" t="n">
        <v>10</v>
      </c>
      <c r="E364" s="37" t="n">
        <v>0</v>
      </c>
      <c r="F364" s="37" t="n">
        <v>5</v>
      </c>
      <c r="G364" s="37" t="s">
        <v>196</v>
      </c>
      <c r="H364" s="38" t="n">
        <v>199.385169258674</v>
      </c>
      <c r="I364" s="38" t="n">
        <v>205.326815742915</v>
      </c>
      <c r="J364" s="38" t="n">
        <v>221.374009960105</v>
      </c>
      <c r="K364" s="38" t="n">
        <v>271.212603390718</v>
      </c>
      <c r="L364" s="38" t="n">
        <v>117.657047835163</v>
      </c>
      <c r="M364" s="38" t="n">
        <v>111.299976398979</v>
      </c>
      <c r="N364" s="38" t="n">
        <v>133.814736013625</v>
      </c>
      <c r="O364" s="38" t="n">
        <v>74.6369889711453</v>
      </c>
      <c r="P364" s="37" t="n">
        <v>0</v>
      </c>
      <c r="Q364" s="38" t="n">
        <v>0</v>
      </c>
      <c r="R364" s="38" t="n">
        <v>70.7373333333333</v>
      </c>
      <c r="S364" s="37" t="n">
        <v>0</v>
      </c>
    </row>
    <row r="365" customFormat="false" ht="15" hidden="false" customHeight="false" outlineLevel="0" collapsed="false">
      <c r="A365" s="37" t="n">
        <v>0</v>
      </c>
      <c r="B365" s="37" t="n">
        <v>0</v>
      </c>
      <c r="C365" s="37" t="n">
        <v>15</v>
      </c>
      <c r="D365" s="37" t="n">
        <v>10</v>
      </c>
      <c r="E365" s="37" t="n">
        <v>5</v>
      </c>
      <c r="F365" s="37" t="n">
        <v>0</v>
      </c>
      <c r="G365" s="37" t="s">
        <v>188</v>
      </c>
      <c r="H365" s="38" t="n">
        <v>199.356407050535</v>
      </c>
      <c r="I365" s="38" t="n">
        <v>205.339345744817</v>
      </c>
      <c r="J365" s="38" t="n">
        <v>225.480369711165</v>
      </c>
      <c r="K365" s="38" t="n">
        <v>265.148976864314</v>
      </c>
      <c r="L365" s="38" t="n">
        <v>72.898976864314</v>
      </c>
      <c r="M365" s="38" t="n">
        <v>113.026802667974</v>
      </c>
      <c r="N365" s="38" t="n">
        <v>136.323089192835</v>
      </c>
      <c r="O365" s="38" t="n">
        <v>75.7164978954104</v>
      </c>
      <c r="P365" s="37" t="n">
        <v>0</v>
      </c>
      <c r="Q365" s="38" t="n">
        <v>0</v>
      </c>
      <c r="R365" s="38" t="n">
        <v>72</v>
      </c>
      <c r="S365" s="37" t="n">
        <v>0</v>
      </c>
    </row>
    <row r="366" customFormat="false" ht="15" hidden="false" customHeight="false" outlineLevel="0" collapsed="false">
      <c r="A366" s="37" t="n">
        <v>0</v>
      </c>
      <c r="B366" s="37" t="n">
        <v>0</v>
      </c>
      <c r="C366" s="37" t="n">
        <v>15</v>
      </c>
      <c r="D366" s="37" t="n">
        <v>10</v>
      </c>
      <c r="E366" s="37" t="n">
        <v>5</v>
      </c>
      <c r="F366" s="37" t="n">
        <v>0</v>
      </c>
      <c r="G366" s="37" t="s">
        <v>192</v>
      </c>
      <c r="H366" s="38" t="n">
        <v>199.356407050535</v>
      </c>
      <c r="I366" s="38" t="n">
        <v>205.311160161649</v>
      </c>
      <c r="J366" s="38" t="n">
        <v>238.94063601123</v>
      </c>
      <c r="K366" s="38" t="n">
        <v>276.666130287013</v>
      </c>
      <c r="L366" s="38" t="n">
        <v>66.7326097722772</v>
      </c>
      <c r="M366" s="38" t="n">
        <v>109.937423270246</v>
      </c>
      <c r="N366" s="38" t="n">
        <v>144.764026610552</v>
      </c>
      <c r="O366" s="38" t="n">
        <v>76.7456818585124</v>
      </c>
      <c r="P366" s="37" t="n">
        <v>0</v>
      </c>
      <c r="Q366" s="38" t="n">
        <v>0</v>
      </c>
      <c r="R366" s="38" t="n">
        <v>72</v>
      </c>
      <c r="S366" s="37" t="n">
        <v>0</v>
      </c>
    </row>
    <row r="367" customFormat="false" ht="15" hidden="false" customHeight="false" outlineLevel="0" collapsed="false">
      <c r="A367" s="37" t="n">
        <v>0</v>
      </c>
      <c r="B367" s="37" t="n">
        <v>0</v>
      </c>
      <c r="C367" s="37" t="n">
        <v>15</v>
      </c>
      <c r="D367" s="37" t="n">
        <v>10</v>
      </c>
      <c r="E367" s="37" t="n">
        <v>5</v>
      </c>
      <c r="F367" s="37" t="n">
        <v>0</v>
      </c>
      <c r="G367" s="37" t="s">
        <v>195</v>
      </c>
      <c r="H367" s="38" t="n">
        <v>199.356407050535</v>
      </c>
      <c r="I367" s="38" t="n">
        <v>205.677882599657</v>
      </c>
      <c r="J367" s="38" t="n">
        <v>234.362821286634</v>
      </c>
      <c r="K367" s="38" t="n">
        <v>278.376569703902</v>
      </c>
      <c r="L367" s="38" t="n">
        <v>85.1265697039025</v>
      </c>
      <c r="M367" s="38" t="n">
        <v>116.437600083683</v>
      </c>
      <c r="N367" s="38" t="n">
        <v>153.893538654102</v>
      </c>
      <c r="O367" s="38" t="n">
        <v>81.4009795832468</v>
      </c>
      <c r="P367" s="37" t="n">
        <v>0</v>
      </c>
      <c r="Q367" s="38" t="n">
        <v>0</v>
      </c>
      <c r="R367" s="38" t="n">
        <v>67.7020903885697</v>
      </c>
      <c r="S367" s="37" t="n">
        <v>1</v>
      </c>
    </row>
    <row r="368" customFormat="false" ht="15" hidden="false" customHeight="false" outlineLevel="0" collapsed="false">
      <c r="A368" s="37" t="n">
        <v>0</v>
      </c>
      <c r="B368" s="37" t="n">
        <v>0</v>
      </c>
      <c r="C368" s="37" t="n">
        <v>15</v>
      </c>
      <c r="D368" s="37" t="n">
        <v>10</v>
      </c>
      <c r="E368" s="37" t="n">
        <v>5</v>
      </c>
      <c r="F368" s="37" t="n">
        <v>0</v>
      </c>
      <c r="G368" s="37" t="s">
        <v>197</v>
      </c>
      <c r="H368" s="38" t="n">
        <v>199.356407050535</v>
      </c>
      <c r="I368" s="38" t="n">
        <v>205.315916232304</v>
      </c>
      <c r="J368" s="38" t="n">
        <v>231.841745550713</v>
      </c>
      <c r="K368" s="38" t="n">
        <v>273.381270001558</v>
      </c>
      <c r="L368" s="38" t="n">
        <v>71.9646084993892</v>
      </c>
      <c r="M368" s="38" t="n">
        <v>112.546010715708</v>
      </c>
      <c r="N368" s="38" t="n">
        <v>141.738891837892</v>
      </c>
      <c r="O368" s="38" t="n">
        <v>79.4940200563324</v>
      </c>
      <c r="P368" s="37" t="n">
        <v>0</v>
      </c>
      <c r="Q368" s="38" t="n">
        <v>0</v>
      </c>
      <c r="R368" s="38" t="n">
        <v>72</v>
      </c>
      <c r="S368" s="37" t="n">
        <v>0</v>
      </c>
    </row>
    <row r="369" customFormat="false" ht="15" hidden="false" customHeight="false" outlineLevel="0" collapsed="false">
      <c r="A369" s="37" t="n">
        <v>0</v>
      </c>
      <c r="B369" s="37" t="n">
        <v>0</v>
      </c>
      <c r="C369" s="37" t="n">
        <v>15</v>
      </c>
      <c r="D369" s="37" t="n">
        <v>10</v>
      </c>
      <c r="E369" s="37" t="n">
        <v>5</v>
      </c>
      <c r="F369" s="37" t="n">
        <v>0</v>
      </c>
      <c r="G369" s="37" t="s">
        <v>196</v>
      </c>
      <c r="H369" s="38" t="n">
        <v>199.356407050535</v>
      </c>
      <c r="I369" s="38" t="n">
        <v>205.310565494242</v>
      </c>
      <c r="J369" s="38" t="n">
        <v>223.599468039828</v>
      </c>
      <c r="K369" s="38" t="n">
        <v>274.066904039192</v>
      </c>
      <c r="L369" s="38" t="n">
        <v>80.5113484836362</v>
      </c>
      <c r="M369" s="38" t="n">
        <v>112.713527450969</v>
      </c>
      <c r="N369" s="38" t="n">
        <v>141.482323059665</v>
      </c>
      <c r="O369" s="38" t="n">
        <v>75.8980736726337</v>
      </c>
      <c r="P369" s="37" t="n">
        <v>0</v>
      </c>
      <c r="Q369" s="38" t="n">
        <v>0</v>
      </c>
      <c r="R369" s="38" t="n">
        <v>70.604</v>
      </c>
      <c r="S369" s="37" t="n">
        <v>0</v>
      </c>
    </row>
    <row r="370" customFormat="false" ht="15" hidden="false" customHeight="false" outlineLevel="0" collapsed="false">
      <c r="A370" s="37" t="n">
        <v>0</v>
      </c>
      <c r="B370" s="37" t="n">
        <v>0</v>
      </c>
      <c r="C370" s="37" t="n">
        <v>15</v>
      </c>
      <c r="D370" s="37" t="n">
        <v>15</v>
      </c>
      <c r="E370" s="37" t="n">
        <v>0</v>
      </c>
      <c r="F370" s="37" t="n">
        <v>0</v>
      </c>
      <c r="G370" s="37" t="s">
        <v>188</v>
      </c>
      <c r="H370" s="38" t="n">
        <v>199.569332168625</v>
      </c>
      <c r="I370" s="38" t="n">
        <v>206.380986437741</v>
      </c>
      <c r="J370" s="38" t="n">
        <v>226.560230928806</v>
      </c>
      <c r="K370" s="38" t="n">
        <v>262.350852608804</v>
      </c>
      <c r="L370" s="38" t="n">
        <v>70.1008526088041</v>
      </c>
      <c r="M370" s="38" t="n">
        <v>113.224790416374</v>
      </c>
      <c r="N370" s="38" t="n">
        <v>132.16613033404</v>
      </c>
      <c r="O370" s="38" t="n">
        <v>75.2035479572827</v>
      </c>
      <c r="P370" s="37" t="n">
        <v>0</v>
      </c>
      <c r="Q370" s="38" t="n">
        <v>0</v>
      </c>
      <c r="R370" s="38" t="n">
        <v>72</v>
      </c>
      <c r="S370" s="37" t="n">
        <v>0</v>
      </c>
    </row>
    <row r="371" customFormat="false" ht="15" hidden="false" customHeight="false" outlineLevel="0" collapsed="false">
      <c r="A371" s="37" t="n">
        <v>0</v>
      </c>
      <c r="B371" s="37" t="n">
        <v>0</v>
      </c>
      <c r="C371" s="37" t="n">
        <v>15</v>
      </c>
      <c r="D371" s="37" t="n">
        <v>15</v>
      </c>
      <c r="E371" s="37" t="n">
        <v>0</v>
      </c>
      <c r="F371" s="37" t="n">
        <v>0</v>
      </c>
      <c r="G371" s="37" t="s">
        <v>192</v>
      </c>
      <c r="H371" s="38" t="n">
        <v>199.569332168625</v>
      </c>
      <c r="I371" s="38" t="n">
        <v>206.353240511456</v>
      </c>
      <c r="J371" s="38" t="n">
        <v>239.799148081367</v>
      </c>
      <c r="K371" s="38" t="n">
        <v>273.662464237263</v>
      </c>
      <c r="L371" s="38" t="n">
        <v>63.9147630204497</v>
      </c>
      <c r="M371" s="38" t="n">
        <v>110.141655110586</v>
      </c>
      <c r="N371" s="38" t="n">
        <v>140.353923563348</v>
      </c>
      <c r="O371" s="38" t="n">
        <v>75.9000055163131</v>
      </c>
      <c r="P371" s="37" t="n">
        <v>0</v>
      </c>
      <c r="Q371" s="38" t="n">
        <v>0</v>
      </c>
      <c r="R371" s="38" t="n">
        <v>72</v>
      </c>
      <c r="S371" s="37" t="n">
        <v>0</v>
      </c>
    </row>
    <row r="372" customFormat="false" ht="15" hidden="false" customHeight="false" outlineLevel="0" collapsed="false">
      <c r="A372" s="37" t="n">
        <v>0</v>
      </c>
      <c r="B372" s="37" t="n">
        <v>0</v>
      </c>
      <c r="C372" s="37" t="n">
        <v>15</v>
      </c>
      <c r="D372" s="37" t="n">
        <v>15</v>
      </c>
      <c r="E372" s="37" t="n">
        <v>0</v>
      </c>
      <c r="F372" s="37" t="n">
        <v>0</v>
      </c>
      <c r="G372" s="37" t="s">
        <v>195</v>
      </c>
      <c r="H372" s="38" t="n">
        <v>199.569332168625</v>
      </c>
      <c r="I372" s="38" t="n">
        <v>206.813901062381</v>
      </c>
      <c r="J372" s="38" t="n">
        <v>233.531092415201</v>
      </c>
      <c r="K372" s="38" t="n">
        <v>273.325251060499</v>
      </c>
      <c r="L372" s="38" t="n">
        <v>82.0752510604987</v>
      </c>
      <c r="M372" s="38" t="n">
        <v>117.671387186527</v>
      </c>
      <c r="N372" s="38" t="n">
        <v>147.709203057804</v>
      </c>
      <c r="O372" s="38" t="n">
        <v>79.9336253251564</v>
      </c>
      <c r="P372" s="37" t="n">
        <v>0</v>
      </c>
      <c r="Q372" s="38" t="n">
        <v>0</v>
      </c>
      <c r="R372" s="38" t="n">
        <v>68.32</v>
      </c>
      <c r="S372" s="37" t="n">
        <v>1</v>
      </c>
    </row>
    <row r="373" customFormat="false" ht="15" hidden="false" customHeight="false" outlineLevel="0" collapsed="false">
      <c r="A373" s="37" t="n">
        <v>0</v>
      </c>
      <c r="B373" s="37" t="n">
        <v>0</v>
      </c>
      <c r="C373" s="37" t="n">
        <v>15</v>
      </c>
      <c r="D373" s="37" t="n">
        <v>15</v>
      </c>
      <c r="E373" s="37" t="n">
        <v>0</v>
      </c>
      <c r="F373" s="37" t="n">
        <v>0</v>
      </c>
      <c r="G373" s="37" t="s">
        <v>197</v>
      </c>
      <c r="H373" s="38" t="n">
        <v>199.569332168625</v>
      </c>
      <c r="I373" s="38" t="n">
        <v>206.345134569941</v>
      </c>
      <c r="J373" s="38" t="n">
        <v>232.1540155006</v>
      </c>
      <c r="K373" s="38" t="n">
        <v>269.438517012939</v>
      </c>
      <c r="L373" s="38" t="n">
        <v>67.4976927394689</v>
      </c>
      <c r="M373" s="38" t="n">
        <v>109.407242551831</v>
      </c>
      <c r="N373" s="38" t="n">
        <v>128.147810623433</v>
      </c>
      <c r="O373" s="38" t="n">
        <v>74.7159761995346</v>
      </c>
      <c r="P373" s="37" t="n">
        <v>0</v>
      </c>
      <c r="Q373" s="38" t="n">
        <v>0</v>
      </c>
      <c r="R373" s="38" t="n">
        <v>72</v>
      </c>
      <c r="S373" s="37" t="n">
        <v>0</v>
      </c>
    </row>
    <row r="374" customFormat="false" ht="15" hidden="false" customHeight="false" outlineLevel="0" collapsed="false">
      <c r="A374" s="37" t="n">
        <v>0</v>
      </c>
      <c r="B374" s="37" t="n">
        <v>0</v>
      </c>
      <c r="C374" s="37" t="n">
        <v>15</v>
      </c>
      <c r="D374" s="37" t="n">
        <v>15</v>
      </c>
      <c r="E374" s="37" t="n">
        <v>0</v>
      </c>
      <c r="F374" s="37" t="n">
        <v>0</v>
      </c>
      <c r="G374" s="37" t="s">
        <v>196</v>
      </c>
      <c r="H374" s="38" t="n">
        <v>199.569332168625</v>
      </c>
      <c r="I374" s="38" t="n">
        <v>206.349261806394</v>
      </c>
      <c r="J374" s="38" t="n">
        <v>225.010120392703</v>
      </c>
      <c r="K374" s="38" t="n">
        <v>271.587665685316</v>
      </c>
      <c r="L374" s="38" t="n">
        <v>78.0321101297601</v>
      </c>
      <c r="M374" s="38" t="n">
        <v>112.540278361855</v>
      </c>
      <c r="N374" s="38" t="n">
        <v>136.204595454272</v>
      </c>
      <c r="O374" s="38" t="n">
        <v>73.9197203110692</v>
      </c>
      <c r="P374" s="37" t="n">
        <v>0</v>
      </c>
      <c r="Q374" s="38" t="n">
        <v>0</v>
      </c>
      <c r="R374" s="38" t="n">
        <v>70.7373333333333</v>
      </c>
      <c r="S374" s="37" t="n">
        <v>0</v>
      </c>
    </row>
    <row r="375" customFormat="false" ht="15" hidden="false" customHeight="false" outlineLevel="0" collapsed="false">
      <c r="A375" s="37" t="n">
        <v>0</v>
      </c>
      <c r="B375" s="37" t="n">
        <v>0</v>
      </c>
      <c r="C375" s="37" t="n">
        <v>20</v>
      </c>
      <c r="D375" s="37" t="n">
        <v>0</v>
      </c>
      <c r="E375" s="37" t="n">
        <v>0</v>
      </c>
      <c r="F375" s="37" t="n">
        <v>10</v>
      </c>
      <c r="G375" s="37" t="s">
        <v>188</v>
      </c>
      <c r="H375" s="38" t="n">
        <v>199.200668083712</v>
      </c>
      <c r="I375" s="38" t="n">
        <v>203.54192296742</v>
      </c>
      <c r="J375" s="38" t="n">
        <v>217.022559367108</v>
      </c>
      <c r="K375" s="38" t="n">
        <v>261.477906443227</v>
      </c>
      <c r="L375" s="38" t="n">
        <v>139.517628659318</v>
      </c>
      <c r="M375" s="38" t="n">
        <v>110.954243796608</v>
      </c>
      <c r="N375" s="38" t="n">
        <v>126.262487406704</v>
      </c>
      <c r="O375" s="38" t="n">
        <v>71.3458252929371</v>
      </c>
      <c r="P375" s="37" t="n">
        <v>0</v>
      </c>
      <c r="Q375" s="38" t="n">
        <v>0</v>
      </c>
      <c r="R375" s="38" t="n">
        <v>70.5</v>
      </c>
      <c r="S375" s="37" t="n">
        <v>1</v>
      </c>
    </row>
    <row r="376" customFormat="false" ht="15" hidden="false" customHeight="false" outlineLevel="0" collapsed="false">
      <c r="A376" s="37" t="n">
        <v>0</v>
      </c>
      <c r="B376" s="37" t="n">
        <v>0</v>
      </c>
      <c r="C376" s="37" t="n">
        <v>20</v>
      </c>
      <c r="D376" s="37" t="n">
        <v>0</v>
      </c>
      <c r="E376" s="37" t="n">
        <v>0</v>
      </c>
      <c r="F376" s="37" t="n">
        <v>10</v>
      </c>
      <c r="G376" s="37" t="s">
        <v>192</v>
      </c>
      <c r="H376" s="38" t="n">
        <v>199.200668083712</v>
      </c>
      <c r="I376" s="38" t="n">
        <v>203.521531279072</v>
      </c>
      <c r="J376" s="38" t="n">
        <v>218.783349271071</v>
      </c>
      <c r="K376" s="38" t="n">
        <v>263.549055139875</v>
      </c>
      <c r="L376" s="38" t="n">
        <v>142.906694162992</v>
      </c>
      <c r="M376" s="38" t="n">
        <v>107.879879732933</v>
      </c>
      <c r="N376" s="38" t="n">
        <v>124.95897212979</v>
      </c>
      <c r="O376" s="38" t="n">
        <v>69.9376655642019</v>
      </c>
      <c r="P376" s="37" t="n">
        <v>0</v>
      </c>
      <c r="Q376" s="38" t="n">
        <v>0</v>
      </c>
      <c r="R376" s="38" t="n">
        <v>70.5</v>
      </c>
      <c r="S376" s="37" t="n">
        <v>0</v>
      </c>
    </row>
    <row r="377" customFormat="false" ht="15" hidden="false" customHeight="false" outlineLevel="0" collapsed="false">
      <c r="A377" s="37" t="n">
        <v>0</v>
      </c>
      <c r="B377" s="37" t="n">
        <v>0</v>
      </c>
      <c r="C377" s="37" t="n">
        <v>20</v>
      </c>
      <c r="D377" s="37" t="n">
        <v>0</v>
      </c>
      <c r="E377" s="37" t="n">
        <v>0</v>
      </c>
      <c r="F377" s="37" t="n">
        <v>10</v>
      </c>
      <c r="G377" s="37" t="s">
        <v>195</v>
      </c>
      <c r="H377" s="38" t="n">
        <v>199.200668083712</v>
      </c>
      <c r="I377" s="38" t="n">
        <v>203.592015651648</v>
      </c>
      <c r="J377" s="38" t="n">
        <v>215.23337014847</v>
      </c>
      <c r="K377" s="38" t="n">
        <v>256.194347882004</v>
      </c>
      <c r="L377" s="38" t="n">
        <v>137.85973702676</v>
      </c>
      <c r="M377" s="38" t="n">
        <v>111.018666858253</v>
      </c>
      <c r="N377" s="38" t="n">
        <v>122.12409414775</v>
      </c>
      <c r="O377" s="38" t="n">
        <v>69.619502420044</v>
      </c>
      <c r="P377" s="37" t="n">
        <v>0</v>
      </c>
      <c r="Q377" s="38" t="n">
        <v>0</v>
      </c>
      <c r="R377" s="38" t="n">
        <v>68.6746167434269</v>
      </c>
      <c r="S377" s="37" t="n">
        <v>0</v>
      </c>
    </row>
    <row r="378" customFormat="false" ht="15" hidden="false" customHeight="false" outlineLevel="0" collapsed="false">
      <c r="A378" s="37" t="n">
        <v>0</v>
      </c>
      <c r="B378" s="37" t="n">
        <v>0</v>
      </c>
      <c r="C378" s="37" t="n">
        <v>20</v>
      </c>
      <c r="D378" s="37" t="n">
        <v>0</v>
      </c>
      <c r="E378" s="37" t="n">
        <v>0</v>
      </c>
      <c r="F378" s="37" t="n">
        <v>10</v>
      </c>
      <c r="G378" s="37" t="s">
        <v>197</v>
      </c>
      <c r="H378" s="38" t="n">
        <v>199.200668083712</v>
      </c>
      <c r="I378" s="38" t="n">
        <v>203.511864771834</v>
      </c>
      <c r="J378" s="38" t="n">
        <v>217.589010447038</v>
      </c>
      <c r="K378" s="38" t="n">
        <v>261.899358912069</v>
      </c>
      <c r="L378" s="38" t="n">
        <v>139.569461267504</v>
      </c>
      <c r="M378" s="38" t="n">
        <v>105.77524078397</v>
      </c>
      <c r="N378" s="38" t="n">
        <v>115.685062817581</v>
      </c>
      <c r="O378" s="38" t="n">
        <v>69.0290599057006</v>
      </c>
      <c r="P378" s="37" t="n">
        <v>0</v>
      </c>
      <c r="Q378" s="38" t="n">
        <v>0</v>
      </c>
      <c r="R378" s="38" t="n">
        <v>70.5</v>
      </c>
      <c r="S378" s="37" t="n">
        <v>0</v>
      </c>
    </row>
    <row r="379" customFormat="false" ht="15" hidden="false" customHeight="false" outlineLevel="0" collapsed="false">
      <c r="A379" s="37" t="n">
        <v>0</v>
      </c>
      <c r="B379" s="37" t="n">
        <v>0</v>
      </c>
      <c r="C379" s="37" t="n">
        <v>20</v>
      </c>
      <c r="D379" s="37" t="n">
        <v>0</v>
      </c>
      <c r="E379" s="37" t="n">
        <v>0</v>
      </c>
      <c r="F379" s="37" t="n">
        <v>10</v>
      </c>
      <c r="G379" s="37" t="s">
        <v>196</v>
      </c>
      <c r="H379" s="38" t="n">
        <v>199.200668083712</v>
      </c>
      <c r="I379" s="38" t="n">
        <v>203.515514171194</v>
      </c>
      <c r="J379" s="38" t="n">
        <v>218.007197639064</v>
      </c>
      <c r="K379" s="38" t="n">
        <v>262.545163028977</v>
      </c>
      <c r="L379" s="38" t="n">
        <v>146.392138236569</v>
      </c>
      <c r="M379" s="38" t="n">
        <v>108.054308317704</v>
      </c>
      <c r="N379" s="38" t="n">
        <v>122.835461037286</v>
      </c>
      <c r="O379" s="38" t="n">
        <v>70.112598050466</v>
      </c>
      <c r="P379" s="37" t="n">
        <v>0</v>
      </c>
      <c r="Q379" s="38" t="n">
        <v>0</v>
      </c>
      <c r="R379" s="38" t="n">
        <v>69.5766073831554</v>
      </c>
      <c r="S379" s="37" t="n">
        <v>0</v>
      </c>
    </row>
    <row r="380" customFormat="false" ht="15" hidden="false" customHeight="false" outlineLevel="0" collapsed="false">
      <c r="A380" s="37" t="n">
        <v>0</v>
      </c>
      <c r="B380" s="37" t="n">
        <v>0</v>
      </c>
      <c r="C380" s="37" t="n">
        <v>20</v>
      </c>
      <c r="D380" s="37" t="n">
        <v>0</v>
      </c>
      <c r="E380" s="37" t="n">
        <v>5</v>
      </c>
      <c r="F380" s="37" t="n">
        <v>5</v>
      </c>
      <c r="G380" s="37" t="s">
        <v>188</v>
      </c>
      <c r="H380" s="38" t="n">
        <v>199.190386867415</v>
      </c>
      <c r="I380" s="38" t="n">
        <v>203.611935298322</v>
      </c>
      <c r="J380" s="38" t="n">
        <v>219.470642611956</v>
      </c>
      <c r="K380" s="38" t="n">
        <v>264.963571932323</v>
      </c>
      <c r="L380" s="38" t="n">
        <v>103.229703391464</v>
      </c>
      <c r="M380" s="38" t="n">
        <v>111.805412797277</v>
      </c>
      <c r="N380" s="38" t="n">
        <v>132.583248522495</v>
      </c>
      <c r="O380" s="38" t="n">
        <v>71.2631387035998</v>
      </c>
      <c r="P380" s="37" t="n">
        <v>0</v>
      </c>
      <c r="Q380" s="38" t="n">
        <v>0</v>
      </c>
      <c r="R380" s="38" t="n">
        <v>70.5</v>
      </c>
      <c r="S380" s="37" t="n">
        <v>1</v>
      </c>
    </row>
    <row r="381" customFormat="false" ht="15" hidden="false" customHeight="false" outlineLevel="0" collapsed="false">
      <c r="A381" s="37" t="n">
        <v>0</v>
      </c>
      <c r="B381" s="37" t="n">
        <v>0</v>
      </c>
      <c r="C381" s="37" t="n">
        <v>20</v>
      </c>
      <c r="D381" s="37" t="n">
        <v>0</v>
      </c>
      <c r="E381" s="37" t="n">
        <v>5</v>
      </c>
      <c r="F381" s="37" t="n">
        <v>5</v>
      </c>
      <c r="G381" s="37" t="s">
        <v>192</v>
      </c>
      <c r="H381" s="38" t="n">
        <v>199.190386867415</v>
      </c>
      <c r="I381" s="38" t="n">
        <v>203.591561956232</v>
      </c>
      <c r="J381" s="38" t="n">
        <v>221.134988903036</v>
      </c>
      <c r="K381" s="38" t="n">
        <v>266.905003386021</v>
      </c>
      <c r="L381" s="38" t="n">
        <v>106.248080814945</v>
      </c>
      <c r="M381" s="38" t="n">
        <v>108.729003263877</v>
      </c>
      <c r="N381" s="38" t="n">
        <v>131.078511023787</v>
      </c>
      <c r="O381" s="38" t="n">
        <v>69.9548707711984</v>
      </c>
      <c r="P381" s="37" t="n">
        <v>0</v>
      </c>
      <c r="Q381" s="38" t="n">
        <v>0</v>
      </c>
      <c r="R381" s="38" t="n">
        <v>70.5</v>
      </c>
      <c r="S381" s="37" t="n">
        <v>0</v>
      </c>
    </row>
    <row r="382" customFormat="false" ht="15" hidden="false" customHeight="false" outlineLevel="0" collapsed="false">
      <c r="A382" s="37" t="n">
        <v>0</v>
      </c>
      <c r="B382" s="37" t="n">
        <v>0</v>
      </c>
      <c r="C382" s="37" t="n">
        <v>20</v>
      </c>
      <c r="D382" s="37" t="n">
        <v>0</v>
      </c>
      <c r="E382" s="37" t="n">
        <v>5</v>
      </c>
      <c r="F382" s="37" t="n">
        <v>5</v>
      </c>
      <c r="G382" s="37" t="s">
        <v>195</v>
      </c>
      <c r="H382" s="38" t="n">
        <v>199.190386867415</v>
      </c>
      <c r="I382" s="38" t="n">
        <v>203.672091432506</v>
      </c>
      <c r="J382" s="38" t="n">
        <v>217.663150463642</v>
      </c>
      <c r="K382" s="38" t="n">
        <v>259.708335846495</v>
      </c>
      <c r="L382" s="38" t="n">
        <v>101.308173217377</v>
      </c>
      <c r="M382" s="38" t="n">
        <v>111.891584195363</v>
      </c>
      <c r="N382" s="38" t="n">
        <v>128.489331219179</v>
      </c>
      <c r="O382" s="38" t="n">
        <v>69.824174955734</v>
      </c>
      <c r="P382" s="37" t="n">
        <v>0</v>
      </c>
      <c r="Q382" s="38" t="n">
        <v>0</v>
      </c>
      <c r="R382" s="38" t="n">
        <v>68.6549512112646</v>
      </c>
      <c r="S382" s="37" t="n">
        <v>0</v>
      </c>
    </row>
    <row r="383" customFormat="false" ht="15" hidden="false" customHeight="false" outlineLevel="0" collapsed="false">
      <c r="A383" s="37" t="n">
        <v>0</v>
      </c>
      <c r="B383" s="37" t="n">
        <v>0</v>
      </c>
      <c r="C383" s="37" t="n">
        <v>20</v>
      </c>
      <c r="D383" s="37" t="n">
        <v>0</v>
      </c>
      <c r="E383" s="37" t="n">
        <v>5</v>
      </c>
      <c r="F383" s="37" t="n">
        <v>5</v>
      </c>
      <c r="G383" s="37" t="s">
        <v>197</v>
      </c>
      <c r="H383" s="38" t="n">
        <v>199.190386867415</v>
      </c>
      <c r="I383" s="38" t="n">
        <v>203.592915718938</v>
      </c>
      <c r="J383" s="38" t="n">
        <v>220.550216255606</v>
      </c>
      <c r="K383" s="38" t="n">
        <v>266.191765458269</v>
      </c>
      <c r="L383" s="38" t="n">
        <v>104.37149078358</v>
      </c>
      <c r="M383" s="38" t="n">
        <v>110.027719551892</v>
      </c>
      <c r="N383" s="38" t="n">
        <v>130.730290724164</v>
      </c>
      <c r="O383" s="38" t="n">
        <v>72.9817277361299</v>
      </c>
      <c r="P383" s="37" t="n">
        <v>0</v>
      </c>
      <c r="Q383" s="38" t="n">
        <v>0</v>
      </c>
      <c r="R383" s="38" t="n">
        <v>70.5</v>
      </c>
      <c r="S383" s="37" t="n">
        <v>0</v>
      </c>
    </row>
    <row r="384" customFormat="false" ht="15" hidden="false" customHeight="false" outlineLevel="0" collapsed="false">
      <c r="A384" s="37" t="n">
        <v>0</v>
      </c>
      <c r="B384" s="37" t="n">
        <v>0</v>
      </c>
      <c r="C384" s="37" t="n">
        <v>20</v>
      </c>
      <c r="D384" s="37" t="n">
        <v>0</v>
      </c>
      <c r="E384" s="37" t="n">
        <v>5</v>
      </c>
      <c r="F384" s="37" t="n">
        <v>5</v>
      </c>
      <c r="G384" s="37" t="s">
        <v>196</v>
      </c>
      <c r="H384" s="38" t="n">
        <v>199.190386867415</v>
      </c>
      <c r="I384" s="38" t="n">
        <v>203.587709613458</v>
      </c>
      <c r="J384" s="38" t="n">
        <v>220.288140971058</v>
      </c>
      <c r="K384" s="38" t="n">
        <v>265.855384437755</v>
      </c>
      <c r="L384" s="38" t="n">
        <v>109.62521762707</v>
      </c>
      <c r="M384" s="38" t="n">
        <v>109.645503149456</v>
      </c>
      <c r="N384" s="38" t="n">
        <v>130.364451980957</v>
      </c>
      <c r="O384" s="38" t="n">
        <v>71.4332177675798</v>
      </c>
      <c r="P384" s="37" t="n">
        <v>0</v>
      </c>
      <c r="Q384" s="38" t="n">
        <v>0</v>
      </c>
      <c r="R384" s="38" t="n">
        <v>69.5580932987688</v>
      </c>
      <c r="S384" s="37" t="n">
        <v>0</v>
      </c>
    </row>
    <row r="385" customFormat="false" ht="15" hidden="false" customHeight="false" outlineLevel="0" collapsed="false">
      <c r="A385" s="37" t="n">
        <v>0</v>
      </c>
      <c r="B385" s="37" t="n">
        <v>0</v>
      </c>
      <c r="C385" s="37" t="n">
        <v>20</v>
      </c>
      <c r="D385" s="37" t="n">
        <v>0</v>
      </c>
      <c r="E385" s="37" t="n">
        <v>10</v>
      </c>
      <c r="F385" s="37" t="n">
        <v>0</v>
      </c>
      <c r="G385" s="37" t="s">
        <v>188</v>
      </c>
      <c r="H385" s="38" t="n">
        <v>199.16893596802</v>
      </c>
      <c r="I385" s="38" t="n">
        <v>203.64698375712</v>
      </c>
      <c r="J385" s="38" t="n">
        <v>221.278915211759</v>
      </c>
      <c r="K385" s="38" t="n">
        <v>267.436798656153</v>
      </c>
      <c r="L385" s="38" t="n">
        <v>65.9006660809408</v>
      </c>
      <c r="M385" s="38" t="n">
        <v>112.451089466933</v>
      </c>
      <c r="N385" s="38" t="n">
        <v>137.404279028827</v>
      </c>
      <c r="O385" s="38" t="n">
        <v>70.8738052959465</v>
      </c>
      <c r="P385" s="37" t="n">
        <v>0</v>
      </c>
      <c r="Q385" s="38" t="n">
        <v>0</v>
      </c>
      <c r="R385" s="38" t="n">
        <v>70.5</v>
      </c>
      <c r="S385" s="37" t="n">
        <v>0</v>
      </c>
    </row>
    <row r="386" customFormat="false" ht="15" hidden="false" customHeight="false" outlineLevel="0" collapsed="false">
      <c r="A386" s="37" t="n">
        <v>0</v>
      </c>
      <c r="B386" s="37" t="n">
        <v>0</v>
      </c>
      <c r="C386" s="37" t="n">
        <v>20</v>
      </c>
      <c r="D386" s="37" t="n">
        <v>0</v>
      </c>
      <c r="E386" s="37" t="n">
        <v>10</v>
      </c>
      <c r="F386" s="37" t="n">
        <v>0</v>
      </c>
      <c r="G386" s="37" t="s">
        <v>192</v>
      </c>
      <c r="H386" s="38" t="n">
        <v>199.16893596802</v>
      </c>
      <c r="I386" s="38" t="n">
        <v>203.627264093386</v>
      </c>
      <c r="J386" s="38" t="n">
        <v>222.870849947451</v>
      </c>
      <c r="K386" s="38" t="n">
        <v>269.288312987896</v>
      </c>
      <c r="L386" s="38" t="n">
        <v>68.617112785035</v>
      </c>
      <c r="M386" s="38" t="n">
        <v>109.375920266723</v>
      </c>
      <c r="N386" s="38" t="n">
        <v>135.745969129746</v>
      </c>
      <c r="O386" s="38" t="n">
        <v>69.6714255248604</v>
      </c>
      <c r="P386" s="37" t="n">
        <v>0</v>
      </c>
      <c r="Q386" s="38" t="n">
        <v>0</v>
      </c>
      <c r="R386" s="38" t="n">
        <v>70.5</v>
      </c>
      <c r="S386" s="37" t="n">
        <v>0</v>
      </c>
    </row>
    <row r="387" customFormat="false" ht="15" hidden="false" customHeight="false" outlineLevel="0" collapsed="false">
      <c r="A387" s="37" t="n">
        <v>0</v>
      </c>
      <c r="B387" s="37" t="n">
        <v>0</v>
      </c>
      <c r="C387" s="37" t="n">
        <v>20</v>
      </c>
      <c r="D387" s="37" t="n">
        <v>0</v>
      </c>
      <c r="E387" s="37" t="n">
        <v>10</v>
      </c>
      <c r="F387" s="37" t="n">
        <v>0</v>
      </c>
      <c r="G387" s="37" t="s">
        <v>195</v>
      </c>
      <c r="H387" s="38" t="n">
        <v>199.16893596802</v>
      </c>
      <c r="I387" s="38" t="n">
        <v>203.717120137464</v>
      </c>
      <c r="J387" s="38" t="n">
        <v>219.501615863641</v>
      </c>
      <c r="K387" s="38" t="n">
        <v>262.275355426491</v>
      </c>
      <c r="L387" s="38" t="n">
        <v>63.8231178858813</v>
      </c>
      <c r="M387" s="38" t="n">
        <v>112.560815274809</v>
      </c>
      <c r="N387" s="38" t="n">
        <v>133.409893974978</v>
      </c>
      <c r="O387" s="38" t="n">
        <v>69.6976333692381</v>
      </c>
      <c r="P387" s="37" t="n">
        <v>0</v>
      </c>
      <c r="Q387" s="38" t="n">
        <v>0</v>
      </c>
      <c r="R387" s="38" t="n">
        <v>68.6393287378171</v>
      </c>
      <c r="S387" s="37" t="n">
        <v>0</v>
      </c>
    </row>
    <row r="388" customFormat="false" ht="15" hidden="false" customHeight="false" outlineLevel="0" collapsed="false">
      <c r="A388" s="37" t="n">
        <v>0</v>
      </c>
      <c r="B388" s="37" t="n">
        <v>0</v>
      </c>
      <c r="C388" s="37" t="n">
        <v>20</v>
      </c>
      <c r="D388" s="37" t="n">
        <v>0</v>
      </c>
      <c r="E388" s="37" t="n">
        <v>10</v>
      </c>
      <c r="F388" s="37" t="n">
        <v>0</v>
      </c>
      <c r="G388" s="37" t="s">
        <v>197</v>
      </c>
      <c r="H388" s="38" t="n">
        <v>199.16893596802</v>
      </c>
      <c r="I388" s="38" t="n">
        <v>203.64788003887</v>
      </c>
      <c r="J388" s="38" t="n">
        <v>223.152665407083</v>
      </c>
      <c r="K388" s="38" t="n">
        <v>269.82171858856</v>
      </c>
      <c r="L388" s="38" t="n">
        <v>68.652943323591</v>
      </c>
      <c r="M388" s="38" t="n">
        <v>113.354979709988</v>
      </c>
      <c r="N388" s="38" t="n">
        <v>143.136615749083</v>
      </c>
      <c r="O388" s="38" t="n">
        <v>74.4568810253023</v>
      </c>
      <c r="P388" s="37" t="n">
        <v>0</v>
      </c>
      <c r="Q388" s="38" t="n">
        <v>0</v>
      </c>
      <c r="R388" s="38" t="n">
        <v>70.5</v>
      </c>
      <c r="S388" s="37" t="n">
        <v>1</v>
      </c>
    </row>
    <row r="389" customFormat="false" ht="15" hidden="false" customHeight="false" outlineLevel="0" collapsed="false">
      <c r="A389" s="37" t="n">
        <v>0</v>
      </c>
      <c r="B389" s="37" t="n">
        <v>0</v>
      </c>
      <c r="C389" s="37" t="n">
        <v>20</v>
      </c>
      <c r="D389" s="37" t="n">
        <v>0</v>
      </c>
      <c r="E389" s="37" t="n">
        <v>10</v>
      </c>
      <c r="F389" s="37" t="n">
        <v>0</v>
      </c>
      <c r="G389" s="37" t="s">
        <v>196</v>
      </c>
      <c r="H389" s="38" t="n">
        <v>199.16893596802</v>
      </c>
      <c r="I389" s="38" t="n">
        <v>203.62517600152</v>
      </c>
      <c r="J389" s="38" t="n">
        <v>221.999202227626</v>
      </c>
      <c r="K389" s="38" t="n">
        <v>268.238501197967</v>
      </c>
      <c r="L389" s="38" t="n">
        <v>71.9448890857831</v>
      </c>
      <c r="M389" s="38" t="n">
        <v>110.88934857138</v>
      </c>
      <c r="N389" s="38" t="n">
        <v>136.149921805884</v>
      </c>
      <c r="O389" s="38" t="n">
        <v>71.5081121674809</v>
      </c>
      <c r="P389" s="37" t="n">
        <v>0</v>
      </c>
      <c r="Q389" s="38" t="n">
        <v>0</v>
      </c>
      <c r="R389" s="38" t="n">
        <v>69.5428664264091</v>
      </c>
      <c r="S389" s="37" t="n">
        <v>0</v>
      </c>
    </row>
    <row r="390" customFormat="false" ht="15" hidden="false" customHeight="false" outlineLevel="0" collapsed="false">
      <c r="A390" s="37" t="n">
        <v>0</v>
      </c>
      <c r="B390" s="37" t="n">
        <v>0</v>
      </c>
      <c r="C390" s="37" t="n">
        <v>20</v>
      </c>
      <c r="D390" s="37" t="n">
        <v>5</v>
      </c>
      <c r="E390" s="37" t="n">
        <v>0</v>
      </c>
      <c r="F390" s="37" t="n">
        <v>5</v>
      </c>
      <c r="G390" s="37" t="s">
        <v>188</v>
      </c>
      <c r="H390" s="38" t="n">
        <v>199.483632122279</v>
      </c>
      <c r="I390" s="38" t="n">
        <v>205.711985053158</v>
      </c>
      <c r="J390" s="38" t="n">
        <v>226.058255680949</v>
      </c>
      <c r="K390" s="38" t="n">
        <v>267.665460358065</v>
      </c>
      <c r="L390" s="38" t="n">
        <v>106.466701980279</v>
      </c>
      <c r="M390" s="38" t="n">
        <v>113.962484915297</v>
      </c>
      <c r="N390" s="38" t="n">
        <v>133.689286013559</v>
      </c>
      <c r="O390" s="38" t="n">
        <v>75.88555849498</v>
      </c>
      <c r="P390" s="37" t="n">
        <v>0</v>
      </c>
      <c r="Q390" s="38" t="n">
        <v>0</v>
      </c>
      <c r="R390" s="38" t="n">
        <v>72</v>
      </c>
      <c r="S390" s="37" t="n">
        <v>0</v>
      </c>
    </row>
    <row r="391" customFormat="false" ht="15" hidden="false" customHeight="false" outlineLevel="0" collapsed="false">
      <c r="A391" s="37" t="n">
        <v>0</v>
      </c>
      <c r="B391" s="37" t="n">
        <v>0</v>
      </c>
      <c r="C391" s="37" t="n">
        <v>20</v>
      </c>
      <c r="D391" s="37" t="n">
        <v>5</v>
      </c>
      <c r="E391" s="37" t="n">
        <v>0</v>
      </c>
      <c r="F391" s="37" t="n">
        <v>5</v>
      </c>
      <c r="G391" s="37" t="s">
        <v>192</v>
      </c>
      <c r="H391" s="38" t="n">
        <v>199.483632122279</v>
      </c>
      <c r="I391" s="38" t="n">
        <v>205.680394662942</v>
      </c>
      <c r="J391" s="38" t="n">
        <v>233.58952382965</v>
      </c>
      <c r="K391" s="38" t="n">
        <v>271.538551221527</v>
      </c>
      <c r="L391" s="38" t="n">
        <v>101.236673278435</v>
      </c>
      <c r="M391" s="38" t="n">
        <v>110.861589249151</v>
      </c>
      <c r="N391" s="38" t="n">
        <v>134.849209442158</v>
      </c>
      <c r="O391" s="38" t="n">
        <v>74.8048544611035</v>
      </c>
      <c r="P391" s="37" t="n">
        <v>0</v>
      </c>
      <c r="Q391" s="38" t="n">
        <v>0</v>
      </c>
      <c r="R391" s="38" t="n">
        <v>72</v>
      </c>
      <c r="S391" s="37" t="n">
        <v>0</v>
      </c>
    </row>
    <row r="392" customFormat="false" ht="15" hidden="false" customHeight="false" outlineLevel="0" collapsed="false">
      <c r="A392" s="37" t="n">
        <v>0</v>
      </c>
      <c r="B392" s="37" t="n">
        <v>0</v>
      </c>
      <c r="C392" s="37" t="n">
        <v>20</v>
      </c>
      <c r="D392" s="37" t="n">
        <v>5</v>
      </c>
      <c r="E392" s="37" t="n">
        <v>0</v>
      </c>
      <c r="F392" s="37" t="n">
        <v>5</v>
      </c>
      <c r="G392" s="37" t="s">
        <v>195</v>
      </c>
      <c r="H392" s="38" t="n">
        <v>199.483632122279</v>
      </c>
      <c r="I392" s="38" t="n">
        <v>205.903017999084</v>
      </c>
      <c r="J392" s="38" t="n">
        <v>227.503790345203</v>
      </c>
      <c r="K392" s="38" t="n">
        <v>267.780970055032</v>
      </c>
      <c r="L392" s="38" t="n">
        <v>110.751488283719</v>
      </c>
      <c r="M392" s="38" t="n">
        <v>115.896436134641</v>
      </c>
      <c r="N392" s="38" t="n">
        <v>137.839237760319</v>
      </c>
      <c r="O392" s="38" t="n">
        <v>77.597071037121</v>
      </c>
      <c r="P392" s="37" t="n">
        <v>0</v>
      </c>
      <c r="Q392" s="38" t="n">
        <v>0</v>
      </c>
      <c r="R392" s="38" t="n">
        <v>70.5661554686061</v>
      </c>
      <c r="S392" s="37" t="n">
        <v>1</v>
      </c>
    </row>
    <row r="393" customFormat="false" ht="15" hidden="false" customHeight="false" outlineLevel="0" collapsed="false">
      <c r="A393" s="37" t="n">
        <v>0</v>
      </c>
      <c r="B393" s="37" t="n">
        <v>0</v>
      </c>
      <c r="C393" s="37" t="n">
        <v>20</v>
      </c>
      <c r="D393" s="37" t="n">
        <v>5</v>
      </c>
      <c r="E393" s="37" t="n">
        <v>0</v>
      </c>
      <c r="F393" s="37" t="n">
        <v>5</v>
      </c>
      <c r="G393" s="37" t="s">
        <v>197</v>
      </c>
      <c r="H393" s="38" t="n">
        <v>199.483632122279</v>
      </c>
      <c r="I393" s="38" t="n">
        <v>205.665834391562</v>
      </c>
      <c r="J393" s="38" t="n">
        <v>226.248588932399</v>
      </c>
      <c r="K393" s="38" t="n">
        <v>267.551933350454</v>
      </c>
      <c r="L393" s="38" t="n">
        <v>105.473637688775</v>
      </c>
      <c r="M393" s="38" t="n">
        <v>108.839938311678</v>
      </c>
      <c r="N393" s="38" t="n">
        <v>122.700577259016</v>
      </c>
      <c r="O393" s="38" t="n">
        <v>73.4197929456275</v>
      </c>
      <c r="P393" s="37" t="n">
        <v>0</v>
      </c>
      <c r="Q393" s="38" t="n">
        <v>0</v>
      </c>
      <c r="R393" s="38" t="n">
        <v>72</v>
      </c>
      <c r="S393" s="37" t="n">
        <v>0</v>
      </c>
    </row>
    <row r="394" customFormat="false" ht="15" hidden="false" customHeight="false" outlineLevel="0" collapsed="false">
      <c r="A394" s="37" t="n">
        <v>0</v>
      </c>
      <c r="B394" s="37" t="n">
        <v>0</v>
      </c>
      <c r="C394" s="37" t="n">
        <v>20</v>
      </c>
      <c r="D394" s="37" t="n">
        <v>5</v>
      </c>
      <c r="E394" s="37" t="n">
        <v>0</v>
      </c>
      <c r="F394" s="37" t="n">
        <v>5</v>
      </c>
      <c r="G394" s="37" t="s">
        <v>196</v>
      </c>
      <c r="H394" s="38" t="n">
        <v>199.483632122279</v>
      </c>
      <c r="I394" s="38" t="n">
        <v>205.671597314093</v>
      </c>
      <c r="J394" s="38" t="n">
        <v>219.120674428801</v>
      </c>
      <c r="K394" s="38" t="n">
        <v>269.766676258986</v>
      </c>
      <c r="L394" s="38" t="n">
        <v>116.21112070343</v>
      </c>
      <c r="M394" s="38" t="n">
        <v>111.702622480926</v>
      </c>
      <c r="N394" s="38" t="n">
        <v>129.915798475154</v>
      </c>
      <c r="O394" s="38" t="n">
        <v>72.6121368868792</v>
      </c>
      <c r="P394" s="37" t="n">
        <v>0</v>
      </c>
      <c r="Q394" s="38" t="n">
        <v>0</v>
      </c>
      <c r="R394" s="38" t="n">
        <v>70.6207506168778</v>
      </c>
      <c r="S394" s="37" t="n">
        <v>0</v>
      </c>
    </row>
    <row r="395" customFormat="false" ht="15" hidden="false" customHeight="false" outlineLevel="0" collapsed="false">
      <c r="A395" s="37" t="n">
        <v>0</v>
      </c>
      <c r="B395" s="37" t="n">
        <v>0</v>
      </c>
      <c r="C395" s="37" t="n">
        <v>20</v>
      </c>
      <c r="D395" s="37" t="n">
        <v>5</v>
      </c>
      <c r="E395" s="37" t="n">
        <v>5</v>
      </c>
      <c r="F395" s="37" t="n">
        <v>0</v>
      </c>
      <c r="G395" s="37" t="s">
        <v>188</v>
      </c>
      <c r="H395" s="38" t="n">
        <v>199.421296965757</v>
      </c>
      <c r="I395" s="38" t="n">
        <v>205.525982088204</v>
      </c>
      <c r="J395" s="38" t="n">
        <v>228.364336168242</v>
      </c>
      <c r="K395" s="38" t="n">
        <v>269.987236380764</v>
      </c>
      <c r="L395" s="38" t="n">
        <v>68.9879462485149</v>
      </c>
      <c r="M395" s="38" t="n">
        <v>114.288336091853</v>
      </c>
      <c r="N395" s="38" t="n">
        <v>139.949670966728</v>
      </c>
      <c r="O395" s="38" t="n">
        <v>75.6393379343611</v>
      </c>
      <c r="P395" s="37" t="n">
        <v>0</v>
      </c>
      <c r="Q395" s="38" t="n">
        <v>0</v>
      </c>
      <c r="R395" s="38" t="n">
        <v>72</v>
      </c>
      <c r="S395" s="37" t="n">
        <v>0</v>
      </c>
    </row>
    <row r="396" customFormat="false" ht="15" hidden="false" customHeight="false" outlineLevel="0" collapsed="false">
      <c r="A396" s="37" t="n">
        <v>0</v>
      </c>
      <c r="B396" s="37" t="n">
        <v>0</v>
      </c>
      <c r="C396" s="37" t="n">
        <v>20</v>
      </c>
      <c r="D396" s="37" t="n">
        <v>5</v>
      </c>
      <c r="E396" s="37" t="n">
        <v>5</v>
      </c>
      <c r="F396" s="37" t="n">
        <v>0</v>
      </c>
      <c r="G396" s="37" t="s">
        <v>192</v>
      </c>
      <c r="H396" s="38" t="n">
        <v>199.421296965757</v>
      </c>
      <c r="I396" s="38" t="n">
        <v>205.495070694975</v>
      </c>
      <c r="J396" s="38" t="n">
        <v>235.91137792289</v>
      </c>
      <c r="K396" s="38" t="n">
        <v>273.787122036403</v>
      </c>
      <c r="L396" s="38" t="n">
        <v>63.4424752331863</v>
      </c>
      <c r="M396" s="38" t="n">
        <v>111.186955131756</v>
      </c>
      <c r="N396" s="38" t="n">
        <v>140.906196792546</v>
      </c>
      <c r="O396" s="38" t="n">
        <v>74.6316043894834</v>
      </c>
      <c r="P396" s="37" t="n">
        <v>0</v>
      </c>
      <c r="Q396" s="38" t="n">
        <v>0</v>
      </c>
      <c r="R396" s="38" t="n">
        <v>72</v>
      </c>
      <c r="S396" s="37" t="n">
        <v>0</v>
      </c>
    </row>
    <row r="397" customFormat="false" ht="15" hidden="false" customHeight="false" outlineLevel="0" collapsed="false">
      <c r="A397" s="37" t="n">
        <v>0</v>
      </c>
      <c r="B397" s="37" t="n">
        <v>0</v>
      </c>
      <c r="C397" s="37" t="n">
        <v>20</v>
      </c>
      <c r="D397" s="37" t="n">
        <v>5</v>
      </c>
      <c r="E397" s="37" t="n">
        <v>5</v>
      </c>
      <c r="F397" s="37" t="n">
        <v>0</v>
      </c>
      <c r="G397" s="37" t="s">
        <v>195</v>
      </c>
      <c r="H397" s="38" t="n">
        <v>199.421296965757</v>
      </c>
      <c r="I397" s="38" t="n">
        <v>205.730194213069</v>
      </c>
      <c r="J397" s="38" t="n">
        <v>229.93139107725</v>
      </c>
      <c r="K397" s="38" t="n">
        <v>270.351880583909</v>
      </c>
      <c r="L397" s="38" t="n">
        <v>73.2823253136515</v>
      </c>
      <c r="M397" s="38" t="n">
        <v>116.199414359779</v>
      </c>
      <c r="N397" s="38" t="n">
        <v>144.18456653619</v>
      </c>
      <c r="O397" s="38" t="n">
        <v>77.5855360767874</v>
      </c>
      <c r="P397" s="37" t="n">
        <v>0</v>
      </c>
      <c r="Q397" s="38" t="n">
        <v>0</v>
      </c>
      <c r="R397" s="38" t="n">
        <v>70.5541334189227</v>
      </c>
      <c r="S397" s="37" t="n">
        <v>1</v>
      </c>
    </row>
    <row r="398" customFormat="false" ht="15" hidden="false" customHeight="false" outlineLevel="0" collapsed="false">
      <c r="A398" s="37" t="n">
        <v>0</v>
      </c>
      <c r="B398" s="37" t="n">
        <v>0</v>
      </c>
      <c r="C398" s="37" t="n">
        <v>20</v>
      </c>
      <c r="D398" s="37" t="n">
        <v>5</v>
      </c>
      <c r="E398" s="37" t="n">
        <v>5</v>
      </c>
      <c r="F398" s="37" t="n">
        <v>0</v>
      </c>
      <c r="G398" s="37" t="s">
        <v>197</v>
      </c>
      <c r="H398" s="38" t="n">
        <v>199.421296965757</v>
      </c>
      <c r="I398" s="38" t="n">
        <v>205.494279714195</v>
      </c>
      <c r="J398" s="38" t="n">
        <v>229.041751833945</v>
      </c>
      <c r="K398" s="38" t="n">
        <v>270.602366206062</v>
      </c>
      <c r="L398" s="38" t="n">
        <v>69.0082854893341</v>
      </c>
      <c r="M398" s="38" t="n">
        <v>112.5783287322</v>
      </c>
      <c r="N398" s="38" t="n">
        <v>137.609398967712</v>
      </c>
      <c r="O398" s="38" t="n">
        <v>77.1891034515354</v>
      </c>
      <c r="P398" s="37" t="n">
        <v>0</v>
      </c>
      <c r="Q398" s="38" t="n">
        <v>0</v>
      </c>
      <c r="R398" s="38" t="n">
        <v>72</v>
      </c>
      <c r="S398" s="37" t="n">
        <v>0</v>
      </c>
    </row>
    <row r="399" customFormat="false" ht="15" hidden="false" customHeight="false" outlineLevel="0" collapsed="false">
      <c r="A399" s="37" t="n">
        <v>0</v>
      </c>
      <c r="B399" s="37" t="n">
        <v>0</v>
      </c>
      <c r="C399" s="37" t="n">
        <v>20</v>
      </c>
      <c r="D399" s="37" t="n">
        <v>5</v>
      </c>
      <c r="E399" s="37" t="n">
        <v>5</v>
      </c>
      <c r="F399" s="37" t="n">
        <v>0</v>
      </c>
      <c r="G399" s="37" t="s">
        <v>196</v>
      </c>
      <c r="H399" s="38" t="n">
        <v>199.421296965757</v>
      </c>
      <c r="I399" s="38" t="n">
        <v>205.490190439512</v>
      </c>
      <c r="J399" s="38" t="n">
        <v>228.841065085069</v>
      </c>
      <c r="K399" s="38" t="n">
        <v>270.32807076768</v>
      </c>
      <c r="L399" s="38" t="n">
        <v>74.1454955881303</v>
      </c>
      <c r="M399" s="38" t="n">
        <v>112.787605818496</v>
      </c>
      <c r="N399" s="38" t="n">
        <v>138.560494550198</v>
      </c>
      <c r="O399" s="38" t="n">
        <v>75.3674871368551</v>
      </c>
      <c r="P399" s="37" t="n">
        <v>0</v>
      </c>
      <c r="Q399" s="38" t="n">
        <v>0</v>
      </c>
      <c r="R399" s="38" t="n">
        <v>71.0695152902414</v>
      </c>
      <c r="S399" s="37" t="n">
        <v>0</v>
      </c>
    </row>
    <row r="400" customFormat="false" ht="15" hidden="false" customHeight="false" outlineLevel="0" collapsed="false">
      <c r="A400" s="37" t="n">
        <v>0</v>
      </c>
      <c r="B400" s="37" t="n">
        <v>0</v>
      </c>
      <c r="C400" s="37" t="n">
        <v>20</v>
      </c>
      <c r="D400" s="37" t="n">
        <v>10</v>
      </c>
      <c r="E400" s="37" t="n">
        <v>0</v>
      </c>
      <c r="F400" s="37" t="n">
        <v>0</v>
      </c>
      <c r="G400" s="37" t="s">
        <v>188</v>
      </c>
      <c r="H400" s="38" t="n">
        <v>199.738569190855</v>
      </c>
      <c r="I400" s="38" t="n">
        <v>207.271234211864</v>
      </c>
      <c r="J400" s="38" t="n">
        <v>231.68081092551</v>
      </c>
      <c r="K400" s="38" t="n">
        <v>272.486616463397</v>
      </c>
      <c r="L400" s="38" t="n">
        <v>71.8070183788851</v>
      </c>
      <c r="M400" s="38" t="n">
        <v>115.825209724266</v>
      </c>
      <c r="N400" s="38" t="n">
        <v>138.447222637132</v>
      </c>
      <c r="O400" s="38" t="n">
        <v>77.0623521549994</v>
      </c>
      <c r="P400" s="37" t="n">
        <v>0</v>
      </c>
      <c r="Q400" s="38" t="n">
        <v>0</v>
      </c>
      <c r="R400" s="38" t="n">
        <v>72</v>
      </c>
      <c r="S400" s="37" t="n">
        <v>0</v>
      </c>
    </row>
    <row r="401" customFormat="false" ht="15" hidden="false" customHeight="false" outlineLevel="0" collapsed="false">
      <c r="A401" s="37" t="n">
        <v>0</v>
      </c>
      <c r="B401" s="37" t="n">
        <v>0</v>
      </c>
      <c r="C401" s="37" t="n">
        <v>20</v>
      </c>
      <c r="D401" s="37" t="n">
        <v>10</v>
      </c>
      <c r="E401" s="37" t="n">
        <v>0</v>
      </c>
      <c r="F401" s="37" t="n">
        <v>0</v>
      </c>
      <c r="G401" s="37" t="s">
        <v>192</v>
      </c>
      <c r="H401" s="38" t="n">
        <v>199.738569190855</v>
      </c>
      <c r="I401" s="38" t="n">
        <v>207.23491464731</v>
      </c>
      <c r="J401" s="38" t="n">
        <v>239.264691992073</v>
      </c>
      <c r="K401" s="38" t="n">
        <v>276.272395293054</v>
      </c>
      <c r="L401" s="38" t="n">
        <v>66.3830844100119</v>
      </c>
      <c r="M401" s="38" t="n">
        <v>112.7151147807</v>
      </c>
      <c r="N401" s="38" t="n">
        <v>139.453272150702</v>
      </c>
      <c r="O401" s="38" t="n">
        <v>75.8484172672511</v>
      </c>
      <c r="P401" s="37" t="n">
        <v>0</v>
      </c>
      <c r="Q401" s="38" t="n">
        <v>0</v>
      </c>
      <c r="R401" s="38" t="n">
        <v>72</v>
      </c>
      <c r="S401" s="37" t="n">
        <v>0</v>
      </c>
    </row>
    <row r="402" customFormat="false" ht="15" hidden="false" customHeight="false" outlineLevel="0" collapsed="false">
      <c r="A402" s="37" t="n">
        <v>0</v>
      </c>
      <c r="B402" s="37" t="n">
        <v>0</v>
      </c>
      <c r="C402" s="37" t="n">
        <v>20</v>
      </c>
      <c r="D402" s="37" t="n">
        <v>10</v>
      </c>
      <c r="E402" s="37" t="n">
        <v>0</v>
      </c>
      <c r="F402" s="37" t="n">
        <v>0</v>
      </c>
      <c r="G402" s="37" t="s">
        <v>195</v>
      </c>
      <c r="H402" s="38" t="n">
        <v>199.738569190855</v>
      </c>
      <c r="I402" s="38" t="n">
        <v>207.598781488884</v>
      </c>
      <c r="J402" s="38" t="n">
        <v>234.700094015825</v>
      </c>
      <c r="K402" s="38" t="n">
        <v>277.757568723759</v>
      </c>
      <c r="L402" s="38" t="n">
        <v>84.5075687237593</v>
      </c>
      <c r="M402" s="38" t="n">
        <v>119.210988318992</v>
      </c>
      <c r="N402" s="38" t="n">
        <v>148.513018511566</v>
      </c>
      <c r="O402" s="38" t="n">
        <v>80.4911097263577</v>
      </c>
      <c r="P402" s="37" t="n">
        <v>0</v>
      </c>
      <c r="Q402" s="38" t="n">
        <v>0</v>
      </c>
      <c r="R402" s="38" t="n">
        <v>67.7058291157245</v>
      </c>
      <c r="S402" s="37" t="n">
        <v>1</v>
      </c>
    </row>
    <row r="403" customFormat="false" ht="15" hidden="false" customHeight="false" outlineLevel="0" collapsed="false">
      <c r="A403" s="37" t="n">
        <v>0</v>
      </c>
      <c r="B403" s="37" t="n">
        <v>0</v>
      </c>
      <c r="C403" s="37" t="n">
        <v>20</v>
      </c>
      <c r="D403" s="37" t="n">
        <v>10</v>
      </c>
      <c r="E403" s="37" t="n">
        <v>0</v>
      </c>
      <c r="F403" s="37" t="n">
        <v>0</v>
      </c>
      <c r="G403" s="37" t="s">
        <v>197</v>
      </c>
      <c r="H403" s="38" t="n">
        <v>199.738569190855</v>
      </c>
      <c r="I403" s="38" t="n">
        <v>207.220725071327</v>
      </c>
      <c r="J403" s="38" t="n">
        <v>231.623827232338</v>
      </c>
      <c r="K403" s="38" t="n">
        <v>271.989849047727</v>
      </c>
      <c r="L403" s="38" t="n">
        <v>70.0500259014288</v>
      </c>
      <c r="M403" s="38" t="n">
        <v>110.755537301398</v>
      </c>
      <c r="N403" s="38" t="n">
        <v>127.210935631174</v>
      </c>
      <c r="O403" s="38" t="n">
        <v>74.5758778443442</v>
      </c>
      <c r="P403" s="37" t="n">
        <v>0</v>
      </c>
      <c r="Q403" s="38" t="n">
        <v>0</v>
      </c>
      <c r="R403" s="38" t="n">
        <v>72</v>
      </c>
      <c r="S403" s="37" t="n">
        <v>0</v>
      </c>
    </row>
    <row r="404" customFormat="false" ht="15" hidden="false" customHeight="false" outlineLevel="0" collapsed="false">
      <c r="A404" s="37" t="n">
        <v>0</v>
      </c>
      <c r="B404" s="37" t="n">
        <v>0</v>
      </c>
      <c r="C404" s="37" t="n">
        <v>20</v>
      </c>
      <c r="D404" s="37" t="n">
        <v>10</v>
      </c>
      <c r="E404" s="37" t="n">
        <v>0</v>
      </c>
      <c r="F404" s="37" t="n">
        <v>0</v>
      </c>
      <c r="G404" s="37" t="s">
        <v>196</v>
      </c>
      <c r="H404" s="38" t="n">
        <v>199.738569190855</v>
      </c>
      <c r="I404" s="38" t="n">
        <v>207.22571282701</v>
      </c>
      <c r="J404" s="38" t="n">
        <v>224.53298353787</v>
      </c>
      <c r="K404" s="38" t="n">
        <v>274.241280017454</v>
      </c>
      <c r="L404" s="38" t="n">
        <v>80.6857244618988</v>
      </c>
      <c r="M404" s="38" t="n">
        <v>114.046473172708</v>
      </c>
      <c r="N404" s="38" t="n">
        <v>135.285939241519</v>
      </c>
      <c r="O404" s="38" t="n">
        <v>73.8965950509054</v>
      </c>
      <c r="P404" s="37" t="n">
        <v>0</v>
      </c>
      <c r="Q404" s="38" t="n">
        <v>0</v>
      </c>
      <c r="R404" s="38" t="n">
        <v>70.7373333333333</v>
      </c>
      <c r="S404" s="37" t="n">
        <v>0</v>
      </c>
    </row>
    <row r="405" customFormat="false" ht="15" hidden="false" customHeight="false" outlineLevel="0" collapsed="false">
      <c r="A405" s="37" t="n">
        <v>0</v>
      </c>
      <c r="B405" s="37" t="n">
        <v>0</v>
      </c>
      <c r="C405" s="37" t="n">
        <v>25</v>
      </c>
      <c r="D405" s="37" t="n">
        <v>0</v>
      </c>
      <c r="E405" s="37" t="n">
        <v>0</v>
      </c>
      <c r="F405" s="37" t="n">
        <v>5</v>
      </c>
      <c r="G405" s="37" t="s">
        <v>188</v>
      </c>
      <c r="H405" s="38" t="n">
        <v>199.443207961088</v>
      </c>
      <c r="I405" s="38" t="n">
        <v>204.688108403451</v>
      </c>
      <c r="J405" s="38" t="n">
        <v>219.370485040816</v>
      </c>
      <c r="K405" s="38" t="n">
        <v>261.146995387647</v>
      </c>
      <c r="L405" s="38" t="n">
        <v>99.3143831639883</v>
      </c>
      <c r="M405" s="38" t="n">
        <v>112.904117276363</v>
      </c>
      <c r="N405" s="38" t="n">
        <v>127.114243116898</v>
      </c>
      <c r="O405" s="38" t="n">
        <v>70.3818898091868</v>
      </c>
      <c r="P405" s="37" t="n">
        <v>0</v>
      </c>
      <c r="Q405" s="38" t="n">
        <v>0</v>
      </c>
      <c r="R405" s="38" t="n">
        <v>70.5</v>
      </c>
      <c r="S405" s="37" t="n">
        <v>1</v>
      </c>
    </row>
    <row r="406" customFormat="false" ht="15" hidden="false" customHeight="false" outlineLevel="0" collapsed="false">
      <c r="A406" s="37" t="n">
        <v>0</v>
      </c>
      <c r="B406" s="37" t="n">
        <v>0</v>
      </c>
      <c r="C406" s="37" t="n">
        <v>25</v>
      </c>
      <c r="D406" s="37" t="n">
        <v>0</v>
      </c>
      <c r="E406" s="37" t="n">
        <v>0</v>
      </c>
      <c r="F406" s="37" t="n">
        <v>5</v>
      </c>
      <c r="G406" s="37" t="s">
        <v>192</v>
      </c>
      <c r="H406" s="38" t="n">
        <v>199.443207961088</v>
      </c>
      <c r="I406" s="38" t="n">
        <v>204.662638465771</v>
      </c>
      <c r="J406" s="38" t="n">
        <v>221.04627418105</v>
      </c>
      <c r="K406" s="38" t="n">
        <v>263.056818312268</v>
      </c>
      <c r="L406" s="38" t="n">
        <v>102.454332345323</v>
      </c>
      <c r="M406" s="38" t="n">
        <v>109.81380878006</v>
      </c>
      <c r="N406" s="38" t="n">
        <v>125.708288263614</v>
      </c>
      <c r="O406" s="38" t="n">
        <v>68.8902313668538</v>
      </c>
      <c r="P406" s="37" t="n">
        <v>0</v>
      </c>
      <c r="Q406" s="38" t="n">
        <v>0</v>
      </c>
      <c r="R406" s="38" t="n">
        <v>70.5</v>
      </c>
      <c r="S406" s="37" t="n">
        <v>0</v>
      </c>
    </row>
    <row r="407" customFormat="false" ht="15" hidden="false" customHeight="false" outlineLevel="0" collapsed="false">
      <c r="A407" s="37" t="n">
        <v>0</v>
      </c>
      <c r="B407" s="37" t="n">
        <v>0</v>
      </c>
      <c r="C407" s="37" t="n">
        <v>25</v>
      </c>
      <c r="D407" s="37" t="n">
        <v>0</v>
      </c>
      <c r="E407" s="37" t="n">
        <v>0</v>
      </c>
      <c r="F407" s="37" t="n">
        <v>5</v>
      </c>
      <c r="G407" s="37" t="s">
        <v>195</v>
      </c>
      <c r="H407" s="38" t="n">
        <v>199.443207961088</v>
      </c>
      <c r="I407" s="38" t="n">
        <v>204.739999515235</v>
      </c>
      <c r="J407" s="38" t="n">
        <v>217.511811482522</v>
      </c>
      <c r="K407" s="38" t="n">
        <v>255.707523364119</v>
      </c>
      <c r="L407" s="38" t="n">
        <v>97.3215802501858</v>
      </c>
      <c r="M407" s="38" t="n">
        <v>112.966048605824</v>
      </c>
      <c r="N407" s="38" t="n">
        <v>122.944906175657</v>
      </c>
      <c r="O407" s="38" t="n">
        <v>68.6537544967013</v>
      </c>
      <c r="P407" s="37" t="n">
        <v>0</v>
      </c>
      <c r="Q407" s="38" t="n">
        <v>0</v>
      </c>
      <c r="R407" s="38" t="n">
        <v>68.65921706582</v>
      </c>
      <c r="S407" s="37" t="n">
        <v>0</v>
      </c>
    </row>
    <row r="408" customFormat="false" ht="15" hidden="false" customHeight="false" outlineLevel="0" collapsed="false">
      <c r="A408" s="37" t="n">
        <v>0</v>
      </c>
      <c r="B408" s="37" t="n">
        <v>0</v>
      </c>
      <c r="C408" s="37" t="n">
        <v>25</v>
      </c>
      <c r="D408" s="37" t="n">
        <v>0</v>
      </c>
      <c r="E408" s="37" t="n">
        <v>0</v>
      </c>
      <c r="F408" s="37" t="n">
        <v>5</v>
      </c>
      <c r="G408" s="37" t="s">
        <v>197</v>
      </c>
      <c r="H408" s="38" t="n">
        <v>199.443207961088</v>
      </c>
      <c r="I408" s="38" t="n">
        <v>204.650853338652</v>
      </c>
      <c r="J408" s="38" t="n">
        <v>219.796686816061</v>
      </c>
      <c r="K408" s="38" t="n">
        <v>261.309146912928</v>
      </c>
      <c r="L408" s="38" t="n">
        <v>99.0164614152799</v>
      </c>
      <c r="M408" s="38" t="n">
        <v>106.882151978359</v>
      </c>
      <c r="N408" s="38" t="n">
        <v>116.371441640243</v>
      </c>
      <c r="O408" s="38" t="n">
        <v>68.0034410630962</v>
      </c>
      <c r="P408" s="37" t="n">
        <v>0</v>
      </c>
      <c r="Q408" s="38" t="n">
        <v>0</v>
      </c>
      <c r="R408" s="38" t="n">
        <v>70.5</v>
      </c>
      <c r="S408" s="37" t="n">
        <v>0</v>
      </c>
    </row>
    <row r="409" customFormat="false" ht="15" hidden="false" customHeight="false" outlineLevel="0" collapsed="false">
      <c r="A409" s="37" t="n">
        <v>0</v>
      </c>
      <c r="B409" s="37" t="n">
        <v>0</v>
      </c>
      <c r="C409" s="37" t="n">
        <v>25</v>
      </c>
      <c r="D409" s="37" t="n">
        <v>0</v>
      </c>
      <c r="E409" s="37" t="n">
        <v>0</v>
      </c>
      <c r="F409" s="37" t="n">
        <v>5</v>
      </c>
      <c r="G409" s="37" t="s">
        <v>196</v>
      </c>
      <c r="H409" s="38" t="n">
        <v>199.443207961088</v>
      </c>
      <c r="I409" s="38" t="n">
        <v>204.654998226265</v>
      </c>
      <c r="J409" s="38" t="n">
        <v>220.173340294991</v>
      </c>
      <c r="K409" s="38" t="n">
        <v>261.899624480908</v>
      </c>
      <c r="L409" s="38" t="n">
        <v>105.643981206911</v>
      </c>
      <c r="M409" s="38" t="n">
        <v>109.490460443064</v>
      </c>
      <c r="N409" s="38" t="n">
        <v>123.45947827991</v>
      </c>
      <c r="O409" s="38" t="n">
        <v>69.0081097809382</v>
      </c>
      <c r="P409" s="37" t="n">
        <v>0</v>
      </c>
      <c r="Q409" s="38" t="n">
        <v>0</v>
      </c>
      <c r="R409" s="38" t="n">
        <v>69.5519789475742</v>
      </c>
      <c r="S409" s="37" t="n">
        <v>0</v>
      </c>
    </row>
    <row r="410" customFormat="false" ht="15" hidden="false" customHeight="false" outlineLevel="0" collapsed="false">
      <c r="A410" s="37" t="n">
        <v>0</v>
      </c>
      <c r="B410" s="37" t="n">
        <v>0</v>
      </c>
      <c r="C410" s="37" t="n">
        <v>25</v>
      </c>
      <c r="D410" s="37" t="n">
        <v>0</v>
      </c>
      <c r="E410" s="37" t="n">
        <v>5</v>
      </c>
      <c r="F410" s="37" t="n">
        <v>0</v>
      </c>
      <c r="G410" s="37" t="s">
        <v>188</v>
      </c>
      <c r="H410" s="38" t="n">
        <v>199.401723280147</v>
      </c>
      <c r="I410" s="38" t="n">
        <v>204.689931081046</v>
      </c>
      <c r="J410" s="38" t="n">
        <v>221.546524533634</v>
      </c>
      <c r="K410" s="38" t="n">
        <v>263.943905573246</v>
      </c>
      <c r="L410" s="38" t="n">
        <v>62.314166541532</v>
      </c>
      <c r="M410" s="38" t="n">
        <v>113.506685812089</v>
      </c>
      <c r="N410" s="38" t="n">
        <v>133.022057654744</v>
      </c>
      <c r="O410" s="38" t="n">
        <v>70.1784929913943</v>
      </c>
      <c r="P410" s="37" t="n">
        <v>0</v>
      </c>
      <c r="Q410" s="38" t="n">
        <v>0</v>
      </c>
      <c r="R410" s="38" t="n">
        <v>70.5</v>
      </c>
      <c r="S410" s="37" t="n">
        <v>1</v>
      </c>
    </row>
    <row r="411" customFormat="false" ht="15" hidden="false" customHeight="false" outlineLevel="0" collapsed="false">
      <c r="A411" s="37" t="n">
        <v>0</v>
      </c>
      <c r="B411" s="37" t="n">
        <v>0</v>
      </c>
      <c r="C411" s="37" t="n">
        <v>25</v>
      </c>
      <c r="D411" s="37" t="n">
        <v>0</v>
      </c>
      <c r="E411" s="37" t="n">
        <v>5</v>
      </c>
      <c r="F411" s="37" t="n">
        <v>0</v>
      </c>
      <c r="G411" s="37" t="s">
        <v>192</v>
      </c>
      <c r="H411" s="38" t="n">
        <v>199.401723280147</v>
      </c>
      <c r="I411" s="38" t="n">
        <v>204.665414390926</v>
      </c>
      <c r="J411" s="38" t="n">
        <v>223.153902073523</v>
      </c>
      <c r="K411" s="38" t="n">
        <v>265.770458005959</v>
      </c>
      <c r="L411" s="38" t="n">
        <v>65.1488026463682</v>
      </c>
      <c r="M411" s="38" t="n">
        <v>110.418231238819</v>
      </c>
      <c r="N411" s="38" t="n">
        <v>131.454354163419</v>
      </c>
      <c r="O411" s="38" t="n">
        <v>68.8019710001149</v>
      </c>
      <c r="P411" s="37" t="n">
        <v>0</v>
      </c>
      <c r="Q411" s="38" t="n">
        <v>0</v>
      </c>
      <c r="R411" s="38" t="n">
        <v>70.5</v>
      </c>
      <c r="S411" s="37" t="n">
        <v>0</v>
      </c>
    </row>
    <row r="412" customFormat="false" ht="15" hidden="false" customHeight="false" outlineLevel="0" collapsed="false">
      <c r="A412" s="37" t="n">
        <v>0</v>
      </c>
      <c r="B412" s="37" t="n">
        <v>0</v>
      </c>
      <c r="C412" s="37" t="n">
        <v>25</v>
      </c>
      <c r="D412" s="37" t="n">
        <v>0</v>
      </c>
      <c r="E412" s="37" t="n">
        <v>5</v>
      </c>
      <c r="F412" s="37" t="n">
        <v>0</v>
      </c>
      <c r="G412" s="37" t="s">
        <v>195</v>
      </c>
      <c r="H412" s="38" t="n">
        <v>199.401723280147</v>
      </c>
      <c r="I412" s="38" t="n">
        <v>204.751639093348</v>
      </c>
      <c r="J412" s="38" t="n">
        <v>219.681232606016</v>
      </c>
      <c r="K412" s="38" t="n">
        <v>258.552368450415</v>
      </c>
      <c r="L412" s="38" t="n">
        <v>60.1007460448908</v>
      </c>
      <c r="M412" s="38" t="n">
        <v>113.590908222806</v>
      </c>
      <c r="N412" s="38" t="n">
        <v>128.903154513387</v>
      </c>
      <c r="O412" s="38" t="n">
        <v>68.7286448410385</v>
      </c>
      <c r="P412" s="37" t="n">
        <v>0</v>
      </c>
      <c r="Q412" s="38" t="n">
        <v>0</v>
      </c>
      <c r="R412" s="38" t="n">
        <v>68.6395132783429</v>
      </c>
      <c r="S412" s="37" t="n">
        <v>0</v>
      </c>
    </row>
    <row r="413" customFormat="false" ht="15" hidden="false" customHeight="false" outlineLevel="0" collapsed="false">
      <c r="A413" s="37" t="n">
        <v>0</v>
      </c>
      <c r="B413" s="37" t="n">
        <v>0</v>
      </c>
      <c r="C413" s="37" t="n">
        <v>25</v>
      </c>
      <c r="D413" s="37" t="n">
        <v>0</v>
      </c>
      <c r="E413" s="37" t="n">
        <v>5</v>
      </c>
      <c r="F413" s="37" t="n">
        <v>0</v>
      </c>
      <c r="G413" s="37" t="s">
        <v>197</v>
      </c>
      <c r="H413" s="38" t="n">
        <v>199.401723280147</v>
      </c>
      <c r="I413" s="38" t="n">
        <v>204.662834285556</v>
      </c>
      <c r="J413" s="38" t="n">
        <v>222.453604783735</v>
      </c>
      <c r="K413" s="38" t="n">
        <v>264.863106661205</v>
      </c>
      <c r="L413" s="38" t="n">
        <v>63.0422896805287</v>
      </c>
      <c r="M413" s="38" t="n">
        <v>110.88232457618</v>
      </c>
      <c r="N413" s="38" t="n">
        <v>130.592413737456</v>
      </c>
      <c r="O413" s="38" t="n">
        <v>71.6561436468022</v>
      </c>
      <c r="P413" s="37" t="n">
        <v>0</v>
      </c>
      <c r="Q413" s="38" t="n">
        <v>0</v>
      </c>
      <c r="R413" s="38" t="n">
        <v>70.5</v>
      </c>
      <c r="S413" s="37" t="n">
        <v>0</v>
      </c>
    </row>
    <row r="414" customFormat="false" ht="15" hidden="false" customHeight="false" outlineLevel="0" collapsed="false">
      <c r="A414" s="37" t="n">
        <v>0</v>
      </c>
      <c r="B414" s="37" t="n">
        <v>0</v>
      </c>
      <c r="C414" s="37" t="n">
        <v>25</v>
      </c>
      <c r="D414" s="37" t="n">
        <v>0</v>
      </c>
      <c r="E414" s="37" t="n">
        <v>5</v>
      </c>
      <c r="F414" s="37" t="n">
        <v>0</v>
      </c>
      <c r="G414" s="37" t="s">
        <v>196</v>
      </c>
      <c r="H414" s="38" t="n">
        <v>199.401723280147</v>
      </c>
      <c r="I414" s="38" t="n">
        <v>204.660048896769</v>
      </c>
      <c r="J414" s="38" t="n">
        <v>222.200111501074</v>
      </c>
      <c r="K414" s="38" t="n">
        <v>264.559459028221</v>
      </c>
      <c r="L414" s="38" t="n">
        <v>68.2255513463042</v>
      </c>
      <c r="M414" s="38" t="n">
        <v>110.877286611036</v>
      </c>
      <c r="N414" s="38" t="n">
        <v>130.525225340949</v>
      </c>
      <c r="O414" s="38" t="n">
        <v>70.0760033791775</v>
      </c>
      <c r="P414" s="37" t="n">
        <v>0</v>
      </c>
      <c r="Q414" s="38" t="n">
        <v>0</v>
      </c>
      <c r="R414" s="38" t="n">
        <v>69.5331954896734</v>
      </c>
      <c r="S414" s="37" t="n">
        <v>0</v>
      </c>
    </row>
    <row r="415" customFormat="false" ht="15" hidden="false" customHeight="false" outlineLevel="0" collapsed="false">
      <c r="A415" s="37" t="n">
        <v>0</v>
      </c>
      <c r="B415" s="37" t="n">
        <v>0</v>
      </c>
      <c r="C415" s="37" t="n">
        <v>25</v>
      </c>
      <c r="D415" s="37" t="n">
        <v>5</v>
      </c>
      <c r="E415" s="37" t="n">
        <v>0</v>
      </c>
      <c r="F415" s="37" t="n">
        <v>0</v>
      </c>
      <c r="G415" s="37" t="s">
        <v>188</v>
      </c>
      <c r="H415" s="38" t="n">
        <v>199.712930817585</v>
      </c>
      <c r="I415" s="38" t="n">
        <v>206.855381657873</v>
      </c>
      <c r="J415" s="38" t="n">
        <v>227.932917761378</v>
      </c>
      <c r="K415" s="38" t="n">
        <v>266.108879194612</v>
      </c>
      <c r="L415" s="38" t="n">
        <v>64.9995938142786</v>
      </c>
      <c r="M415" s="38" t="n">
        <v>115.845990032847</v>
      </c>
      <c r="N415" s="38" t="n">
        <v>134.052933394577</v>
      </c>
      <c r="O415" s="38" t="n">
        <v>74.6556166261713</v>
      </c>
      <c r="P415" s="37" t="n">
        <v>0</v>
      </c>
      <c r="Q415" s="38" t="n">
        <v>0</v>
      </c>
      <c r="R415" s="38" t="n">
        <v>72</v>
      </c>
      <c r="S415" s="37" t="n">
        <v>0</v>
      </c>
    </row>
    <row r="416" customFormat="false" ht="15" hidden="false" customHeight="false" outlineLevel="0" collapsed="false">
      <c r="A416" s="37" t="n">
        <v>0</v>
      </c>
      <c r="B416" s="37" t="n">
        <v>0</v>
      </c>
      <c r="C416" s="37" t="n">
        <v>25</v>
      </c>
      <c r="D416" s="37" t="n">
        <v>5</v>
      </c>
      <c r="E416" s="37" t="n">
        <v>0</v>
      </c>
      <c r="F416" s="37" t="n">
        <v>0</v>
      </c>
      <c r="G416" s="37" t="s">
        <v>192</v>
      </c>
      <c r="H416" s="38" t="n">
        <v>199.712930817585</v>
      </c>
      <c r="I416" s="38" t="n">
        <v>206.820283330528</v>
      </c>
      <c r="J416" s="38" t="n">
        <v>235.423431742764</v>
      </c>
      <c r="K416" s="38" t="n">
        <v>269.861176085827</v>
      </c>
      <c r="L416" s="38" t="n">
        <v>59.6371646735159</v>
      </c>
      <c r="M416" s="38" t="n">
        <v>112.733324432826</v>
      </c>
      <c r="N416" s="38" t="n">
        <v>135.16101843467</v>
      </c>
      <c r="O416" s="38" t="n">
        <v>73.5085179978237</v>
      </c>
      <c r="P416" s="37" t="n">
        <v>0</v>
      </c>
      <c r="Q416" s="38" t="n">
        <v>0</v>
      </c>
      <c r="R416" s="38" t="n">
        <v>72</v>
      </c>
      <c r="S416" s="37" t="n">
        <v>0</v>
      </c>
    </row>
    <row r="417" customFormat="false" ht="15" hidden="false" customHeight="false" outlineLevel="0" collapsed="false">
      <c r="A417" s="37" t="n">
        <v>0</v>
      </c>
      <c r="B417" s="37" t="n">
        <v>0</v>
      </c>
      <c r="C417" s="37" t="n">
        <v>25</v>
      </c>
      <c r="D417" s="37" t="n">
        <v>5</v>
      </c>
      <c r="E417" s="37" t="n">
        <v>0</v>
      </c>
      <c r="F417" s="37" t="n">
        <v>0</v>
      </c>
      <c r="G417" s="37" t="s">
        <v>195</v>
      </c>
      <c r="H417" s="38" t="n">
        <v>199.712930817585</v>
      </c>
      <c r="I417" s="38" t="n">
        <v>207.048393458426</v>
      </c>
      <c r="J417" s="38" t="n">
        <v>229.319711192863</v>
      </c>
      <c r="K417" s="38" t="n">
        <v>266.111578293282</v>
      </c>
      <c r="L417" s="38" t="n">
        <v>69.0548834515159</v>
      </c>
      <c r="M417" s="38" t="n">
        <v>117.743156832669</v>
      </c>
      <c r="N417" s="38" t="n">
        <v>138.09039071784</v>
      </c>
      <c r="O417" s="38" t="n">
        <v>76.3622297371628</v>
      </c>
      <c r="P417" s="37" t="n">
        <v>0</v>
      </c>
      <c r="Q417" s="38" t="n">
        <v>0</v>
      </c>
      <c r="R417" s="38" t="n">
        <v>70.5579915474701</v>
      </c>
      <c r="S417" s="37" t="n">
        <v>1</v>
      </c>
    </row>
    <row r="418" customFormat="false" ht="15" hidden="false" customHeight="false" outlineLevel="0" collapsed="false">
      <c r="A418" s="37" t="n">
        <v>0</v>
      </c>
      <c r="B418" s="37" t="n">
        <v>0</v>
      </c>
      <c r="C418" s="37" t="n">
        <v>25</v>
      </c>
      <c r="D418" s="37" t="n">
        <v>5</v>
      </c>
      <c r="E418" s="37" t="n">
        <v>0</v>
      </c>
      <c r="F418" s="37" t="n">
        <v>0</v>
      </c>
      <c r="G418" s="37" t="s">
        <v>197</v>
      </c>
      <c r="H418" s="38" t="n">
        <v>199.712930817585</v>
      </c>
      <c r="I418" s="38" t="n">
        <v>206.805763907792</v>
      </c>
      <c r="J418" s="38" t="n">
        <v>227.968771175146</v>
      </c>
      <c r="K418" s="38" t="n">
        <v>265.741615509765</v>
      </c>
      <c r="L418" s="38" t="n">
        <v>63.6924778338474</v>
      </c>
      <c r="M418" s="38" t="n">
        <v>109.92557545853</v>
      </c>
      <c r="N418" s="38" t="n">
        <v>122.875272736465</v>
      </c>
      <c r="O418" s="38" t="n">
        <v>72.1059283780298</v>
      </c>
      <c r="P418" s="37" t="n">
        <v>0</v>
      </c>
      <c r="Q418" s="38" t="n">
        <v>0</v>
      </c>
      <c r="R418" s="38" t="n">
        <v>72</v>
      </c>
      <c r="S418" s="37" t="n">
        <v>0</v>
      </c>
    </row>
    <row r="419" customFormat="false" ht="15" hidden="false" customHeight="false" outlineLevel="0" collapsed="false">
      <c r="A419" s="37" t="n">
        <v>0</v>
      </c>
      <c r="B419" s="37" t="n">
        <v>0</v>
      </c>
      <c r="C419" s="37" t="n">
        <v>25</v>
      </c>
      <c r="D419" s="37" t="n">
        <v>5</v>
      </c>
      <c r="E419" s="37" t="n">
        <v>0</v>
      </c>
      <c r="F419" s="37" t="n">
        <v>0</v>
      </c>
      <c r="G419" s="37" t="s">
        <v>196</v>
      </c>
      <c r="H419" s="38" t="n">
        <v>199.712930817585</v>
      </c>
      <c r="I419" s="38" t="n">
        <v>206.81067286436</v>
      </c>
      <c r="J419" s="38" t="n">
        <v>228.629369566825</v>
      </c>
      <c r="K419" s="38" t="n">
        <v>266.643933790907</v>
      </c>
      <c r="L419" s="38" t="n">
        <v>70.7963993109288</v>
      </c>
      <c r="M419" s="38" t="n">
        <v>113.085039857581</v>
      </c>
      <c r="N419" s="38" t="n">
        <v>131.569938049414</v>
      </c>
      <c r="O419" s="38" t="n">
        <v>73.0492657915365</v>
      </c>
      <c r="P419" s="37" t="n">
        <v>0</v>
      </c>
      <c r="Q419" s="38" t="n">
        <v>0</v>
      </c>
      <c r="R419" s="38" t="n">
        <v>71.1499250581386</v>
      </c>
      <c r="S419" s="37" t="n">
        <v>0</v>
      </c>
    </row>
    <row r="420" customFormat="false" ht="15" hidden="false" customHeight="false" outlineLevel="0" collapsed="false">
      <c r="A420" s="37" t="n">
        <v>0</v>
      </c>
      <c r="B420" s="37" t="n">
        <v>0</v>
      </c>
      <c r="C420" s="37" t="n">
        <v>30</v>
      </c>
      <c r="D420" s="37" t="n">
        <v>0</v>
      </c>
      <c r="E420" s="37" t="n">
        <v>0</v>
      </c>
      <c r="F420" s="37" t="n">
        <v>0</v>
      </c>
      <c r="G420" s="37" t="s">
        <v>188</v>
      </c>
      <c r="H420" s="38" t="n">
        <v>199.649513811613</v>
      </c>
      <c r="I420" s="38" t="n">
        <v>205.481216192181</v>
      </c>
      <c r="J420" s="38" t="n">
        <v>220.943888387599</v>
      </c>
      <c r="K420" s="38" t="n">
        <v>258.249273648956</v>
      </c>
      <c r="L420" s="38" t="n">
        <v>60.2694259405635</v>
      </c>
      <c r="M420" s="38" t="n">
        <v>114.180827372578</v>
      </c>
      <c r="N420" s="38" t="n">
        <v>127.259220008078</v>
      </c>
      <c r="O420" s="38" t="n">
        <v>69.2609583126287</v>
      </c>
      <c r="P420" s="37" t="n">
        <v>0</v>
      </c>
      <c r="Q420" s="38" t="n">
        <v>0</v>
      </c>
      <c r="R420" s="38" t="n">
        <v>70.5</v>
      </c>
      <c r="S420" s="37" t="n">
        <v>1</v>
      </c>
    </row>
    <row r="421" customFormat="false" ht="15" hidden="false" customHeight="false" outlineLevel="0" collapsed="false">
      <c r="A421" s="37" t="n">
        <v>0</v>
      </c>
      <c r="B421" s="37" t="n">
        <v>0</v>
      </c>
      <c r="C421" s="37" t="n">
        <v>30</v>
      </c>
      <c r="D421" s="37" t="n">
        <v>0</v>
      </c>
      <c r="E421" s="37" t="n">
        <v>0</v>
      </c>
      <c r="F421" s="37" t="n">
        <v>0</v>
      </c>
      <c r="G421" s="37" t="s">
        <v>192</v>
      </c>
      <c r="H421" s="38" t="n">
        <v>199.649513811613</v>
      </c>
      <c r="I421" s="38" t="n">
        <v>205.451844689618</v>
      </c>
      <c r="J421" s="38" t="n">
        <v>222.569886474575</v>
      </c>
      <c r="K421" s="38" t="n">
        <v>260.090337539338</v>
      </c>
      <c r="L421" s="38" t="n">
        <v>63.2723516500989</v>
      </c>
      <c r="M421" s="38" t="n">
        <v>111.078433645942</v>
      </c>
      <c r="N421" s="38" t="n">
        <v>125.785956766935</v>
      </c>
      <c r="O421" s="38" t="n">
        <v>67.7121501606315</v>
      </c>
      <c r="P421" s="37" t="n">
        <v>0</v>
      </c>
      <c r="Q421" s="38" t="n">
        <v>0</v>
      </c>
      <c r="R421" s="38" t="n">
        <v>70.5</v>
      </c>
      <c r="S421" s="37" t="n">
        <v>0</v>
      </c>
    </row>
    <row r="422" customFormat="false" ht="15" hidden="false" customHeight="false" outlineLevel="0" collapsed="false">
      <c r="A422" s="37" t="n">
        <v>0</v>
      </c>
      <c r="B422" s="37" t="n">
        <v>0</v>
      </c>
      <c r="C422" s="37" t="n">
        <v>30</v>
      </c>
      <c r="D422" s="37" t="n">
        <v>0</v>
      </c>
      <c r="E422" s="37" t="n">
        <v>0</v>
      </c>
      <c r="F422" s="37" t="n">
        <v>0</v>
      </c>
      <c r="G422" s="37" t="s">
        <v>195</v>
      </c>
      <c r="H422" s="38" t="n">
        <v>199.649513811613</v>
      </c>
      <c r="I422" s="38" t="n">
        <v>205.535269065116</v>
      </c>
      <c r="J422" s="38" t="n">
        <v>219.074359566419</v>
      </c>
      <c r="K422" s="38" t="n">
        <v>252.785316721534</v>
      </c>
      <c r="L422" s="38" t="n">
        <v>58.0979642425238</v>
      </c>
      <c r="M422" s="38" t="n">
        <v>114.242553930998</v>
      </c>
      <c r="N422" s="38" t="n">
        <v>123.096308580032</v>
      </c>
      <c r="O422" s="38" t="n">
        <v>67.5477344393443</v>
      </c>
      <c r="P422" s="37" t="n">
        <v>0</v>
      </c>
      <c r="Q422" s="38" t="n">
        <v>0</v>
      </c>
      <c r="R422" s="38" t="n">
        <v>68.643794256297</v>
      </c>
      <c r="S422" s="37" t="n">
        <v>0</v>
      </c>
    </row>
    <row r="423" customFormat="false" ht="15" hidden="false" customHeight="false" outlineLevel="0" collapsed="false">
      <c r="A423" s="37" t="n">
        <v>0</v>
      </c>
      <c r="B423" s="37" t="n">
        <v>0</v>
      </c>
      <c r="C423" s="37" t="n">
        <v>30</v>
      </c>
      <c r="D423" s="37" t="n">
        <v>0</v>
      </c>
      <c r="E423" s="37" t="n">
        <v>0</v>
      </c>
      <c r="F423" s="37" t="n">
        <v>0</v>
      </c>
      <c r="G423" s="37" t="s">
        <v>197</v>
      </c>
      <c r="H423" s="38" t="n">
        <v>199.649513811613</v>
      </c>
      <c r="I423" s="38" t="n">
        <v>205.434572792184</v>
      </c>
      <c r="J423" s="38" t="n">
        <v>221.269375807625</v>
      </c>
      <c r="K423" s="38" t="n">
        <v>258.275744027124</v>
      </c>
      <c r="L423" s="38" t="n">
        <v>56.0113086530264</v>
      </c>
      <c r="M423" s="38" t="n">
        <v>107.422227253109</v>
      </c>
      <c r="N423" s="38" t="n">
        <v>116.362992654233</v>
      </c>
      <c r="O423" s="38" t="n">
        <v>66.7093822176741</v>
      </c>
      <c r="P423" s="37" t="n">
        <v>0</v>
      </c>
      <c r="Q423" s="38" t="n">
        <v>0</v>
      </c>
      <c r="R423" s="38" t="n">
        <v>70.5</v>
      </c>
      <c r="S423" s="37" t="n">
        <v>0</v>
      </c>
    </row>
    <row r="424" customFormat="false" ht="15" hidden="false" customHeight="false" outlineLevel="0" collapsed="false">
      <c r="A424" s="37" t="n">
        <v>0</v>
      </c>
      <c r="B424" s="37" t="n">
        <v>0</v>
      </c>
      <c r="C424" s="37" t="n">
        <v>30</v>
      </c>
      <c r="D424" s="37" t="n">
        <v>0</v>
      </c>
      <c r="E424" s="37" t="n">
        <v>0</v>
      </c>
      <c r="F424" s="37" t="n">
        <v>0</v>
      </c>
      <c r="G424" s="37" t="s">
        <v>196</v>
      </c>
      <c r="H424" s="38" t="n">
        <v>199.649513811613</v>
      </c>
      <c r="I424" s="38" t="n">
        <v>205.441518297121</v>
      </c>
      <c r="J424" s="38" t="n">
        <v>221.630520954715</v>
      </c>
      <c r="K424" s="38" t="n">
        <v>258.840263329362</v>
      </c>
      <c r="L424" s="38" t="n">
        <v>64.7042237959994</v>
      </c>
      <c r="M424" s="38" t="n">
        <v>110.319474515495</v>
      </c>
      <c r="N424" s="38" t="n">
        <v>123.436676567917</v>
      </c>
      <c r="O424" s="38" t="n">
        <v>67.7272327261258</v>
      </c>
      <c r="P424" s="37" t="n">
        <v>0</v>
      </c>
      <c r="Q424" s="38" t="n">
        <v>0</v>
      </c>
      <c r="R424" s="38" t="n">
        <v>69.5273505119929</v>
      </c>
      <c r="S424" s="37" t="n">
        <v>0</v>
      </c>
    </row>
    <row r="425" customFormat="false" ht="15" hidden="false" customHeight="false" outlineLevel="0" collapsed="false">
      <c r="A425" s="37" t="n">
        <v>0</v>
      </c>
      <c r="B425" s="37" t="n">
        <v>5</v>
      </c>
      <c r="C425" s="37" t="n">
        <v>0</v>
      </c>
      <c r="D425" s="37" t="n">
        <v>0</v>
      </c>
      <c r="E425" s="37" t="n">
        <v>0</v>
      </c>
      <c r="F425" s="37" t="n">
        <v>25</v>
      </c>
      <c r="G425" s="37" t="s">
        <v>188</v>
      </c>
      <c r="H425" s="38" t="n">
        <v>198.180306802177</v>
      </c>
      <c r="I425" s="38" t="n">
        <v>194.506044180061</v>
      </c>
      <c r="J425" s="38" t="n">
        <v>178.519441521067</v>
      </c>
      <c r="K425" s="38" t="n">
        <v>191.292986597878</v>
      </c>
      <c r="L425" s="38" t="n">
        <v>197.14114482218</v>
      </c>
      <c r="M425" s="38" t="n">
        <v>90.1705756829674</v>
      </c>
      <c r="N425" s="38" t="n">
        <v>68.0296396127207</v>
      </c>
      <c r="O425" s="38" t="n">
        <v>50.4738537900621</v>
      </c>
      <c r="P425" s="37" t="n">
        <v>0</v>
      </c>
      <c r="Q425" s="38" t="n">
        <v>0</v>
      </c>
      <c r="R425" s="38" t="n">
        <v>70.5</v>
      </c>
      <c r="S425" s="37" t="n">
        <v>0</v>
      </c>
    </row>
    <row r="426" customFormat="false" ht="15" hidden="false" customHeight="false" outlineLevel="0" collapsed="false">
      <c r="A426" s="37" t="n">
        <v>0</v>
      </c>
      <c r="B426" s="37" t="n">
        <v>5</v>
      </c>
      <c r="C426" s="37" t="n">
        <v>0</v>
      </c>
      <c r="D426" s="37" t="n">
        <v>0</v>
      </c>
      <c r="E426" s="37" t="n">
        <v>0</v>
      </c>
      <c r="F426" s="37" t="n">
        <v>25</v>
      </c>
      <c r="G426" s="37" t="s">
        <v>192</v>
      </c>
      <c r="H426" s="38" t="n">
        <v>198.180306802177</v>
      </c>
      <c r="I426" s="38" t="n">
        <v>194.507713054043</v>
      </c>
      <c r="J426" s="38" t="n">
        <v>182.612499901568</v>
      </c>
      <c r="K426" s="38" t="n">
        <v>196.59159539782</v>
      </c>
      <c r="L426" s="38" t="n">
        <v>194.988935097195</v>
      </c>
      <c r="M426" s="38" t="n">
        <v>89.3183598007804</v>
      </c>
      <c r="N426" s="38" t="n">
        <v>77.1535303767637</v>
      </c>
      <c r="O426" s="38" t="n">
        <v>58.5842940126129</v>
      </c>
      <c r="P426" s="37" t="n">
        <v>0</v>
      </c>
      <c r="Q426" s="38" t="n">
        <v>0</v>
      </c>
      <c r="R426" s="38" t="n">
        <v>70.5</v>
      </c>
      <c r="S426" s="37" t="n">
        <v>0</v>
      </c>
    </row>
    <row r="427" customFormat="false" ht="15" hidden="false" customHeight="false" outlineLevel="0" collapsed="false">
      <c r="A427" s="37" t="n">
        <v>0</v>
      </c>
      <c r="B427" s="37" t="n">
        <v>5</v>
      </c>
      <c r="C427" s="37" t="n">
        <v>0</v>
      </c>
      <c r="D427" s="37" t="n">
        <v>0</v>
      </c>
      <c r="E427" s="37" t="n">
        <v>0</v>
      </c>
      <c r="F427" s="37" t="n">
        <v>25</v>
      </c>
      <c r="G427" s="37" t="s">
        <v>195</v>
      </c>
      <c r="H427" s="38" t="n">
        <v>198.180306802177</v>
      </c>
      <c r="I427" s="38" t="n">
        <v>194.507582975398</v>
      </c>
      <c r="J427" s="38" t="n">
        <v>178.3993749103</v>
      </c>
      <c r="K427" s="38" t="n">
        <v>187.449839569437</v>
      </c>
      <c r="L427" s="38" t="n">
        <v>199.669553855151</v>
      </c>
      <c r="M427" s="38" t="n">
        <v>90.172959479616</v>
      </c>
      <c r="N427" s="38" t="n">
        <v>65.8704272820163</v>
      </c>
      <c r="O427" s="38" t="n">
        <v>49.5936684048114</v>
      </c>
      <c r="P427" s="37" t="n">
        <v>0</v>
      </c>
      <c r="Q427" s="38" t="n">
        <v>0</v>
      </c>
      <c r="R427" s="38" t="n">
        <v>68.4659142857143</v>
      </c>
      <c r="S427" s="37" t="n">
        <v>0</v>
      </c>
    </row>
    <row r="428" customFormat="false" ht="15" hidden="false" customHeight="false" outlineLevel="0" collapsed="false">
      <c r="A428" s="37" t="n">
        <v>0</v>
      </c>
      <c r="B428" s="37" t="n">
        <v>5</v>
      </c>
      <c r="C428" s="37" t="n">
        <v>0</v>
      </c>
      <c r="D428" s="37" t="n">
        <v>0</v>
      </c>
      <c r="E428" s="37" t="n">
        <v>0</v>
      </c>
      <c r="F428" s="37" t="n">
        <v>25</v>
      </c>
      <c r="G428" s="37" t="s">
        <v>197</v>
      </c>
      <c r="H428" s="38" t="n">
        <v>198.180306802177</v>
      </c>
      <c r="I428" s="38" t="n">
        <v>194.507620323075</v>
      </c>
      <c r="J428" s="38" t="n">
        <v>181.782795536158</v>
      </c>
      <c r="K428" s="38" t="n">
        <v>195.55815368961</v>
      </c>
      <c r="L428" s="38" t="n">
        <v>192.824475261032</v>
      </c>
      <c r="M428" s="38" t="n">
        <v>91.973115104405</v>
      </c>
      <c r="N428" s="38" t="n">
        <v>73.3003808913151</v>
      </c>
      <c r="O428" s="38" t="n">
        <v>55.0866727832688</v>
      </c>
      <c r="P428" s="37" t="n">
        <v>0</v>
      </c>
      <c r="Q428" s="38" t="n">
        <v>0</v>
      </c>
      <c r="R428" s="38" t="n">
        <v>70.5</v>
      </c>
      <c r="S428" s="37" t="n">
        <v>0</v>
      </c>
    </row>
    <row r="429" customFormat="false" ht="15" hidden="false" customHeight="false" outlineLevel="0" collapsed="false">
      <c r="A429" s="37" t="n">
        <v>0</v>
      </c>
      <c r="B429" s="37" t="n">
        <v>5</v>
      </c>
      <c r="C429" s="37" t="n">
        <v>0</v>
      </c>
      <c r="D429" s="37" t="n">
        <v>0</v>
      </c>
      <c r="E429" s="37" t="n">
        <v>0</v>
      </c>
      <c r="F429" s="37" t="n">
        <v>25</v>
      </c>
      <c r="G429" s="37" t="s">
        <v>196</v>
      </c>
      <c r="H429" s="38" t="n">
        <v>198.180306802177</v>
      </c>
      <c r="I429" s="38" t="n">
        <v>194.507670368964</v>
      </c>
      <c r="J429" s="38" t="n">
        <v>182.796549146515</v>
      </c>
      <c r="K429" s="38" t="n">
        <v>196.971200653108</v>
      </c>
      <c r="L429" s="38" t="n">
        <v>200.932549859457</v>
      </c>
      <c r="M429" s="38" t="n">
        <v>92.3428501358212</v>
      </c>
      <c r="N429" s="38" t="n">
        <v>79.3228132893653</v>
      </c>
      <c r="O429" s="38" t="n">
        <v>56.339065672737</v>
      </c>
      <c r="P429" s="37" t="n">
        <v>0</v>
      </c>
      <c r="Q429" s="38" t="n">
        <v>0</v>
      </c>
      <c r="R429" s="38" t="n">
        <v>69.6040571428571</v>
      </c>
      <c r="S429" s="37" t="n">
        <v>1</v>
      </c>
    </row>
    <row r="430" customFormat="false" ht="15" hidden="false" customHeight="false" outlineLevel="0" collapsed="false">
      <c r="A430" s="37" t="n">
        <v>0</v>
      </c>
      <c r="B430" s="37" t="n">
        <v>5</v>
      </c>
      <c r="C430" s="37" t="n">
        <v>0</v>
      </c>
      <c r="D430" s="37" t="n">
        <v>0</v>
      </c>
      <c r="E430" s="37" t="n">
        <v>5</v>
      </c>
      <c r="F430" s="37" t="n">
        <v>20</v>
      </c>
      <c r="G430" s="37" t="s">
        <v>188</v>
      </c>
      <c r="H430" s="38" t="n">
        <v>198.214233262226</v>
      </c>
      <c r="I430" s="38" t="n">
        <v>194.802999197374</v>
      </c>
      <c r="J430" s="38" t="n">
        <v>181.44523188363</v>
      </c>
      <c r="K430" s="38" t="n">
        <v>196.524706751294</v>
      </c>
      <c r="L430" s="38" t="n">
        <v>151.301829289359</v>
      </c>
      <c r="M430" s="38" t="n">
        <v>91.6142489444178</v>
      </c>
      <c r="N430" s="38" t="n">
        <v>76.3547746948488</v>
      </c>
      <c r="O430" s="38" t="n">
        <v>54.7862996130407</v>
      </c>
      <c r="P430" s="37" t="n">
        <v>0</v>
      </c>
      <c r="Q430" s="38" t="n">
        <v>0</v>
      </c>
      <c r="R430" s="38" t="n">
        <v>70.5</v>
      </c>
      <c r="S430" s="37" t="n">
        <v>0</v>
      </c>
    </row>
    <row r="431" customFormat="false" ht="15" hidden="false" customHeight="false" outlineLevel="0" collapsed="false">
      <c r="A431" s="37" t="n">
        <v>0</v>
      </c>
      <c r="B431" s="37" t="n">
        <v>5</v>
      </c>
      <c r="C431" s="37" t="n">
        <v>0</v>
      </c>
      <c r="D431" s="37" t="n">
        <v>0</v>
      </c>
      <c r="E431" s="37" t="n">
        <v>5</v>
      </c>
      <c r="F431" s="37" t="n">
        <v>20</v>
      </c>
      <c r="G431" s="37" t="s">
        <v>192</v>
      </c>
      <c r="H431" s="38" t="n">
        <v>198.214233262226</v>
      </c>
      <c r="I431" s="38" t="n">
        <v>194.804718818369</v>
      </c>
      <c r="J431" s="38" t="n">
        <v>185.377311140044</v>
      </c>
      <c r="K431" s="38" t="n">
        <v>201.681154299541</v>
      </c>
      <c r="L431" s="38" t="n">
        <v>160.073912328884</v>
      </c>
      <c r="M431" s="38" t="n">
        <v>90.7604739944108</v>
      </c>
      <c r="N431" s="38" t="n">
        <v>84.6146231336555</v>
      </c>
      <c r="O431" s="38" t="n">
        <v>59.8397538645617</v>
      </c>
      <c r="P431" s="37" t="n">
        <v>0</v>
      </c>
      <c r="Q431" s="38" t="n">
        <v>0</v>
      </c>
      <c r="R431" s="38" t="n">
        <v>70.5</v>
      </c>
      <c r="S431" s="37" t="n">
        <v>0</v>
      </c>
    </row>
    <row r="432" customFormat="false" ht="15" hidden="false" customHeight="false" outlineLevel="0" collapsed="false">
      <c r="A432" s="37" t="n">
        <v>0</v>
      </c>
      <c r="B432" s="37" t="n">
        <v>5</v>
      </c>
      <c r="C432" s="37" t="n">
        <v>0</v>
      </c>
      <c r="D432" s="37" t="n">
        <v>0</v>
      </c>
      <c r="E432" s="37" t="n">
        <v>5</v>
      </c>
      <c r="F432" s="37" t="n">
        <v>20</v>
      </c>
      <c r="G432" s="37" t="s">
        <v>195</v>
      </c>
      <c r="H432" s="38" t="n">
        <v>198.214233262226</v>
      </c>
      <c r="I432" s="38" t="n">
        <v>194.804755406867</v>
      </c>
      <c r="J432" s="38" t="n">
        <v>181.156807146874</v>
      </c>
      <c r="K432" s="38" t="n">
        <v>192.567735311041</v>
      </c>
      <c r="L432" s="38" t="n">
        <v>164.787449596755</v>
      </c>
      <c r="M432" s="38" t="n">
        <v>91.617166399067</v>
      </c>
      <c r="N432" s="38" t="n">
        <v>73.5474104593023</v>
      </c>
      <c r="O432" s="38" t="n">
        <v>50.9331946522411</v>
      </c>
      <c r="P432" s="37" t="n">
        <v>0</v>
      </c>
      <c r="Q432" s="38" t="n">
        <v>0</v>
      </c>
      <c r="R432" s="38" t="n">
        <v>68.4659142857143</v>
      </c>
      <c r="S432" s="37" t="n">
        <v>0</v>
      </c>
    </row>
    <row r="433" customFormat="false" ht="15" hidden="false" customHeight="false" outlineLevel="0" collapsed="false">
      <c r="A433" s="37" t="n">
        <v>0</v>
      </c>
      <c r="B433" s="37" t="n">
        <v>5</v>
      </c>
      <c r="C433" s="37" t="n">
        <v>0</v>
      </c>
      <c r="D433" s="37" t="n">
        <v>0</v>
      </c>
      <c r="E433" s="37" t="n">
        <v>5</v>
      </c>
      <c r="F433" s="37" t="n">
        <v>20</v>
      </c>
      <c r="G433" s="37" t="s">
        <v>197</v>
      </c>
      <c r="H433" s="38" t="n">
        <v>198.214233262226</v>
      </c>
      <c r="I433" s="38" t="n">
        <v>194.81234878586</v>
      </c>
      <c r="J433" s="38" t="n">
        <v>185.127523376525</v>
      </c>
      <c r="K433" s="38" t="n">
        <v>201.5425895017</v>
      </c>
      <c r="L433" s="38" t="n">
        <v>159.389526973009</v>
      </c>
      <c r="M433" s="38" t="n">
        <v>96.814439292864</v>
      </c>
      <c r="N433" s="38" t="n">
        <v>90.6011709503637</v>
      </c>
      <c r="O433" s="38" t="n">
        <v>60.5843833302379</v>
      </c>
      <c r="P433" s="37" t="n">
        <v>0</v>
      </c>
      <c r="Q433" s="38" t="n">
        <v>0</v>
      </c>
      <c r="R433" s="38" t="n">
        <v>70.5</v>
      </c>
      <c r="S433" s="37" t="n">
        <v>1</v>
      </c>
    </row>
    <row r="434" customFormat="false" ht="15" hidden="false" customHeight="false" outlineLevel="0" collapsed="false">
      <c r="A434" s="37" t="n">
        <v>0</v>
      </c>
      <c r="B434" s="37" t="n">
        <v>5</v>
      </c>
      <c r="C434" s="37" t="n">
        <v>0</v>
      </c>
      <c r="D434" s="37" t="n">
        <v>0</v>
      </c>
      <c r="E434" s="37" t="n">
        <v>5</v>
      </c>
      <c r="F434" s="37" t="n">
        <v>20</v>
      </c>
      <c r="G434" s="37" t="s">
        <v>196</v>
      </c>
      <c r="H434" s="38" t="n">
        <v>198.214233262226</v>
      </c>
      <c r="I434" s="38" t="n">
        <v>194.80474948095</v>
      </c>
      <c r="J434" s="38" t="n">
        <v>185.545471809334</v>
      </c>
      <c r="K434" s="38" t="n">
        <v>202.042684164504</v>
      </c>
      <c r="L434" s="38" t="n">
        <v>166.004033370853</v>
      </c>
      <c r="M434" s="38" t="n">
        <v>94.4577411841615</v>
      </c>
      <c r="N434" s="38" t="n">
        <v>88.4389566710879</v>
      </c>
      <c r="O434" s="38" t="n">
        <v>59.0656354937215</v>
      </c>
      <c r="P434" s="37" t="n">
        <v>0</v>
      </c>
      <c r="Q434" s="38" t="n">
        <v>0</v>
      </c>
      <c r="R434" s="38" t="n">
        <v>69.6040571428571</v>
      </c>
      <c r="S434" s="37" t="n">
        <v>0</v>
      </c>
    </row>
    <row r="435" customFormat="false" ht="15" hidden="false" customHeight="false" outlineLevel="0" collapsed="false">
      <c r="A435" s="37" t="n">
        <v>0</v>
      </c>
      <c r="B435" s="37" t="n">
        <v>5</v>
      </c>
      <c r="C435" s="37" t="n">
        <v>0</v>
      </c>
      <c r="D435" s="37" t="n">
        <v>0</v>
      </c>
      <c r="E435" s="37" t="n">
        <v>10</v>
      </c>
      <c r="F435" s="37" t="n">
        <v>15</v>
      </c>
      <c r="G435" s="37" t="s">
        <v>188</v>
      </c>
      <c r="H435" s="38" t="n">
        <v>198.247128624695</v>
      </c>
      <c r="I435" s="38" t="n">
        <v>195.122080372017</v>
      </c>
      <c r="J435" s="38" t="n">
        <v>183.828831976389</v>
      </c>
      <c r="K435" s="38" t="n">
        <v>201.152185700284</v>
      </c>
      <c r="L435" s="38" t="n">
        <v>116.106435485115</v>
      </c>
      <c r="M435" s="38" t="n">
        <v>93.0108315412232</v>
      </c>
      <c r="N435" s="38" t="n">
        <v>82.671777735574</v>
      </c>
      <c r="O435" s="38" t="n">
        <v>54.6942334851038</v>
      </c>
      <c r="P435" s="37" t="n">
        <v>0</v>
      </c>
      <c r="Q435" s="38" t="n">
        <v>0</v>
      </c>
      <c r="R435" s="38" t="n">
        <v>70.5</v>
      </c>
      <c r="S435" s="37" t="n">
        <v>0</v>
      </c>
    </row>
    <row r="436" customFormat="false" ht="15" hidden="false" customHeight="false" outlineLevel="0" collapsed="false">
      <c r="A436" s="37" t="n">
        <v>0</v>
      </c>
      <c r="B436" s="37" t="n">
        <v>5</v>
      </c>
      <c r="C436" s="37" t="n">
        <v>0</v>
      </c>
      <c r="D436" s="37" t="n">
        <v>0</v>
      </c>
      <c r="E436" s="37" t="n">
        <v>10</v>
      </c>
      <c r="F436" s="37" t="n">
        <v>15</v>
      </c>
      <c r="G436" s="37" t="s">
        <v>192</v>
      </c>
      <c r="H436" s="38" t="n">
        <v>198.247128624695</v>
      </c>
      <c r="I436" s="38" t="n">
        <v>195.123823592699</v>
      </c>
      <c r="J436" s="38" t="n">
        <v>187.736386128295</v>
      </c>
      <c r="K436" s="38" t="n">
        <v>206.269091580886</v>
      </c>
      <c r="L436" s="38" t="n">
        <v>124.657332654927</v>
      </c>
      <c r="M436" s="38" t="n">
        <v>92.1558319939771</v>
      </c>
      <c r="N436" s="38" t="n">
        <v>90.7833956118998</v>
      </c>
      <c r="O436" s="38" t="n">
        <v>60.097564157379</v>
      </c>
      <c r="P436" s="37" t="n">
        <v>0</v>
      </c>
      <c r="Q436" s="38" t="n">
        <v>0</v>
      </c>
      <c r="R436" s="38" t="n">
        <v>70.5</v>
      </c>
      <c r="S436" s="37" t="n">
        <v>0</v>
      </c>
    </row>
    <row r="437" customFormat="false" ht="15" hidden="false" customHeight="false" outlineLevel="0" collapsed="false">
      <c r="A437" s="37" t="n">
        <v>0</v>
      </c>
      <c r="B437" s="37" t="n">
        <v>5</v>
      </c>
      <c r="C437" s="37" t="n">
        <v>0</v>
      </c>
      <c r="D437" s="37" t="n">
        <v>0</v>
      </c>
      <c r="E437" s="37" t="n">
        <v>10</v>
      </c>
      <c r="F437" s="37" t="n">
        <v>15</v>
      </c>
      <c r="G437" s="37" t="s">
        <v>195</v>
      </c>
      <c r="H437" s="38" t="n">
        <v>198.247128624695</v>
      </c>
      <c r="I437" s="38" t="n">
        <v>195.124707392334</v>
      </c>
      <c r="J437" s="38" t="n">
        <v>183.624816009963</v>
      </c>
      <c r="K437" s="38" t="n">
        <v>197.295304155854</v>
      </c>
      <c r="L437" s="38" t="n">
        <v>118.265018441569</v>
      </c>
      <c r="M437" s="38" t="n">
        <v>93.0160365198732</v>
      </c>
      <c r="N437" s="38" t="n">
        <v>80.6282473668895</v>
      </c>
      <c r="O437" s="38" t="n">
        <v>54.3636467905894</v>
      </c>
      <c r="P437" s="37" t="n">
        <v>0</v>
      </c>
      <c r="Q437" s="38" t="n">
        <v>0</v>
      </c>
      <c r="R437" s="38" t="n">
        <v>68.4659142857143</v>
      </c>
      <c r="S437" s="37" t="n">
        <v>0</v>
      </c>
    </row>
    <row r="438" customFormat="false" ht="15" hidden="false" customHeight="false" outlineLevel="0" collapsed="false">
      <c r="A438" s="37" t="n">
        <v>0</v>
      </c>
      <c r="B438" s="37" t="n">
        <v>5</v>
      </c>
      <c r="C438" s="37" t="n">
        <v>0</v>
      </c>
      <c r="D438" s="37" t="n">
        <v>0</v>
      </c>
      <c r="E438" s="37" t="n">
        <v>10</v>
      </c>
      <c r="F438" s="37" t="n">
        <v>15</v>
      </c>
      <c r="G438" s="37" t="s">
        <v>197</v>
      </c>
      <c r="H438" s="38" t="n">
        <v>198.247128624695</v>
      </c>
      <c r="I438" s="38" t="n">
        <v>195.149310223561</v>
      </c>
      <c r="J438" s="38" t="n">
        <v>188.362750238899</v>
      </c>
      <c r="K438" s="38" t="n">
        <v>207.413896758984</v>
      </c>
      <c r="L438" s="38" t="n">
        <v>126.00442070364</v>
      </c>
      <c r="M438" s="38" t="n">
        <v>100.986088124213</v>
      </c>
      <c r="N438" s="38" t="n">
        <v>105.197507912831</v>
      </c>
      <c r="O438" s="38" t="n">
        <v>62.4407630524193</v>
      </c>
      <c r="P438" s="37" t="n">
        <v>0</v>
      </c>
      <c r="Q438" s="38" t="n">
        <v>0</v>
      </c>
      <c r="R438" s="38" t="n">
        <v>70.5</v>
      </c>
      <c r="S438" s="37" t="n">
        <v>1</v>
      </c>
    </row>
    <row r="439" customFormat="false" ht="15" hidden="false" customHeight="false" outlineLevel="0" collapsed="false">
      <c r="A439" s="37" t="n">
        <v>0</v>
      </c>
      <c r="B439" s="37" t="n">
        <v>5</v>
      </c>
      <c r="C439" s="37" t="n">
        <v>0</v>
      </c>
      <c r="D439" s="37" t="n">
        <v>0</v>
      </c>
      <c r="E439" s="37" t="n">
        <v>10</v>
      </c>
      <c r="F439" s="37" t="n">
        <v>15</v>
      </c>
      <c r="G439" s="37" t="s">
        <v>196</v>
      </c>
      <c r="H439" s="38" t="n">
        <v>198.247128624695</v>
      </c>
      <c r="I439" s="38" t="n">
        <v>195.123997046723</v>
      </c>
      <c r="J439" s="38" t="n">
        <v>187.901860115572</v>
      </c>
      <c r="K439" s="38" t="n">
        <v>206.630602579659</v>
      </c>
      <c r="L439" s="38" t="n">
        <v>130.591951786008</v>
      </c>
      <c r="M439" s="38" t="n">
        <v>96.3910480634608</v>
      </c>
      <c r="N439" s="38" t="n">
        <v>95.9395257534329</v>
      </c>
      <c r="O439" s="38" t="n">
        <v>60.0427245544699</v>
      </c>
      <c r="P439" s="37" t="n">
        <v>0</v>
      </c>
      <c r="Q439" s="38" t="n">
        <v>0</v>
      </c>
      <c r="R439" s="38" t="n">
        <v>69.6040571428571</v>
      </c>
      <c r="S439" s="37" t="n">
        <v>0</v>
      </c>
    </row>
    <row r="440" customFormat="false" ht="15" hidden="false" customHeight="false" outlineLevel="0" collapsed="false">
      <c r="A440" s="37" t="n">
        <v>0</v>
      </c>
      <c r="B440" s="37" t="n">
        <v>5</v>
      </c>
      <c r="C440" s="37" t="n">
        <v>0</v>
      </c>
      <c r="D440" s="37" t="n">
        <v>0</v>
      </c>
      <c r="E440" s="37" t="n">
        <v>15</v>
      </c>
      <c r="F440" s="37" t="n">
        <v>10</v>
      </c>
      <c r="G440" s="37" t="s">
        <v>188</v>
      </c>
      <c r="H440" s="38" t="n">
        <v>198.279017426055</v>
      </c>
      <c r="I440" s="38" t="n">
        <v>195.378724420047</v>
      </c>
      <c r="J440" s="38" t="n">
        <v>185.623059352764</v>
      </c>
      <c r="K440" s="38" t="n">
        <v>204.719354018585</v>
      </c>
      <c r="L440" s="38" t="n">
        <v>79.8647279134746</v>
      </c>
      <c r="M440" s="38" t="n">
        <v>94.1486274669555</v>
      </c>
      <c r="N440" s="38" t="n">
        <v>87.2634561629095</v>
      </c>
      <c r="O440" s="38" t="n">
        <v>54.3174232503301</v>
      </c>
      <c r="P440" s="37" t="n">
        <v>0</v>
      </c>
      <c r="Q440" s="38" t="n">
        <v>0</v>
      </c>
      <c r="R440" s="38" t="n">
        <v>70.5</v>
      </c>
      <c r="S440" s="37" t="n">
        <v>0</v>
      </c>
    </row>
    <row r="441" customFormat="false" ht="15" hidden="false" customHeight="false" outlineLevel="0" collapsed="false">
      <c r="A441" s="37" t="n">
        <v>0</v>
      </c>
      <c r="B441" s="37" t="n">
        <v>5</v>
      </c>
      <c r="C441" s="37" t="n">
        <v>0</v>
      </c>
      <c r="D441" s="37" t="n">
        <v>0</v>
      </c>
      <c r="E441" s="37" t="n">
        <v>15</v>
      </c>
      <c r="F441" s="37" t="n">
        <v>10</v>
      </c>
      <c r="G441" s="37" t="s">
        <v>192</v>
      </c>
      <c r="H441" s="38" t="n">
        <v>198.279017426055</v>
      </c>
      <c r="I441" s="38" t="n">
        <v>195.380691169205</v>
      </c>
      <c r="J441" s="38" t="n">
        <v>189.49753009653</v>
      </c>
      <c r="K441" s="38" t="n">
        <v>209.789085636646</v>
      </c>
      <c r="L441" s="38" t="n">
        <v>88.1731627382168</v>
      </c>
      <c r="M441" s="38" t="n">
        <v>93.2940294144617</v>
      </c>
      <c r="N441" s="38" t="n">
        <v>95.2434962746886</v>
      </c>
      <c r="O441" s="38" t="n">
        <v>59.815976160619</v>
      </c>
      <c r="P441" s="37" t="n">
        <v>0</v>
      </c>
      <c r="Q441" s="38" t="n">
        <v>0</v>
      </c>
      <c r="R441" s="38" t="n">
        <v>70.5</v>
      </c>
      <c r="S441" s="37" t="n">
        <v>0</v>
      </c>
    </row>
    <row r="442" customFormat="false" ht="15" hidden="false" customHeight="false" outlineLevel="0" collapsed="false">
      <c r="A442" s="37" t="n">
        <v>0</v>
      </c>
      <c r="B442" s="37" t="n">
        <v>5</v>
      </c>
      <c r="C442" s="37" t="n">
        <v>0</v>
      </c>
      <c r="D442" s="37" t="n">
        <v>0</v>
      </c>
      <c r="E442" s="37" t="n">
        <v>15</v>
      </c>
      <c r="F442" s="37" t="n">
        <v>10</v>
      </c>
      <c r="G442" s="37" t="s">
        <v>195</v>
      </c>
      <c r="H442" s="38" t="n">
        <v>198.279017426055</v>
      </c>
      <c r="I442" s="38" t="n">
        <v>195.382809859757</v>
      </c>
      <c r="J442" s="38" t="n">
        <v>185.44607001337</v>
      </c>
      <c r="K442" s="38" t="n">
        <v>200.894353261916</v>
      </c>
      <c r="L442" s="38" t="n">
        <v>81.8267759914214</v>
      </c>
      <c r="M442" s="38" t="n">
        <v>94.157464627827</v>
      </c>
      <c r="N442" s="38" t="n">
        <v>85.3324184669153</v>
      </c>
      <c r="O442" s="38" t="n">
        <v>54.2516517900008</v>
      </c>
      <c r="P442" s="37" t="n">
        <v>0</v>
      </c>
      <c r="Q442" s="38" t="n">
        <v>0</v>
      </c>
      <c r="R442" s="38" t="n">
        <v>68.4547268188515</v>
      </c>
      <c r="S442" s="37" t="n">
        <v>0</v>
      </c>
    </row>
    <row r="443" customFormat="false" ht="15" hidden="false" customHeight="false" outlineLevel="0" collapsed="false">
      <c r="A443" s="37" t="n">
        <v>0</v>
      </c>
      <c r="B443" s="37" t="n">
        <v>5</v>
      </c>
      <c r="C443" s="37" t="n">
        <v>0</v>
      </c>
      <c r="D443" s="37" t="n">
        <v>0</v>
      </c>
      <c r="E443" s="37" t="n">
        <v>15</v>
      </c>
      <c r="F443" s="37" t="n">
        <v>10</v>
      </c>
      <c r="G443" s="37" t="s">
        <v>197</v>
      </c>
      <c r="H443" s="38" t="n">
        <v>198.279017426055</v>
      </c>
      <c r="I443" s="38" t="n">
        <v>195.422319730486</v>
      </c>
      <c r="J443" s="38" t="n">
        <v>190.801231915409</v>
      </c>
      <c r="K443" s="38" t="n">
        <v>211.928096405969</v>
      </c>
      <c r="L443" s="38" t="n">
        <v>91.030120220204</v>
      </c>
      <c r="M443" s="38" t="n">
        <v>103.886110622572</v>
      </c>
      <c r="N443" s="38" t="n">
        <v>111.864308530698</v>
      </c>
      <c r="O443" s="38" t="n">
        <v>62.6298011053713</v>
      </c>
      <c r="P443" s="37" t="n">
        <v>0</v>
      </c>
      <c r="Q443" s="38" t="n">
        <v>0</v>
      </c>
      <c r="R443" s="38" t="n">
        <v>70.5</v>
      </c>
      <c r="S443" s="37" t="n">
        <v>1</v>
      </c>
    </row>
    <row r="444" customFormat="false" ht="15" hidden="false" customHeight="false" outlineLevel="0" collapsed="false">
      <c r="A444" s="37" t="n">
        <v>0</v>
      </c>
      <c r="B444" s="37" t="n">
        <v>5</v>
      </c>
      <c r="C444" s="37" t="n">
        <v>0</v>
      </c>
      <c r="D444" s="37" t="n">
        <v>0</v>
      </c>
      <c r="E444" s="37" t="n">
        <v>15</v>
      </c>
      <c r="F444" s="37" t="n">
        <v>10</v>
      </c>
      <c r="G444" s="37" t="s">
        <v>196</v>
      </c>
      <c r="H444" s="38" t="n">
        <v>198.279017426055</v>
      </c>
      <c r="I444" s="38" t="n">
        <v>195.380986525684</v>
      </c>
      <c r="J444" s="38" t="n">
        <v>189.656754037679</v>
      </c>
      <c r="K444" s="38" t="n">
        <v>210.14905434574</v>
      </c>
      <c r="L444" s="38" t="n">
        <v>94.1104035520887</v>
      </c>
      <c r="M444" s="38" t="n">
        <v>97.864881651529</v>
      </c>
      <c r="N444" s="38" t="n">
        <v>100.409691515674</v>
      </c>
      <c r="O444" s="38" t="n">
        <v>59.6305101062281</v>
      </c>
      <c r="P444" s="37" t="n">
        <v>0</v>
      </c>
      <c r="Q444" s="38" t="n">
        <v>0</v>
      </c>
      <c r="R444" s="38" t="n">
        <v>69.6040571428571</v>
      </c>
      <c r="S444" s="37" t="n">
        <v>0</v>
      </c>
    </row>
    <row r="445" customFormat="false" ht="15" hidden="false" customHeight="false" outlineLevel="0" collapsed="false">
      <c r="A445" s="37" t="n">
        <v>0</v>
      </c>
      <c r="B445" s="37" t="n">
        <v>5</v>
      </c>
      <c r="C445" s="37" t="n">
        <v>0</v>
      </c>
      <c r="D445" s="37" t="n">
        <v>0</v>
      </c>
      <c r="E445" s="37" t="n">
        <v>20</v>
      </c>
      <c r="F445" s="37" t="n">
        <v>5</v>
      </c>
      <c r="G445" s="37" t="s">
        <v>188</v>
      </c>
      <c r="H445" s="38" t="n">
        <v>198.308431519693</v>
      </c>
      <c r="I445" s="38" t="n">
        <v>195.611636341291</v>
      </c>
      <c r="J445" s="38" t="n">
        <v>187.194402328265</v>
      </c>
      <c r="K445" s="38" t="n">
        <v>207.90903970911</v>
      </c>
      <c r="L445" s="38" t="n">
        <v>43.2716672403559</v>
      </c>
      <c r="M445" s="38" t="n">
        <v>95.1976586775559</v>
      </c>
      <c r="N445" s="38" t="n">
        <v>91.1856372090172</v>
      </c>
      <c r="O445" s="38" t="n">
        <v>53.8394055922898</v>
      </c>
      <c r="P445" s="37" t="n">
        <v>0</v>
      </c>
      <c r="Q445" s="38" t="n">
        <v>0</v>
      </c>
      <c r="R445" s="38" t="n">
        <v>70.5</v>
      </c>
      <c r="S445" s="37" t="n">
        <v>0</v>
      </c>
    </row>
    <row r="446" customFormat="false" ht="15" hidden="false" customHeight="false" outlineLevel="0" collapsed="false">
      <c r="A446" s="37" t="n">
        <v>0</v>
      </c>
      <c r="B446" s="37" t="n">
        <v>5</v>
      </c>
      <c r="C446" s="37" t="n">
        <v>0</v>
      </c>
      <c r="D446" s="37" t="n">
        <v>0</v>
      </c>
      <c r="E446" s="37" t="n">
        <v>20</v>
      </c>
      <c r="F446" s="37" t="n">
        <v>5</v>
      </c>
      <c r="G446" s="37" t="s">
        <v>192</v>
      </c>
      <c r="H446" s="38" t="n">
        <v>198.308431519693</v>
      </c>
      <c r="I446" s="38" t="n">
        <v>195.613731356776</v>
      </c>
      <c r="J446" s="38" t="n">
        <v>191.010186190374</v>
      </c>
      <c r="K446" s="38" t="n">
        <v>212.898603205538</v>
      </c>
      <c r="L446" s="38" t="n">
        <v>51.2760265966516</v>
      </c>
      <c r="M446" s="38" t="n">
        <v>94.3155362379881</v>
      </c>
      <c r="N446" s="38" t="n">
        <v>98.9303977262078</v>
      </c>
      <c r="O446" s="38" t="n">
        <v>59.3746516124711</v>
      </c>
      <c r="P446" s="37" t="n">
        <v>0</v>
      </c>
      <c r="Q446" s="38" t="n">
        <v>0</v>
      </c>
      <c r="R446" s="38" t="n">
        <v>70.5</v>
      </c>
      <c r="S446" s="37" t="n">
        <v>0</v>
      </c>
    </row>
    <row r="447" customFormat="false" ht="15" hidden="false" customHeight="false" outlineLevel="0" collapsed="false">
      <c r="A447" s="37" t="n">
        <v>0</v>
      </c>
      <c r="B447" s="37" t="n">
        <v>5</v>
      </c>
      <c r="C447" s="37" t="n">
        <v>0</v>
      </c>
      <c r="D447" s="37" t="n">
        <v>0</v>
      </c>
      <c r="E447" s="37" t="n">
        <v>20</v>
      </c>
      <c r="F447" s="37" t="n">
        <v>5</v>
      </c>
      <c r="G447" s="37" t="s">
        <v>195</v>
      </c>
      <c r="H447" s="38" t="n">
        <v>198.308431519693</v>
      </c>
      <c r="I447" s="38" t="n">
        <v>195.617736959412</v>
      </c>
      <c r="J447" s="38" t="n">
        <v>187.020545355693</v>
      </c>
      <c r="K447" s="38" t="n">
        <v>204.086452555193</v>
      </c>
      <c r="L447" s="38" t="n">
        <v>44.9733263613372</v>
      </c>
      <c r="M447" s="38" t="n">
        <v>95.2118936060464</v>
      </c>
      <c r="N447" s="38" t="n">
        <v>89.2117236829269</v>
      </c>
      <c r="O447" s="38" t="n">
        <v>53.9970719879317</v>
      </c>
      <c r="P447" s="37" t="n">
        <v>0</v>
      </c>
      <c r="Q447" s="38" t="n">
        <v>0</v>
      </c>
      <c r="R447" s="38" t="n">
        <v>68.4410621418432</v>
      </c>
      <c r="S447" s="37" t="n">
        <v>0</v>
      </c>
    </row>
    <row r="448" customFormat="false" ht="15" hidden="false" customHeight="false" outlineLevel="0" collapsed="false">
      <c r="A448" s="37" t="n">
        <v>0</v>
      </c>
      <c r="B448" s="37" t="n">
        <v>5</v>
      </c>
      <c r="C448" s="37" t="n">
        <v>0</v>
      </c>
      <c r="D448" s="37" t="n">
        <v>0</v>
      </c>
      <c r="E448" s="37" t="n">
        <v>20</v>
      </c>
      <c r="F448" s="37" t="n">
        <v>5</v>
      </c>
      <c r="G448" s="37" t="s">
        <v>197</v>
      </c>
      <c r="H448" s="38" t="n">
        <v>198.308431519693</v>
      </c>
      <c r="I448" s="38" t="n">
        <v>195.673947035067</v>
      </c>
      <c r="J448" s="38" t="n">
        <v>192.866259804656</v>
      </c>
      <c r="K448" s="38" t="n">
        <v>215.917231456846</v>
      </c>
      <c r="L448" s="38" t="n">
        <v>60.1635389059555</v>
      </c>
      <c r="M448" s="38" t="n">
        <v>106.6021767667</v>
      </c>
      <c r="N448" s="38" t="n">
        <v>117.155233691203</v>
      </c>
      <c r="O448" s="38" t="n">
        <v>62.7501909866817</v>
      </c>
      <c r="P448" s="37" t="n">
        <v>0</v>
      </c>
      <c r="Q448" s="38" t="n">
        <v>0</v>
      </c>
      <c r="R448" s="38" t="n">
        <v>70.5</v>
      </c>
      <c r="S448" s="37" t="n">
        <v>1</v>
      </c>
    </row>
    <row r="449" customFormat="false" ht="15" hidden="false" customHeight="false" outlineLevel="0" collapsed="false">
      <c r="A449" s="37" t="n">
        <v>0</v>
      </c>
      <c r="B449" s="37" t="n">
        <v>5</v>
      </c>
      <c r="C449" s="37" t="n">
        <v>0</v>
      </c>
      <c r="D449" s="37" t="n">
        <v>0</v>
      </c>
      <c r="E449" s="37" t="n">
        <v>20</v>
      </c>
      <c r="F449" s="37" t="n">
        <v>5</v>
      </c>
      <c r="G449" s="37" t="s">
        <v>196</v>
      </c>
      <c r="H449" s="38" t="n">
        <v>198.308431519693</v>
      </c>
      <c r="I449" s="38" t="n">
        <v>195.614453516768</v>
      </c>
      <c r="J449" s="38" t="n">
        <v>191.166684588399</v>
      </c>
      <c r="K449" s="38" t="n">
        <v>213.265288504333</v>
      </c>
      <c r="L449" s="38" t="n">
        <v>57.1973928686859</v>
      </c>
      <c r="M449" s="38" t="n">
        <v>99.2184537689792</v>
      </c>
      <c r="N449" s="38" t="n">
        <v>104.074454238462</v>
      </c>
      <c r="O449" s="38" t="n">
        <v>59.0962703907703</v>
      </c>
      <c r="P449" s="37" t="n">
        <v>0</v>
      </c>
      <c r="Q449" s="38" t="n">
        <v>0</v>
      </c>
      <c r="R449" s="38" t="n">
        <v>69.5970383807781</v>
      </c>
      <c r="S449" s="37" t="n">
        <v>0</v>
      </c>
    </row>
    <row r="450" customFormat="false" ht="15" hidden="false" customHeight="false" outlineLevel="0" collapsed="false">
      <c r="A450" s="37" t="n">
        <v>0</v>
      </c>
      <c r="B450" s="37" t="n">
        <v>5</v>
      </c>
      <c r="C450" s="37" t="n">
        <v>0</v>
      </c>
      <c r="D450" s="37" t="n">
        <v>0</v>
      </c>
      <c r="E450" s="37" t="n">
        <v>25</v>
      </c>
      <c r="F450" s="37" t="n">
        <v>0</v>
      </c>
      <c r="G450" s="37" t="s">
        <v>188</v>
      </c>
      <c r="H450" s="38" t="n">
        <v>198.321478799279</v>
      </c>
      <c r="I450" s="38" t="n">
        <v>195.717885066117</v>
      </c>
      <c r="J450" s="38" t="n">
        <v>187.733873425094</v>
      </c>
      <c r="K450" s="38" t="n">
        <v>209.22059870021</v>
      </c>
      <c r="L450" s="38" t="n">
        <v>24.9942589285125</v>
      </c>
      <c r="M450" s="38" t="n">
        <v>95.6833015151209</v>
      </c>
      <c r="N450" s="38" t="n">
        <v>78.9646466784297</v>
      </c>
      <c r="O450" s="38" t="n">
        <v>50.2468318018472</v>
      </c>
      <c r="P450" s="37" t="n">
        <v>0</v>
      </c>
      <c r="Q450" s="38" t="n">
        <v>0.00574107148753456</v>
      </c>
      <c r="R450" s="38" t="n">
        <v>70.5</v>
      </c>
      <c r="S450" s="37" t="n">
        <v>0</v>
      </c>
    </row>
    <row r="451" customFormat="false" ht="15" hidden="false" customHeight="false" outlineLevel="0" collapsed="false">
      <c r="A451" s="37" t="n">
        <v>0</v>
      </c>
      <c r="B451" s="37" t="n">
        <v>5</v>
      </c>
      <c r="C451" s="37" t="n">
        <v>0</v>
      </c>
      <c r="D451" s="37" t="n">
        <v>0</v>
      </c>
      <c r="E451" s="37" t="n">
        <v>25</v>
      </c>
      <c r="F451" s="37" t="n">
        <v>0</v>
      </c>
      <c r="G451" s="37" t="s">
        <v>192</v>
      </c>
      <c r="H451" s="38" t="n">
        <v>198.321478799279</v>
      </c>
      <c r="I451" s="38" t="n">
        <v>195.720021662257</v>
      </c>
      <c r="J451" s="38" t="n">
        <v>191.638006607425</v>
      </c>
      <c r="K451" s="38" t="n">
        <v>214.255168279111</v>
      </c>
      <c r="L451" s="38" t="n">
        <v>24.9996651673253</v>
      </c>
      <c r="M451" s="38" t="n">
        <v>94.7678124549908</v>
      </c>
      <c r="N451" s="38" t="n">
        <v>87.0293020832833</v>
      </c>
      <c r="O451" s="38" t="n">
        <v>55.8680786901471</v>
      </c>
      <c r="P451" s="37" t="n">
        <v>0</v>
      </c>
      <c r="Q451" s="38" t="n">
        <v>0.000334832674695917</v>
      </c>
      <c r="R451" s="38" t="n">
        <v>70.5</v>
      </c>
      <c r="S451" s="37" t="n">
        <v>0</v>
      </c>
    </row>
    <row r="452" customFormat="false" ht="15" hidden="false" customHeight="false" outlineLevel="0" collapsed="false">
      <c r="A452" s="37" t="n">
        <v>0</v>
      </c>
      <c r="B452" s="37" t="n">
        <v>5</v>
      </c>
      <c r="C452" s="37" t="n">
        <v>0</v>
      </c>
      <c r="D452" s="37" t="n">
        <v>0</v>
      </c>
      <c r="E452" s="37" t="n">
        <v>25</v>
      </c>
      <c r="F452" s="37" t="n">
        <v>0</v>
      </c>
      <c r="G452" s="37" t="s">
        <v>195</v>
      </c>
      <c r="H452" s="38" t="n">
        <v>198.321478799279</v>
      </c>
      <c r="I452" s="38" t="n">
        <v>195.725065820903</v>
      </c>
      <c r="J452" s="38" t="n">
        <v>187.625867320806</v>
      </c>
      <c r="K452" s="38" t="n">
        <v>205.418761549247</v>
      </c>
      <c r="L452" s="38" t="n">
        <v>24.9946680348692</v>
      </c>
      <c r="M452" s="38" t="n">
        <v>95.7004450541937</v>
      </c>
      <c r="N452" s="38" t="n">
        <v>77.271396380795</v>
      </c>
      <c r="O452" s="38" t="n">
        <v>50.5889358732803</v>
      </c>
      <c r="P452" s="37" t="n">
        <v>0</v>
      </c>
      <c r="Q452" s="38" t="n">
        <v>0.00533196513080725</v>
      </c>
      <c r="R452" s="38" t="n">
        <v>68.4270118758903</v>
      </c>
      <c r="S452" s="37" t="n">
        <v>0</v>
      </c>
    </row>
    <row r="453" customFormat="false" ht="15" hidden="false" customHeight="false" outlineLevel="0" collapsed="false">
      <c r="A453" s="37" t="n">
        <v>0</v>
      </c>
      <c r="B453" s="37" t="n">
        <v>5</v>
      </c>
      <c r="C453" s="37" t="n">
        <v>0</v>
      </c>
      <c r="D453" s="37" t="n">
        <v>0</v>
      </c>
      <c r="E453" s="37" t="n">
        <v>25</v>
      </c>
      <c r="F453" s="37" t="n">
        <v>0</v>
      </c>
      <c r="G453" s="37" t="s">
        <v>197</v>
      </c>
      <c r="H453" s="38" t="n">
        <v>198.321478799279</v>
      </c>
      <c r="I453" s="38" t="n">
        <v>195.791513513469</v>
      </c>
      <c r="J453" s="38" t="n">
        <v>192.173906206857</v>
      </c>
      <c r="K453" s="38" t="n">
        <v>215.595469903608</v>
      </c>
      <c r="L453" s="38" t="n">
        <v>34.0954699036081</v>
      </c>
      <c r="M453" s="38" t="n">
        <v>107.997601874348</v>
      </c>
      <c r="N453" s="38" t="n">
        <v>109.231416390309</v>
      </c>
      <c r="O453" s="38" t="n">
        <v>58.5765428112701</v>
      </c>
      <c r="P453" s="37" t="n">
        <v>0</v>
      </c>
      <c r="Q453" s="38" t="n">
        <v>0</v>
      </c>
      <c r="R453" s="38" t="n">
        <v>70.5</v>
      </c>
      <c r="S453" s="37" t="n">
        <v>1</v>
      </c>
    </row>
    <row r="454" customFormat="false" ht="15" hidden="false" customHeight="false" outlineLevel="0" collapsed="false">
      <c r="A454" s="37" t="n">
        <v>0</v>
      </c>
      <c r="B454" s="37" t="n">
        <v>5</v>
      </c>
      <c r="C454" s="37" t="n">
        <v>0</v>
      </c>
      <c r="D454" s="37" t="n">
        <v>0</v>
      </c>
      <c r="E454" s="37" t="n">
        <v>25</v>
      </c>
      <c r="F454" s="37" t="n">
        <v>0</v>
      </c>
      <c r="G454" s="37" t="s">
        <v>196</v>
      </c>
      <c r="H454" s="38" t="n">
        <v>198.321478799279</v>
      </c>
      <c r="I454" s="38" t="n">
        <v>195.72079095711</v>
      </c>
      <c r="J454" s="38" t="n">
        <v>191.696383600197</v>
      </c>
      <c r="K454" s="38" t="n">
        <v>214.535793492127</v>
      </c>
      <c r="L454" s="38" t="n">
        <v>28.9430553948525</v>
      </c>
      <c r="M454" s="38" t="n">
        <v>99.8574235775306</v>
      </c>
      <c r="N454" s="38" t="n">
        <v>95.5634412312108</v>
      </c>
      <c r="O454" s="38" t="n">
        <v>55.3382596667811</v>
      </c>
      <c r="P454" s="37" t="n">
        <v>0</v>
      </c>
      <c r="Q454" s="38" t="n">
        <v>0</v>
      </c>
      <c r="R454" s="38" t="n">
        <v>69.5777428566542</v>
      </c>
      <c r="S454" s="37" t="n">
        <v>0</v>
      </c>
    </row>
    <row r="455" customFormat="false" ht="15" hidden="false" customHeight="false" outlineLevel="0" collapsed="false">
      <c r="A455" s="37" t="n">
        <v>0</v>
      </c>
      <c r="B455" s="37" t="n">
        <v>5</v>
      </c>
      <c r="C455" s="37" t="n">
        <v>0</v>
      </c>
      <c r="D455" s="37" t="n">
        <v>5</v>
      </c>
      <c r="E455" s="37" t="n">
        <v>0</v>
      </c>
      <c r="F455" s="37" t="n">
        <v>20</v>
      </c>
      <c r="G455" s="37" t="s">
        <v>188</v>
      </c>
      <c r="H455" s="38" t="n">
        <v>198.355002789865</v>
      </c>
      <c r="I455" s="38" t="n">
        <v>195.531875439444</v>
      </c>
      <c r="J455" s="38" t="n">
        <v>182.950193718217</v>
      </c>
      <c r="K455" s="38" t="n">
        <v>187.990689054179</v>
      </c>
      <c r="L455" s="38" t="n">
        <v>154.334053581794</v>
      </c>
      <c r="M455" s="38" t="n">
        <v>91.2441972802019</v>
      </c>
      <c r="N455" s="38" t="n">
        <v>71.1284811964511</v>
      </c>
      <c r="O455" s="38" t="n">
        <v>54.8557486682444</v>
      </c>
      <c r="P455" s="37" t="n">
        <v>0</v>
      </c>
      <c r="Q455" s="38" t="n">
        <v>0</v>
      </c>
      <c r="R455" s="38" t="n">
        <v>72</v>
      </c>
      <c r="S455" s="37" t="n">
        <v>0</v>
      </c>
    </row>
    <row r="456" customFormat="false" ht="15" hidden="false" customHeight="false" outlineLevel="0" collapsed="false">
      <c r="A456" s="37" t="n">
        <v>0</v>
      </c>
      <c r="B456" s="37" t="n">
        <v>5</v>
      </c>
      <c r="C456" s="37" t="n">
        <v>0</v>
      </c>
      <c r="D456" s="37" t="n">
        <v>5</v>
      </c>
      <c r="E456" s="37" t="n">
        <v>0</v>
      </c>
      <c r="F456" s="37" t="n">
        <v>20</v>
      </c>
      <c r="G456" s="37" t="s">
        <v>192</v>
      </c>
      <c r="H456" s="38" t="n">
        <v>198.355002789865</v>
      </c>
      <c r="I456" s="38" t="n">
        <v>195.534309929098</v>
      </c>
      <c r="J456" s="38" t="n">
        <v>187.010415344265</v>
      </c>
      <c r="K456" s="38" t="n">
        <v>193.243355182239</v>
      </c>
      <c r="L456" s="38" t="n">
        <v>163.19234715999</v>
      </c>
      <c r="M456" s="38" t="n">
        <v>90.3924727983756</v>
      </c>
      <c r="N456" s="38" t="n">
        <v>79.9492212777728</v>
      </c>
      <c r="O456" s="38" t="n">
        <v>59.8338166500665</v>
      </c>
      <c r="P456" s="37" t="n">
        <v>0</v>
      </c>
      <c r="Q456" s="38" t="n">
        <v>0</v>
      </c>
      <c r="R456" s="38" t="n">
        <v>72</v>
      </c>
      <c r="S456" s="37" t="n">
        <v>0</v>
      </c>
    </row>
    <row r="457" customFormat="false" ht="15" hidden="false" customHeight="false" outlineLevel="0" collapsed="false">
      <c r="A457" s="37" t="n">
        <v>0</v>
      </c>
      <c r="B457" s="37" t="n">
        <v>5</v>
      </c>
      <c r="C457" s="37" t="n">
        <v>0</v>
      </c>
      <c r="D457" s="37" t="n">
        <v>5</v>
      </c>
      <c r="E457" s="37" t="n">
        <v>0</v>
      </c>
      <c r="F457" s="37" t="n">
        <v>20</v>
      </c>
      <c r="G457" s="37" t="s">
        <v>195</v>
      </c>
      <c r="H457" s="38" t="n">
        <v>198.355002789865</v>
      </c>
      <c r="I457" s="38" t="n">
        <v>195.559794823389</v>
      </c>
      <c r="J457" s="38" t="n">
        <v>184.493135277657</v>
      </c>
      <c r="K457" s="38" t="n">
        <v>187.211284589836</v>
      </c>
      <c r="L457" s="38" t="n">
        <v>160.757227033633</v>
      </c>
      <c r="M457" s="38" t="n">
        <v>92.9180180033127</v>
      </c>
      <c r="N457" s="38" t="n">
        <v>76.0479439617076</v>
      </c>
      <c r="O457" s="38" t="n">
        <v>56.7249228278889</v>
      </c>
      <c r="P457" s="37" t="n">
        <v>0</v>
      </c>
      <c r="Q457" s="38" t="n">
        <v>0</v>
      </c>
      <c r="R457" s="38" t="n">
        <v>70.3637827331393</v>
      </c>
      <c r="S457" s="37" t="n">
        <v>0</v>
      </c>
    </row>
    <row r="458" customFormat="false" ht="15" hidden="false" customHeight="false" outlineLevel="0" collapsed="false">
      <c r="A458" s="37" t="n">
        <v>0</v>
      </c>
      <c r="B458" s="37" t="n">
        <v>5</v>
      </c>
      <c r="C458" s="37" t="n">
        <v>0</v>
      </c>
      <c r="D458" s="37" t="n">
        <v>5</v>
      </c>
      <c r="E458" s="37" t="n">
        <v>0</v>
      </c>
      <c r="F458" s="37" t="n">
        <v>20</v>
      </c>
      <c r="G458" s="37" t="s">
        <v>197</v>
      </c>
      <c r="H458" s="38" t="n">
        <v>198.355002789865</v>
      </c>
      <c r="I458" s="38" t="n">
        <v>195.533882259498</v>
      </c>
      <c r="J458" s="38" t="n">
        <v>186.23558506949</v>
      </c>
      <c r="K458" s="38" t="n">
        <v>192.277736721111</v>
      </c>
      <c r="L458" s="38" t="n">
        <v>164.807147066924</v>
      </c>
      <c r="M458" s="38" t="n">
        <v>93.0473721803679</v>
      </c>
      <c r="N458" s="38" t="n">
        <v>76.003852225339</v>
      </c>
      <c r="O458" s="38" t="n">
        <v>56.6036642204498</v>
      </c>
      <c r="P458" s="37" t="n">
        <v>0</v>
      </c>
      <c r="Q458" s="38" t="n">
        <v>0</v>
      </c>
      <c r="R458" s="38" t="n">
        <v>72</v>
      </c>
      <c r="S458" s="37" t="n">
        <v>0</v>
      </c>
    </row>
    <row r="459" customFormat="false" ht="15" hidden="false" customHeight="false" outlineLevel="0" collapsed="false">
      <c r="A459" s="37" t="n">
        <v>0</v>
      </c>
      <c r="B459" s="37" t="n">
        <v>5</v>
      </c>
      <c r="C459" s="37" t="n">
        <v>0</v>
      </c>
      <c r="D459" s="37" t="n">
        <v>5</v>
      </c>
      <c r="E459" s="37" t="n">
        <v>0</v>
      </c>
      <c r="F459" s="37" t="n">
        <v>20</v>
      </c>
      <c r="G459" s="37" t="s">
        <v>196</v>
      </c>
      <c r="H459" s="38" t="n">
        <v>198.355002789865</v>
      </c>
      <c r="I459" s="38" t="n">
        <v>195.534066818424</v>
      </c>
      <c r="J459" s="38" t="n">
        <v>180.294125491065</v>
      </c>
      <c r="K459" s="38" t="n">
        <v>195.587376295089</v>
      </c>
      <c r="L459" s="38" t="n">
        <v>162.031820739534</v>
      </c>
      <c r="M459" s="38" t="n">
        <v>94.0593304632458</v>
      </c>
      <c r="N459" s="38" t="n">
        <v>82.7567558463642</v>
      </c>
      <c r="O459" s="38" t="n">
        <v>59.126351243785</v>
      </c>
      <c r="P459" s="37" t="n">
        <v>0</v>
      </c>
      <c r="Q459" s="38" t="n">
        <v>0</v>
      </c>
      <c r="R459" s="38" t="n">
        <v>70.6414239177631</v>
      </c>
      <c r="S459" s="37" t="n">
        <v>1</v>
      </c>
    </row>
    <row r="460" customFormat="false" ht="15" hidden="false" customHeight="false" outlineLevel="0" collapsed="false">
      <c r="A460" s="37" t="n">
        <v>0</v>
      </c>
      <c r="B460" s="37" t="n">
        <v>5</v>
      </c>
      <c r="C460" s="37" t="n">
        <v>0</v>
      </c>
      <c r="D460" s="37" t="n">
        <v>5</v>
      </c>
      <c r="E460" s="37" t="n">
        <v>5</v>
      </c>
      <c r="F460" s="37" t="n">
        <v>15</v>
      </c>
      <c r="G460" s="37" t="s">
        <v>188</v>
      </c>
      <c r="H460" s="38" t="n">
        <v>198.39011722002</v>
      </c>
      <c r="I460" s="38" t="n">
        <v>195.851366458842</v>
      </c>
      <c r="J460" s="38" t="n">
        <v>186.121874871171</v>
      </c>
      <c r="K460" s="38" t="n">
        <v>193.687964132094</v>
      </c>
      <c r="L460" s="38" t="n">
        <v>120.258984471771</v>
      </c>
      <c r="M460" s="38" t="n">
        <v>92.7302173246236</v>
      </c>
      <c r="N460" s="38" t="n">
        <v>79.3643639021082</v>
      </c>
      <c r="O460" s="38" t="n">
        <v>55.1871491053627</v>
      </c>
      <c r="P460" s="37" t="n">
        <v>0</v>
      </c>
      <c r="Q460" s="38" t="n">
        <v>0</v>
      </c>
      <c r="R460" s="38" t="n">
        <v>72</v>
      </c>
      <c r="S460" s="37" t="n">
        <v>0</v>
      </c>
    </row>
    <row r="461" customFormat="false" ht="15" hidden="false" customHeight="false" outlineLevel="0" collapsed="false">
      <c r="A461" s="37" t="n">
        <v>0</v>
      </c>
      <c r="B461" s="37" t="n">
        <v>5</v>
      </c>
      <c r="C461" s="37" t="n">
        <v>0</v>
      </c>
      <c r="D461" s="37" t="n">
        <v>5</v>
      </c>
      <c r="E461" s="37" t="n">
        <v>5</v>
      </c>
      <c r="F461" s="37" t="n">
        <v>15</v>
      </c>
      <c r="G461" s="37" t="s">
        <v>192</v>
      </c>
      <c r="H461" s="38" t="n">
        <v>198.39011722002</v>
      </c>
      <c r="I461" s="38" t="n">
        <v>195.853835570457</v>
      </c>
      <c r="J461" s="38" t="n">
        <v>190.130618704749</v>
      </c>
      <c r="K461" s="38" t="n">
        <v>198.861834179409</v>
      </c>
      <c r="L461" s="38" t="n">
        <v>117.553317906052</v>
      </c>
      <c r="M461" s="38" t="n">
        <v>91.8760867740263</v>
      </c>
      <c r="N461" s="38" t="n">
        <v>88.3104360193094</v>
      </c>
      <c r="O461" s="38" t="n">
        <v>63.0400917850471</v>
      </c>
      <c r="P461" s="37" t="n">
        <v>0</v>
      </c>
      <c r="Q461" s="38" t="n">
        <v>0</v>
      </c>
      <c r="R461" s="38" t="n">
        <v>72</v>
      </c>
      <c r="S461" s="37" t="n">
        <v>0</v>
      </c>
    </row>
    <row r="462" customFormat="false" ht="15" hidden="false" customHeight="false" outlineLevel="0" collapsed="false">
      <c r="A462" s="37" t="n">
        <v>0</v>
      </c>
      <c r="B462" s="37" t="n">
        <v>5</v>
      </c>
      <c r="C462" s="37" t="n">
        <v>0</v>
      </c>
      <c r="D462" s="37" t="n">
        <v>5</v>
      </c>
      <c r="E462" s="37" t="n">
        <v>5</v>
      </c>
      <c r="F462" s="37" t="n">
        <v>15</v>
      </c>
      <c r="G462" s="37" t="s">
        <v>195</v>
      </c>
      <c r="H462" s="38" t="n">
        <v>198.39011722002</v>
      </c>
      <c r="I462" s="38" t="n">
        <v>195.88681159863</v>
      </c>
      <c r="J462" s="38" t="n">
        <v>187.685451040761</v>
      </c>
      <c r="K462" s="38" t="n">
        <v>193.01928746585</v>
      </c>
      <c r="L462" s="38" t="n">
        <v>126.554228415437</v>
      </c>
      <c r="M462" s="38" t="n">
        <v>94.4178181983067</v>
      </c>
      <c r="N462" s="38" t="n">
        <v>84.3408486204487</v>
      </c>
      <c r="O462" s="38" t="n">
        <v>57.6064449180604</v>
      </c>
      <c r="P462" s="37" t="n">
        <v>0</v>
      </c>
      <c r="Q462" s="38" t="n">
        <v>0</v>
      </c>
      <c r="R462" s="38" t="n">
        <v>70.3604822848759</v>
      </c>
      <c r="S462" s="37" t="n">
        <v>0</v>
      </c>
    </row>
    <row r="463" customFormat="false" ht="15" hidden="false" customHeight="false" outlineLevel="0" collapsed="false">
      <c r="A463" s="37" t="n">
        <v>0</v>
      </c>
      <c r="B463" s="37" t="n">
        <v>5</v>
      </c>
      <c r="C463" s="37" t="n">
        <v>0</v>
      </c>
      <c r="D463" s="37" t="n">
        <v>5</v>
      </c>
      <c r="E463" s="37" t="n">
        <v>5</v>
      </c>
      <c r="F463" s="37" t="n">
        <v>15</v>
      </c>
      <c r="G463" s="37" t="s">
        <v>197</v>
      </c>
      <c r="H463" s="38" t="n">
        <v>198.39011722002</v>
      </c>
      <c r="I463" s="38" t="n">
        <v>195.862703981589</v>
      </c>
      <c r="J463" s="38" t="n">
        <v>189.984548762967</v>
      </c>
      <c r="K463" s="38" t="n">
        <v>198.865350216162</v>
      </c>
      <c r="L463" s="38" t="n">
        <v>116.972436665036</v>
      </c>
      <c r="M463" s="38" t="n">
        <v>97.9354184797763</v>
      </c>
      <c r="N463" s="38" t="n">
        <v>94.6149490809711</v>
      </c>
      <c r="O463" s="38" t="n">
        <v>64.1834309640092</v>
      </c>
      <c r="P463" s="37" t="n">
        <v>0</v>
      </c>
      <c r="Q463" s="38" t="n">
        <v>0</v>
      </c>
      <c r="R463" s="38" t="n">
        <v>72</v>
      </c>
      <c r="S463" s="37" t="n">
        <v>1</v>
      </c>
    </row>
    <row r="464" customFormat="false" ht="15" hidden="false" customHeight="false" outlineLevel="0" collapsed="false">
      <c r="A464" s="37" t="n">
        <v>0</v>
      </c>
      <c r="B464" s="37" t="n">
        <v>5</v>
      </c>
      <c r="C464" s="37" t="n">
        <v>0</v>
      </c>
      <c r="D464" s="37" t="n">
        <v>5</v>
      </c>
      <c r="E464" s="37" t="n">
        <v>5</v>
      </c>
      <c r="F464" s="37" t="n">
        <v>15</v>
      </c>
      <c r="G464" s="37" t="s">
        <v>196</v>
      </c>
      <c r="H464" s="38" t="n">
        <v>198.39011722002</v>
      </c>
      <c r="I464" s="38" t="n">
        <v>195.854065995096</v>
      </c>
      <c r="J464" s="38" t="n">
        <v>190.248322734167</v>
      </c>
      <c r="K464" s="38" t="n">
        <v>199.154458113021</v>
      </c>
      <c r="L464" s="38" t="n">
        <v>123.117246032417</v>
      </c>
      <c r="M464" s="38" t="n">
        <v>96.2152082980291</v>
      </c>
      <c r="N464" s="38" t="n">
        <v>93.4852454885762</v>
      </c>
      <c r="O464" s="38" t="n">
        <v>62.3616927675451</v>
      </c>
      <c r="P464" s="37" t="n">
        <v>0</v>
      </c>
      <c r="Q464" s="38" t="n">
        <v>0</v>
      </c>
      <c r="R464" s="38" t="n">
        <v>71.1044024339884</v>
      </c>
      <c r="S464" s="37" t="n">
        <v>0</v>
      </c>
    </row>
    <row r="465" customFormat="false" ht="15" hidden="false" customHeight="false" outlineLevel="0" collapsed="false">
      <c r="A465" s="37" t="n">
        <v>0</v>
      </c>
      <c r="B465" s="37" t="n">
        <v>5</v>
      </c>
      <c r="C465" s="37" t="n">
        <v>0</v>
      </c>
      <c r="D465" s="37" t="n">
        <v>5</v>
      </c>
      <c r="E465" s="37" t="n">
        <v>10</v>
      </c>
      <c r="F465" s="37" t="n">
        <v>10</v>
      </c>
      <c r="G465" s="37" t="s">
        <v>188</v>
      </c>
      <c r="H465" s="38" t="n">
        <v>198.422688888431</v>
      </c>
      <c r="I465" s="38" t="n">
        <v>196.184384158494</v>
      </c>
      <c r="J465" s="38" t="n">
        <v>188.905113140572</v>
      </c>
      <c r="K465" s="38" t="n">
        <v>198.811656490774</v>
      </c>
      <c r="L465" s="38" t="n">
        <v>74.3866126427062</v>
      </c>
      <c r="M465" s="38" t="n">
        <v>94.1480619538628</v>
      </c>
      <c r="N465" s="38" t="n">
        <v>86.990377820488</v>
      </c>
      <c r="O465" s="38" t="n">
        <v>58.0744994824987</v>
      </c>
      <c r="P465" s="37" t="n">
        <v>0</v>
      </c>
      <c r="Q465" s="38" t="n">
        <v>0</v>
      </c>
      <c r="R465" s="38" t="n">
        <v>72</v>
      </c>
      <c r="S465" s="37" t="n">
        <v>0</v>
      </c>
    </row>
    <row r="466" customFormat="false" ht="15" hidden="false" customHeight="false" outlineLevel="0" collapsed="false">
      <c r="A466" s="37" t="n">
        <v>0</v>
      </c>
      <c r="B466" s="37" t="n">
        <v>5</v>
      </c>
      <c r="C466" s="37" t="n">
        <v>0</v>
      </c>
      <c r="D466" s="37" t="n">
        <v>5</v>
      </c>
      <c r="E466" s="37" t="n">
        <v>10</v>
      </c>
      <c r="F466" s="37" t="n">
        <v>10</v>
      </c>
      <c r="G466" s="37" t="s">
        <v>192</v>
      </c>
      <c r="H466" s="38" t="n">
        <v>198.422688888431</v>
      </c>
      <c r="I466" s="38" t="n">
        <v>196.186880351854</v>
      </c>
      <c r="J466" s="38" t="n">
        <v>192.703366205159</v>
      </c>
      <c r="K466" s="38" t="n">
        <v>203.784019076656</v>
      </c>
      <c r="L466" s="38" t="n">
        <v>82.4687900780301</v>
      </c>
      <c r="M466" s="38" t="n">
        <v>93.2881882866439</v>
      </c>
      <c r="N466" s="38" t="n">
        <v>94.7733678553979</v>
      </c>
      <c r="O466" s="38" t="n">
        <v>63.0304156182832</v>
      </c>
      <c r="P466" s="37" t="n">
        <v>0</v>
      </c>
      <c r="Q466" s="38" t="n">
        <v>0</v>
      </c>
      <c r="R466" s="38" t="n">
        <v>72</v>
      </c>
      <c r="S466" s="37" t="n">
        <v>0</v>
      </c>
    </row>
    <row r="467" customFormat="false" ht="15" hidden="false" customHeight="false" outlineLevel="0" collapsed="false">
      <c r="A467" s="37" t="n">
        <v>0</v>
      </c>
      <c r="B467" s="37" t="n">
        <v>5</v>
      </c>
      <c r="C467" s="37" t="n">
        <v>0</v>
      </c>
      <c r="D467" s="37" t="n">
        <v>5</v>
      </c>
      <c r="E467" s="37" t="n">
        <v>10</v>
      </c>
      <c r="F467" s="37" t="n">
        <v>10</v>
      </c>
      <c r="G467" s="37" t="s">
        <v>195</v>
      </c>
      <c r="H467" s="38" t="n">
        <v>198.422688888431</v>
      </c>
      <c r="I467" s="38" t="n">
        <v>196.227697105673</v>
      </c>
      <c r="J467" s="38" t="n">
        <v>190.51579914511</v>
      </c>
      <c r="K467" s="38" t="n">
        <v>198.290725257416</v>
      </c>
      <c r="L467" s="38" t="n">
        <v>80.5668558697664</v>
      </c>
      <c r="M467" s="38" t="n">
        <v>95.84904444416</v>
      </c>
      <c r="N467" s="38" t="n">
        <v>91.8450269339359</v>
      </c>
      <c r="O467" s="38" t="n">
        <v>60.6933920643559</v>
      </c>
      <c r="P467" s="37" t="n">
        <v>0</v>
      </c>
      <c r="Q467" s="38" t="n">
        <v>0</v>
      </c>
      <c r="R467" s="38" t="n">
        <v>70.3578391837052</v>
      </c>
      <c r="S467" s="37" t="n">
        <v>0</v>
      </c>
    </row>
    <row r="468" customFormat="false" ht="15" hidden="false" customHeight="false" outlineLevel="0" collapsed="false">
      <c r="A468" s="37" t="n">
        <v>0</v>
      </c>
      <c r="B468" s="37" t="n">
        <v>5</v>
      </c>
      <c r="C468" s="37" t="n">
        <v>0</v>
      </c>
      <c r="D468" s="37" t="n">
        <v>5</v>
      </c>
      <c r="E468" s="37" t="n">
        <v>10</v>
      </c>
      <c r="F468" s="37" t="n">
        <v>10</v>
      </c>
      <c r="G468" s="37" t="s">
        <v>197</v>
      </c>
      <c r="H468" s="38" t="n">
        <v>198.422688888431</v>
      </c>
      <c r="I468" s="38" t="n">
        <v>196.2151379964</v>
      </c>
      <c r="J468" s="38" t="n">
        <v>193.487109843519</v>
      </c>
      <c r="K468" s="38" t="n">
        <v>205.145289159471</v>
      </c>
      <c r="L468" s="38" t="n">
        <v>83.9920137709076</v>
      </c>
      <c r="M468" s="38" t="n">
        <v>102.11887883958</v>
      </c>
      <c r="N468" s="38" t="n">
        <v>109.552549939599</v>
      </c>
      <c r="O468" s="38" t="n">
        <v>65.8162234414173</v>
      </c>
      <c r="P468" s="37" t="n">
        <v>0</v>
      </c>
      <c r="Q468" s="38" t="n">
        <v>0</v>
      </c>
      <c r="R468" s="38" t="n">
        <v>72</v>
      </c>
      <c r="S468" s="37" t="n">
        <v>1</v>
      </c>
    </row>
    <row r="469" customFormat="false" ht="15" hidden="false" customHeight="false" outlineLevel="0" collapsed="false">
      <c r="A469" s="37" t="n">
        <v>0</v>
      </c>
      <c r="B469" s="37" t="n">
        <v>5</v>
      </c>
      <c r="C469" s="37" t="n">
        <v>0</v>
      </c>
      <c r="D469" s="37" t="n">
        <v>5</v>
      </c>
      <c r="E469" s="37" t="n">
        <v>10</v>
      </c>
      <c r="F469" s="37" t="n">
        <v>10</v>
      </c>
      <c r="G469" s="37" t="s">
        <v>196</v>
      </c>
      <c r="H469" s="38" t="n">
        <v>198.422688888431</v>
      </c>
      <c r="I469" s="38" t="n">
        <v>196.187565756504</v>
      </c>
      <c r="J469" s="38" t="n">
        <v>192.793271943153</v>
      </c>
      <c r="K469" s="38" t="n">
        <v>204.05366895815</v>
      </c>
      <c r="L469" s="38" t="n">
        <v>88.0149597759221</v>
      </c>
      <c r="M469" s="38" t="n">
        <v>98.1633740266775</v>
      </c>
      <c r="N469" s="38" t="n">
        <v>101.219930936373</v>
      </c>
      <c r="O469" s="38" t="n">
        <v>62.8965544478688</v>
      </c>
      <c r="P469" s="37" t="n">
        <v>0</v>
      </c>
      <c r="Q469" s="38" t="n">
        <v>0</v>
      </c>
      <c r="R469" s="38" t="n">
        <v>71.1040431295986</v>
      </c>
      <c r="S469" s="37" t="n">
        <v>0</v>
      </c>
    </row>
    <row r="470" customFormat="false" ht="15" hidden="false" customHeight="false" outlineLevel="0" collapsed="false">
      <c r="A470" s="37" t="n">
        <v>0</v>
      </c>
      <c r="B470" s="37" t="n">
        <v>5</v>
      </c>
      <c r="C470" s="37" t="n">
        <v>0</v>
      </c>
      <c r="D470" s="37" t="n">
        <v>5</v>
      </c>
      <c r="E470" s="37" t="n">
        <v>15</v>
      </c>
      <c r="F470" s="37" t="n">
        <v>5</v>
      </c>
      <c r="G470" s="37" t="s">
        <v>188</v>
      </c>
      <c r="H470" s="38" t="n">
        <v>198.44920700143</v>
      </c>
      <c r="I470" s="38" t="n">
        <v>196.422240525854</v>
      </c>
      <c r="J470" s="38" t="n">
        <v>190.739627581449</v>
      </c>
      <c r="K470" s="38" t="n">
        <v>202.343950545718</v>
      </c>
      <c r="L470" s="38" t="n">
        <v>38.1376272317898</v>
      </c>
      <c r="M470" s="38" t="n">
        <v>95.2140451636107</v>
      </c>
      <c r="N470" s="38" t="n">
        <v>89.9869432961658</v>
      </c>
      <c r="O470" s="38" t="n">
        <v>57.6481595388648</v>
      </c>
      <c r="P470" s="37" t="n">
        <v>0</v>
      </c>
      <c r="Q470" s="38" t="n">
        <v>0</v>
      </c>
      <c r="R470" s="38" t="n">
        <v>72</v>
      </c>
      <c r="S470" s="37" t="n">
        <v>0</v>
      </c>
    </row>
    <row r="471" customFormat="false" ht="15" hidden="false" customHeight="false" outlineLevel="0" collapsed="false">
      <c r="A471" s="37" t="n">
        <v>0</v>
      </c>
      <c r="B471" s="37" t="n">
        <v>5</v>
      </c>
      <c r="C471" s="37" t="n">
        <v>0</v>
      </c>
      <c r="D471" s="37" t="n">
        <v>5</v>
      </c>
      <c r="E471" s="37" t="n">
        <v>15</v>
      </c>
      <c r="F471" s="37" t="n">
        <v>5</v>
      </c>
      <c r="G471" s="37" t="s">
        <v>192</v>
      </c>
      <c r="H471" s="38" t="n">
        <v>198.44920700143</v>
      </c>
      <c r="I471" s="38" t="n">
        <v>196.425300202504</v>
      </c>
      <c r="J471" s="38" t="n">
        <v>194.480135997557</v>
      </c>
      <c r="K471" s="38" t="n">
        <v>207.243126104438</v>
      </c>
      <c r="L471" s="38" t="n">
        <v>45.9178707627996</v>
      </c>
      <c r="M471" s="38" t="n">
        <v>94.3265081031783</v>
      </c>
      <c r="N471" s="38" t="n">
        <v>99.1593529587344</v>
      </c>
      <c r="O471" s="38" t="n">
        <v>62.6681326174595</v>
      </c>
      <c r="P471" s="37" t="n">
        <v>0</v>
      </c>
      <c r="Q471" s="38" t="n">
        <v>0</v>
      </c>
      <c r="R471" s="38" t="n">
        <v>72</v>
      </c>
      <c r="S471" s="37" t="n">
        <v>0</v>
      </c>
    </row>
    <row r="472" customFormat="false" ht="15" hidden="false" customHeight="false" outlineLevel="0" collapsed="false">
      <c r="A472" s="37" t="n">
        <v>0</v>
      </c>
      <c r="B472" s="37" t="n">
        <v>5</v>
      </c>
      <c r="C472" s="37" t="n">
        <v>0</v>
      </c>
      <c r="D472" s="37" t="n">
        <v>5</v>
      </c>
      <c r="E472" s="37" t="n">
        <v>15</v>
      </c>
      <c r="F472" s="37" t="n">
        <v>5</v>
      </c>
      <c r="G472" s="37" t="s">
        <v>195</v>
      </c>
      <c r="H472" s="38" t="n">
        <v>198.44920700143</v>
      </c>
      <c r="I472" s="38" t="n">
        <v>196.473207164418</v>
      </c>
      <c r="J472" s="38" t="n">
        <v>192.438704302523</v>
      </c>
      <c r="K472" s="38" t="n">
        <v>201.996430339975</v>
      </c>
      <c r="L472" s="38" t="n">
        <v>44.2554486021331</v>
      </c>
      <c r="M472" s="38" t="n">
        <v>96.9118361051827</v>
      </c>
      <c r="N472" s="38" t="n">
        <v>96.5767579979287</v>
      </c>
      <c r="O472" s="38" t="n">
        <v>60.5562267066915</v>
      </c>
      <c r="P472" s="37" t="n">
        <v>0</v>
      </c>
      <c r="Q472" s="38" t="n">
        <v>0</v>
      </c>
      <c r="R472" s="38" t="n">
        <v>70.3527054786475</v>
      </c>
      <c r="S472" s="37" t="n">
        <v>0</v>
      </c>
    </row>
    <row r="473" customFormat="false" ht="15" hidden="false" customHeight="false" outlineLevel="0" collapsed="false">
      <c r="A473" s="37" t="n">
        <v>0</v>
      </c>
      <c r="B473" s="37" t="n">
        <v>5</v>
      </c>
      <c r="C473" s="37" t="n">
        <v>0</v>
      </c>
      <c r="D473" s="37" t="n">
        <v>5</v>
      </c>
      <c r="E473" s="37" t="n">
        <v>15</v>
      </c>
      <c r="F473" s="37" t="n">
        <v>5</v>
      </c>
      <c r="G473" s="37" t="s">
        <v>197</v>
      </c>
      <c r="H473" s="38" t="n">
        <v>198.44920700143</v>
      </c>
      <c r="I473" s="38" t="n">
        <v>196.470062530633</v>
      </c>
      <c r="J473" s="38" t="n">
        <v>194.309756513985</v>
      </c>
      <c r="K473" s="38" t="n">
        <v>207.430232668708</v>
      </c>
      <c r="L473" s="38" t="n">
        <v>50.9302326687079</v>
      </c>
      <c r="M473" s="38" t="n">
        <v>104.841424302274</v>
      </c>
      <c r="N473" s="38" t="n">
        <v>110.910951802505</v>
      </c>
      <c r="O473" s="38" t="n">
        <v>64.905226256168</v>
      </c>
      <c r="P473" s="37" t="n">
        <v>0</v>
      </c>
      <c r="Q473" s="38" t="n">
        <v>0</v>
      </c>
      <c r="R473" s="38" t="n">
        <v>72</v>
      </c>
      <c r="S473" s="37" t="n">
        <v>1</v>
      </c>
    </row>
    <row r="474" customFormat="false" ht="15" hidden="false" customHeight="false" outlineLevel="0" collapsed="false">
      <c r="A474" s="37" t="n">
        <v>0</v>
      </c>
      <c r="B474" s="37" t="n">
        <v>5</v>
      </c>
      <c r="C474" s="37" t="n">
        <v>0</v>
      </c>
      <c r="D474" s="37" t="n">
        <v>5</v>
      </c>
      <c r="E474" s="37" t="n">
        <v>15</v>
      </c>
      <c r="F474" s="37" t="n">
        <v>5</v>
      </c>
      <c r="G474" s="37" t="s">
        <v>196</v>
      </c>
      <c r="H474" s="38" t="n">
        <v>198.44920700143</v>
      </c>
      <c r="I474" s="38" t="n">
        <v>196.426755936809</v>
      </c>
      <c r="J474" s="38" t="n">
        <v>194.557997100267</v>
      </c>
      <c r="K474" s="38" t="n">
        <v>207.511969935522</v>
      </c>
      <c r="L474" s="38" t="n">
        <v>51.4698647697297</v>
      </c>
      <c r="M474" s="38" t="n">
        <v>99.5275115183974</v>
      </c>
      <c r="N474" s="38" t="n">
        <v>105.612861747565</v>
      </c>
      <c r="O474" s="38" t="n">
        <v>62.4268960405411</v>
      </c>
      <c r="P474" s="37" t="n">
        <v>0</v>
      </c>
      <c r="Q474" s="38" t="n">
        <v>0</v>
      </c>
      <c r="R474" s="38" t="n">
        <v>71.1032280935431</v>
      </c>
      <c r="S474" s="37" t="n">
        <v>0</v>
      </c>
    </row>
    <row r="475" customFormat="false" ht="15" hidden="false" customHeight="false" outlineLevel="0" collapsed="false">
      <c r="A475" s="37" t="n">
        <v>0</v>
      </c>
      <c r="B475" s="37" t="n">
        <v>5</v>
      </c>
      <c r="C475" s="37" t="n">
        <v>0</v>
      </c>
      <c r="D475" s="37" t="n">
        <v>5</v>
      </c>
      <c r="E475" s="37" t="n">
        <v>20</v>
      </c>
      <c r="F475" s="37" t="n">
        <v>0</v>
      </c>
      <c r="G475" s="37" t="s">
        <v>188</v>
      </c>
      <c r="H475" s="38" t="n">
        <v>198.474515848408</v>
      </c>
      <c r="I475" s="38" t="n">
        <v>196.644147352621</v>
      </c>
      <c r="J475" s="38" t="n">
        <v>192.163126778101</v>
      </c>
      <c r="K475" s="38" t="n">
        <v>205.446638676185</v>
      </c>
      <c r="L475" s="38" t="n">
        <v>24.9724923298511</v>
      </c>
      <c r="M475" s="38" t="n">
        <v>96.2285241364918</v>
      </c>
      <c r="N475" s="38" t="n">
        <v>81.5727793059652</v>
      </c>
      <c r="O475" s="38" t="n">
        <v>54.4241162014846</v>
      </c>
      <c r="P475" s="37" t="n">
        <v>0</v>
      </c>
      <c r="Q475" s="38" t="n">
        <v>0.0275076701488786</v>
      </c>
      <c r="R475" s="38" t="n">
        <v>72</v>
      </c>
      <c r="S475" s="37" t="n">
        <v>0</v>
      </c>
    </row>
    <row r="476" customFormat="false" ht="15" hidden="false" customHeight="false" outlineLevel="0" collapsed="false">
      <c r="A476" s="37" t="n">
        <v>0</v>
      </c>
      <c r="B476" s="37" t="n">
        <v>5</v>
      </c>
      <c r="C476" s="37" t="n">
        <v>0</v>
      </c>
      <c r="D476" s="37" t="n">
        <v>5</v>
      </c>
      <c r="E476" s="37" t="n">
        <v>20</v>
      </c>
      <c r="F476" s="37" t="n">
        <v>0</v>
      </c>
      <c r="G476" s="37" t="s">
        <v>192</v>
      </c>
      <c r="H476" s="38" t="n">
        <v>198.474515848408</v>
      </c>
      <c r="I476" s="38" t="n">
        <v>196.647313005453</v>
      </c>
      <c r="J476" s="38" t="n">
        <v>196.005450403995</v>
      </c>
      <c r="K476" s="38" t="n">
        <v>210.336029071507</v>
      </c>
      <c r="L476" s="38" t="n">
        <v>24.9883357810649</v>
      </c>
      <c r="M476" s="38" t="n">
        <v>95.3097008560362</v>
      </c>
      <c r="N476" s="38" t="n">
        <v>89.521438874515</v>
      </c>
      <c r="O476" s="38" t="n">
        <v>59.7613853399446</v>
      </c>
      <c r="P476" s="37" t="n">
        <v>0</v>
      </c>
      <c r="Q476" s="38" t="n">
        <v>0.0116642189351239</v>
      </c>
      <c r="R476" s="38" t="n">
        <v>72</v>
      </c>
      <c r="S476" s="37" t="n">
        <v>0</v>
      </c>
    </row>
    <row r="477" customFormat="false" ht="15" hidden="false" customHeight="false" outlineLevel="0" collapsed="false">
      <c r="A477" s="37" t="n">
        <v>0</v>
      </c>
      <c r="B477" s="37" t="n">
        <v>5</v>
      </c>
      <c r="C477" s="37" t="n">
        <v>0</v>
      </c>
      <c r="D477" s="37" t="n">
        <v>5</v>
      </c>
      <c r="E477" s="37" t="n">
        <v>20</v>
      </c>
      <c r="F477" s="37" t="n">
        <v>0</v>
      </c>
      <c r="G477" s="37" t="s">
        <v>195</v>
      </c>
      <c r="H477" s="38" t="n">
        <v>198.474515848408</v>
      </c>
      <c r="I477" s="38" t="n">
        <v>196.702328730304</v>
      </c>
      <c r="J477" s="38" t="n">
        <v>193.984388261369</v>
      </c>
      <c r="K477" s="38" t="n">
        <v>205.210618430836</v>
      </c>
      <c r="L477" s="38" t="n">
        <v>24.9927282128192</v>
      </c>
      <c r="M477" s="38" t="n">
        <v>97.9194309687017</v>
      </c>
      <c r="N477" s="38" t="n">
        <v>86.8649899070932</v>
      </c>
      <c r="O477" s="38" t="n">
        <v>57.6422145022334</v>
      </c>
      <c r="P477" s="37" t="n">
        <v>0</v>
      </c>
      <c r="Q477" s="38" t="n">
        <v>0.00727178718085497</v>
      </c>
      <c r="R477" s="38" t="n">
        <v>70.3408297184222</v>
      </c>
      <c r="S477" s="37" t="n">
        <v>0</v>
      </c>
    </row>
    <row r="478" customFormat="false" ht="15" hidden="false" customHeight="false" outlineLevel="0" collapsed="false">
      <c r="A478" s="37" t="n">
        <v>0</v>
      </c>
      <c r="B478" s="37" t="n">
        <v>5</v>
      </c>
      <c r="C478" s="37" t="n">
        <v>0</v>
      </c>
      <c r="D478" s="37" t="n">
        <v>5</v>
      </c>
      <c r="E478" s="37" t="n">
        <v>20</v>
      </c>
      <c r="F478" s="37" t="n">
        <v>0</v>
      </c>
      <c r="G478" s="37" t="s">
        <v>197</v>
      </c>
      <c r="H478" s="38" t="n">
        <v>198.474515848408</v>
      </c>
      <c r="I478" s="38" t="n">
        <v>196.711933420643</v>
      </c>
      <c r="J478" s="38" t="n">
        <v>196.493813799679</v>
      </c>
      <c r="K478" s="38" t="n">
        <v>211.54292626991</v>
      </c>
      <c r="L478" s="38" t="n">
        <v>30.0429262699101</v>
      </c>
      <c r="M478" s="38" t="n">
        <v>107.482524029367</v>
      </c>
      <c r="N478" s="38" t="n">
        <v>107.933017193624</v>
      </c>
      <c r="O478" s="38" t="n">
        <v>62.6425159223641</v>
      </c>
      <c r="P478" s="37" t="n">
        <v>0</v>
      </c>
      <c r="Q478" s="38" t="n">
        <v>0</v>
      </c>
      <c r="R478" s="38" t="n">
        <v>72</v>
      </c>
      <c r="S478" s="37" t="n">
        <v>1</v>
      </c>
    </row>
    <row r="479" customFormat="false" ht="15" hidden="false" customHeight="false" outlineLevel="0" collapsed="false">
      <c r="A479" s="37" t="n">
        <v>0</v>
      </c>
      <c r="B479" s="37" t="n">
        <v>5</v>
      </c>
      <c r="C479" s="37" t="n">
        <v>0</v>
      </c>
      <c r="D479" s="37" t="n">
        <v>5</v>
      </c>
      <c r="E479" s="37" t="n">
        <v>20</v>
      </c>
      <c r="F479" s="37" t="n">
        <v>0</v>
      </c>
      <c r="G479" s="37" t="s">
        <v>196</v>
      </c>
      <c r="H479" s="38" t="n">
        <v>198.474515848408</v>
      </c>
      <c r="I479" s="38" t="n">
        <v>196.649391316181</v>
      </c>
      <c r="J479" s="38" t="n">
        <v>196.013133754647</v>
      </c>
      <c r="K479" s="38" t="n">
        <v>210.566161957765</v>
      </c>
      <c r="L479" s="38" t="n">
        <v>25.0753271637966</v>
      </c>
      <c r="M479" s="38" t="n">
        <v>100.825105003413</v>
      </c>
      <c r="N479" s="38" t="n">
        <v>95.9868897521311</v>
      </c>
      <c r="O479" s="38" t="n">
        <v>59.1382515385433</v>
      </c>
      <c r="P479" s="37" t="n">
        <v>0</v>
      </c>
      <c r="Q479" s="38" t="n">
        <v>0</v>
      </c>
      <c r="R479" s="38" t="n">
        <v>71.1021996494477</v>
      </c>
      <c r="S479" s="37" t="n">
        <v>0</v>
      </c>
    </row>
    <row r="480" customFormat="false" ht="15" hidden="false" customHeight="false" outlineLevel="0" collapsed="false">
      <c r="A480" s="37" t="n">
        <v>0</v>
      </c>
      <c r="B480" s="37" t="n">
        <v>5</v>
      </c>
      <c r="C480" s="37" t="n">
        <v>0</v>
      </c>
      <c r="D480" s="37" t="n">
        <v>10</v>
      </c>
      <c r="E480" s="37" t="n">
        <v>0</v>
      </c>
      <c r="F480" s="37" t="n">
        <v>15</v>
      </c>
      <c r="G480" s="37" t="s">
        <v>188</v>
      </c>
      <c r="H480" s="38" t="n">
        <v>198.583851820681</v>
      </c>
      <c r="I480" s="38" t="n">
        <v>196.446916243609</v>
      </c>
      <c r="J480" s="38" t="n">
        <v>186.238324025723</v>
      </c>
      <c r="K480" s="38" t="n">
        <v>187.764801067854</v>
      </c>
      <c r="L480" s="38" t="n">
        <v>114.581514093766</v>
      </c>
      <c r="M480" s="38" t="n">
        <v>92.0283631955733</v>
      </c>
      <c r="N480" s="38" t="n">
        <v>74.13119293338</v>
      </c>
      <c r="O480" s="38" t="n">
        <v>55.3763441572222</v>
      </c>
      <c r="P480" s="37" t="n">
        <v>0</v>
      </c>
      <c r="Q480" s="38" t="n">
        <v>0</v>
      </c>
      <c r="R480" s="38" t="n">
        <v>72</v>
      </c>
      <c r="S480" s="37" t="n">
        <v>0</v>
      </c>
    </row>
    <row r="481" customFormat="false" ht="15" hidden="false" customHeight="false" outlineLevel="0" collapsed="false">
      <c r="A481" s="37" t="n">
        <v>0</v>
      </c>
      <c r="B481" s="37" t="n">
        <v>5</v>
      </c>
      <c r="C481" s="37" t="n">
        <v>0</v>
      </c>
      <c r="D481" s="37" t="n">
        <v>10</v>
      </c>
      <c r="E481" s="37" t="n">
        <v>0</v>
      </c>
      <c r="F481" s="37" t="n">
        <v>15</v>
      </c>
      <c r="G481" s="37" t="s">
        <v>192</v>
      </c>
      <c r="H481" s="38" t="n">
        <v>198.583851820681</v>
      </c>
      <c r="I481" s="38" t="n">
        <v>196.449524095926</v>
      </c>
      <c r="J481" s="38" t="n">
        <v>190.254424822865</v>
      </c>
      <c r="K481" s="38" t="n">
        <v>192.943072543802</v>
      </c>
      <c r="L481" s="38" t="n">
        <v>123.133188380254</v>
      </c>
      <c r="M481" s="38" t="n">
        <v>91.1763999709248</v>
      </c>
      <c r="N481" s="38" t="n">
        <v>82.7962603565853</v>
      </c>
      <c r="O481" s="38" t="n">
        <v>60.300276205142</v>
      </c>
      <c r="P481" s="37" t="n">
        <v>0</v>
      </c>
      <c r="Q481" s="38" t="n">
        <v>0</v>
      </c>
      <c r="R481" s="38" t="n">
        <v>72</v>
      </c>
      <c r="S481" s="37" t="n">
        <v>0</v>
      </c>
    </row>
    <row r="482" customFormat="false" ht="15" hidden="false" customHeight="false" outlineLevel="0" collapsed="false">
      <c r="A482" s="37" t="n">
        <v>0</v>
      </c>
      <c r="B482" s="37" t="n">
        <v>5</v>
      </c>
      <c r="C482" s="37" t="n">
        <v>0</v>
      </c>
      <c r="D482" s="37" t="n">
        <v>10</v>
      </c>
      <c r="E482" s="37" t="n">
        <v>0</v>
      </c>
      <c r="F482" s="37" t="n">
        <v>15</v>
      </c>
      <c r="G482" s="37" t="s">
        <v>195</v>
      </c>
      <c r="H482" s="38" t="n">
        <v>198.583851820681</v>
      </c>
      <c r="I482" s="38" t="n">
        <v>196.5293812612</v>
      </c>
      <c r="J482" s="38" t="n">
        <v>188.22936465963</v>
      </c>
      <c r="K482" s="38" t="n">
        <v>190.717957611627</v>
      </c>
      <c r="L482" s="38" t="n">
        <v>128.717957611627</v>
      </c>
      <c r="M482" s="38" t="n">
        <v>95.0418419445956</v>
      </c>
      <c r="N482" s="38" t="n">
        <v>84.2175618592826</v>
      </c>
      <c r="O482" s="38" t="n">
        <v>58.9898360851489</v>
      </c>
      <c r="P482" s="37" t="n">
        <v>0</v>
      </c>
      <c r="Q482" s="38" t="n">
        <v>0</v>
      </c>
      <c r="R482" s="38" t="n">
        <v>67.3045582218624</v>
      </c>
      <c r="S482" s="37" t="n">
        <v>0</v>
      </c>
    </row>
    <row r="483" customFormat="false" ht="15" hidden="false" customHeight="false" outlineLevel="0" collapsed="false">
      <c r="A483" s="37" t="n">
        <v>0</v>
      </c>
      <c r="B483" s="37" t="n">
        <v>5</v>
      </c>
      <c r="C483" s="37" t="n">
        <v>0</v>
      </c>
      <c r="D483" s="37" t="n">
        <v>10</v>
      </c>
      <c r="E483" s="37" t="n">
        <v>0</v>
      </c>
      <c r="F483" s="37" t="n">
        <v>15</v>
      </c>
      <c r="G483" s="37" t="s">
        <v>197</v>
      </c>
      <c r="H483" s="38" t="n">
        <v>198.583851820681</v>
      </c>
      <c r="I483" s="38" t="n">
        <v>196.449073756723</v>
      </c>
      <c r="J483" s="38" t="n">
        <v>189.518796862697</v>
      </c>
      <c r="K483" s="38" t="n">
        <v>192.030657193354</v>
      </c>
      <c r="L483" s="38" t="n">
        <v>124.770446145682</v>
      </c>
      <c r="M483" s="38" t="n">
        <v>93.8317345031193</v>
      </c>
      <c r="N483" s="38" t="n">
        <v>79.0317818497479</v>
      </c>
      <c r="O483" s="38" t="n">
        <v>57.4441486882688</v>
      </c>
      <c r="P483" s="37" t="n">
        <v>0</v>
      </c>
      <c r="Q483" s="38" t="n">
        <v>0</v>
      </c>
      <c r="R483" s="38" t="n">
        <v>72</v>
      </c>
      <c r="S483" s="37" t="n">
        <v>0</v>
      </c>
    </row>
    <row r="484" customFormat="false" ht="15" hidden="false" customHeight="false" outlineLevel="0" collapsed="false">
      <c r="A484" s="37" t="n">
        <v>0</v>
      </c>
      <c r="B484" s="37" t="n">
        <v>5</v>
      </c>
      <c r="C484" s="37" t="n">
        <v>0</v>
      </c>
      <c r="D484" s="37" t="n">
        <v>10</v>
      </c>
      <c r="E484" s="37" t="n">
        <v>0</v>
      </c>
      <c r="F484" s="37" t="n">
        <v>15</v>
      </c>
      <c r="G484" s="37" t="s">
        <v>196</v>
      </c>
      <c r="H484" s="38" t="n">
        <v>198.583851820681</v>
      </c>
      <c r="I484" s="38" t="n">
        <v>196.44921193126</v>
      </c>
      <c r="J484" s="38" t="n">
        <v>183.533647910052</v>
      </c>
      <c r="K484" s="38" t="n">
        <v>195.249313489565</v>
      </c>
      <c r="L484" s="38" t="n">
        <v>121.69375793401</v>
      </c>
      <c r="M484" s="38" t="n">
        <v>95.3248488954379</v>
      </c>
      <c r="N484" s="38" t="n">
        <v>86.4025804542323</v>
      </c>
      <c r="O484" s="38" t="n">
        <v>59.7800936377671</v>
      </c>
      <c r="P484" s="37" t="n">
        <v>0</v>
      </c>
      <c r="Q484" s="38" t="n">
        <v>0</v>
      </c>
      <c r="R484" s="38" t="n">
        <v>70.7373333333333</v>
      </c>
      <c r="S484" s="37" t="n">
        <v>1</v>
      </c>
    </row>
    <row r="485" customFormat="false" ht="15" hidden="false" customHeight="false" outlineLevel="0" collapsed="false">
      <c r="A485" s="37" t="n">
        <v>0</v>
      </c>
      <c r="B485" s="37" t="n">
        <v>5</v>
      </c>
      <c r="C485" s="37" t="n">
        <v>0</v>
      </c>
      <c r="D485" s="37" t="n">
        <v>10</v>
      </c>
      <c r="E485" s="37" t="n">
        <v>5</v>
      </c>
      <c r="F485" s="37" t="n">
        <v>10</v>
      </c>
      <c r="G485" s="37" t="s">
        <v>188</v>
      </c>
      <c r="H485" s="38" t="n">
        <v>198.62089981123</v>
      </c>
      <c r="I485" s="38" t="n">
        <v>196.785512717652</v>
      </c>
      <c r="J485" s="38" t="n">
        <v>189.645238694949</v>
      </c>
      <c r="K485" s="38" t="n">
        <v>193.844786479226</v>
      </c>
      <c r="L485" s="38" t="n">
        <v>80.9319802967939</v>
      </c>
      <c r="M485" s="38" t="n">
        <v>93.5492399459999</v>
      </c>
      <c r="N485" s="38" t="n">
        <v>82.6974978856386</v>
      </c>
      <c r="O485" s="38" t="n">
        <v>55.6832658930774</v>
      </c>
      <c r="P485" s="37" t="n">
        <v>0</v>
      </c>
      <c r="Q485" s="38" t="n">
        <v>0</v>
      </c>
      <c r="R485" s="38" t="n">
        <v>72</v>
      </c>
      <c r="S485" s="37" t="n">
        <v>0</v>
      </c>
    </row>
    <row r="486" customFormat="false" ht="15" hidden="false" customHeight="false" outlineLevel="0" collapsed="false">
      <c r="A486" s="37" t="n">
        <v>0</v>
      </c>
      <c r="B486" s="37" t="n">
        <v>5</v>
      </c>
      <c r="C486" s="37" t="n">
        <v>0</v>
      </c>
      <c r="D486" s="37" t="n">
        <v>10</v>
      </c>
      <c r="E486" s="37" t="n">
        <v>5</v>
      </c>
      <c r="F486" s="37" t="n">
        <v>10</v>
      </c>
      <c r="G486" s="37" t="s">
        <v>192</v>
      </c>
      <c r="H486" s="38" t="n">
        <v>198.62089981123</v>
      </c>
      <c r="I486" s="38" t="n">
        <v>196.78813737897</v>
      </c>
      <c r="J486" s="38" t="n">
        <v>193.601241011574</v>
      </c>
      <c r="K486" s="38" t="n">
        <v>198.926885480334</v>
      </c>
      <c r="L486" s="38" t="n">
        <v>77.8583104070625</v>
      </c>
      <c r="M486" s="38" t="n">
        <v>92.6951480519221</v>
      </c>
      <c r="N486" s="38" t="n">
        <v>91.4851274096567</v>
      </c>
      <c r="O486" s="38" t="n">
        <v>63.220624668094</v>
      </c>
      <c r="P486" s="37" t="n">
        <v>0</v>
      </c>
      <c r="Q486" s="38" t="n">
        <v>0</v>
      </c>
      <c r="R486" s="38" t="n">
        <v>72</v>
      </c>
      <c r="S486" s="37" t="n">
        <v>0</v>
      </c>
    </row>
    <row r="487" customFormat="false" ht="15" hidden="false" customHeight="false" outlineLevel="0" collapsed="false">
      <c r="A487" s="37" t="n">
        <v>0</v>
      </c>
      <c r="B487" s="37" t="n">
        <v>5</v>
      </c>
      <c r="C487" s="37" t="n">
        <v>0</v>
      </c>
      <c r="D487" s="37" t="n">
        <v>10</v>
      </c>
      <c r="E487" s="37" t="n">
        <v>5</v>
      </c>
      <c r="F487" s="37" t="n">
        <v>10</v>
      </c>
      <c r="G487" s="37" t="s">
        <v>195</v>
      </c>
      <c r="H487" s="38" t="n">
        <v>198.62089981123</v>
      </c>
      <c r="I487" s="38" t="n">
        <v>196.882221395538</v>
      </c>
      <c r="J487" s="38" t="n">
        <v>191.693165684995</v>
      </c>
      <c r="K487" s="38" t="n">
        <v>197.02037695055</v>
      </c>
      <c r="L487" s="38" t="n">
        <v>95.0203769505496</v>
      </c>
      <c r="M487" s="38" t="n">
        <v>96.589984183631</v>
      </c>
      <c r="N487" s="38" t="n">
        <v>92.8193049999386</v>
      </c>
      <c r="O487" s="38" t="n">
        <v>59.6814167007052</v>
      </c>
      <c r="P487" s="37" t="n">
        <v>0</v>
      </c>
      <c r="Q487" s="38" t="n">
        <v>0</v>
      </c>
      <c r="R487" s="38" t="n">
        <v>67.2992972078227</v>
      </c>
      <c r="S487" s="37" t="n">
        <v>0</v>
      </c>
    </row>
    <row r="488" customFormat="false" ht="15" hidden="false" customHeight="false" outlineLevel="0" collapsed="false">
      <c r="A488" s="37" t="n">
        <v>0</v>
      </c>
      <c r="B488" s="37" t="n">
        <v>5</v>
      </c>
      <c r="C488" s="37" t="n">
        <v>0</v>
      </c>
      <c r="D488" s="37" t="n">
        <v>10</v>
      </c>
      <c r="E488" s="37" t="n">
        <v>5</v>
      </c>
      <c r="F488" s="37" t="n">
        <v>10</v>
      </c>
      <c r="G488" s="37" t="s">
        <v>197</v>
      </c>
      <c r="H488" s="38" t="n">
        <v>198.62089981123</v>
      </c>
      <c r="I488" s="38" t="n">
        <v>196.798027650656</v>
      </c>
      <c r="J488" s="38" t="n">
        <v>193.520687909167</v>
      </c>
      <c r="K488" s="38" t="n">
        <v>199.029625685726</v>
      </c>
      <c r="L488" s="38" t="n">
        <v>77.3470935588631</v>
      </c>
      <c r="M488" s="38" t="n">
        <v>98.759145176445</v>
      </c>
      <c r="N488" s="38" t="n">
        <v>98.0066231951984</v>
      </c>
      <c r="O488" s="38" t="n">
        <v>64.6759745725141</v>
      </c>
      <c r="P488" s="37" t="n">
        <v>0</v>
      </c>
      <c r="Q488" s="38" t="n">
        <v>0</v>
      </c>
      <c r="R488" s="38" t="n">
        <v>72</v>
      </c>
      <c r="S488" s="37" t="n">
        <v>1</v>
      </c>
    </row>
    <row r="489" customFormat="false" ht="15" hidden="false" customHeight="false" outlineLevel="0" collapsed="false">
      <c r="A489" s="37" t="n">
        <v>0</v>
      </c>
      <c r="B489" s="37" t="n">
        <v>5</v>
      </c>
      <c r="C489" s="37" t="n">
        <v>0</v>
      </c>
      <c r="D489" s="37" t="n">
        <v>10</v>
      </c>
      <c r="E489" s="37" t="n">
        <v>5</v>
      </c>
      <c r="F489" s="37" t="n">
        <v>10</v>
      </c>
      <c r="G489" s="37" t="s">
        <v>196</v>
      </c>
      <c r="H489" s="38" t="n">
        <v>198.62089981123</v>
      </c>
      <c r="I489" s="38" t="n">
        <v>196.788442456645</v>
      </c>
      <c r="J489" s="38" t="n">
        <v>186.432675526519</v>
      </c>
      <c r="K489" s="38" t="n">
        <v>200.698053669418</v>
      </c>
      <c r="L489" s="38" t="n">
        <v>87.1424981138629</v>
      </c>
      <c r="M489" s="38" t="n">
        <v>97.5149697650637</v>
      </c>
      <c r="N489" s="38" t="n">
        <v>95.7445555981667</v>
      </c>
      <c r="O489" s="38" t="n">
        <v>61.3892213972867</v>
      </c>
      <c r="P489" s="37" t="n">
        <v>0</v>
      </c>
      <c r="Q489" s="38" t="n">
        <v>0</v>
      </c>
      <c r="R489" s="38" t="n">
        <v>70.604</v>
      </c>
      <c r="S489" s="37" t="n">
        <v>0</v>
      </c>
    </row>
    <row r="490" customFormat="false" ht="15" hidden="false" customHeight="false" outlineLevel="0" collapsed="false">
      <c r="A490" s="37" t="n">
        <v>0</v>
      </c>
      <c r="B490" s="37" t="n">
        <v>5</v>
      </c>
      <c r="C490" s="37" t="n">
        <v>0</v>
      </c>
      <c r="D490" s="37" t="n">
        <v>10</v>
      </c>
      <c r="E490" s="37" t="n">
        <v>10</v>
      </c>
      <c r="F490" s="37" t="n">
        <v>5</v>
      </c>
      <c r="G490" s="37" t="s">
        <v>188</v>
      </c>
      <c r="H490" s="38" t="n">
        <v>198.646839942763</v>
      </c>
      <c r="I490" s="38" t="n">
        <v>197.101727467627</v>
      </c>
      <c r="J490" s="38" t="n">
        <v>192.493543386473</v>
      </c>
      <c r="K490" s="38" t="n">
        <v>198.973475141697</v>
      </c>
      <c r="L490" s="38" t="n">
        <v>35.0548483490763</v>
      </c>
      <c r="M490" s="38" t="n">
        <v>94.9193535364747</v>
      </c>
      <c r="N490" s="38" t="n">
        <v>86.118220989521</v>
      </c>
      <c r="O490" s="38" t="n">
        <v>58.634123659981</v>
      </c>
      <c r="P490" s="37" t="n">
        <v>0</v>
      </c>
      <c r="Q490" s="38" t="n">
        <v>0</v>
      </c>
      <c r="R490" s="38" t="n">
        <v>72</v>
      </c>
      <c r="S490" s="37" t="n">
        <v>0</v>
      </c>
    </row>
    <row r="491" customFormat="false" ht="15" hidden="false" customHeight="false" outlineLevel="0" collapsed="false">
      <c r="A491" s="37" t="n">
        <v>0</v>
      </c>
      <c r="B491" s="37" t="n">
        <v>5</v>
      </c>
      <c r="C491" s="37" t="n">
        <v>0</v>
      </c>
      <c r="D491" s="37" t="n">
        <v>10</v>
      </c>
      <c r="E491" s="37" t="n">
        <v>10</v>
      </c>
      <c r="F491" s="37" t="n">
        <v>5</v>
      </c>
      <c r="G491" s="37" t="s">
        <v>192</v>
      </c>
      <c r="H491" s="38" t="n">
        <v>198.646839942763</v>
      </c>
      <c r="I491" s="38" t="n">
        <v>197.104354577505</v>
      </c>
      <c r="J491" s="38" t="n">
        <v>196.215874579307</v>
      </c>
      <c r="K491" s="38" t="n">
        <v>203.834868179104</v>
      </c>
      <c r="L491" s="38" t="n">
        <v>42.7542984496498</v>
      </c>
      <c r="M491" s="38" t="n">
        <v>94.0398564603137</v>
      </c>
      <c r="N491" s="38" t="n">
        <v>97.9504678461531</v>
      </c>
      <c r="O491" s="38" t="n">
        <v>63.2361370376795</v>
      </c>
      <c r="P491" s="37" t="n">
        <v>0</v>
      </c>
      <c r="Q491" s="38" t="n">
        <v>0</v>
      </c>
      <c r="R491" s="38" t="n">
        <v>72</v>
      </c>
      <c r="S491" s="37" t="n">
        <v>0</v>
      </c>
    </row>
    <row r="492" customFormat="false" ht="15" hidden="false" customHeight="false" outlineLevel="0" collapsed="false">
      <c r="A492" s="37" t="n">
        <v>0</v>
      </c>
      <c r="B492" s="37" t="n">
        <v>5</v>
      </c>
      <c r="C492" s="37" t="n">
        <v>0</v>
      </c>
      <c r="D492" s="37" t="n">
        <v>10</v>
      </c>
      <c r="E492" s="37" t="n">
        <v>10</v>
      </c>
      <c r="F492" s="37" t="n">
        <v>5</v>
      </c>
      <c r="G492" s="37" t="s">
        <v>195</v>
      </c>
      <c r="H492" s="38" t="n">
        <v>198.646839942763</v>
      </c>
      <c r="I492" s="38" t="n">
        <v>197.210431717266</v>
      </c>
      <c r="J492" s="38" t="n">
        <v>194.56093412849</v>
      </c>
      <c r="K492" s="38" t="n">
        <v>202.32396590344</v>
      </c>
      <c r="L492" s="38" t="n">
        <v>49.0739659034404</v>
      </c>
      <c r="M492" s="38" t="n">
        <v>97.9559473689389</v>
      </c>
      <c r="N492" s="38" t="n">
        <v>100.143443545054</v>
      </c>
      <c r="O492" s="38" t="n">
        <v>62.4395203619123</v>
      </c>
      <c r="P492" s="37" t="n">
        <v>0</v>
      </c>
      <c r="Q492" s="38" t="n">
        <v>0</v>
      </c>
      <c r="R492" s="38" t="n">
        <v>67.2895360144921</v>
      </c>
      <c r="S492" s="37" t="n">
        <v>0</v>
      </c>
    </row>
    <row r="493" customFormat="false" ht="15" hidden="false" customHeight="false" outlineLevel="0" collapsed="false">
      <c r="A493" s="37" t="n">
        <v>0</v>
      </c>
      <c r="B493" s="37" t="n">
        <v>5</v>
      </c>
      <c r="C493" s="37" t="n">
        <v>0</v>
      </c>
      <c r="D493" s="37" t="n">
        <v>10</v>
      </c>
      <c r="E493" s="37" t="n">
        <v>10</v>
      </c>
      <c r="F493" s="37" t="n">
        <v>5</v>
      </c>
      <c r="G493" s="37" t="s">
        <v>197</v>
      </c>
      <c r="H493" s="38" t="n">
        <v>198.646839942763</v>
      </c>
      <c r="I493" s="38" t="n">
        <v>197.134171221333</v>
      </c>
      <c r="J493" s="38" t="n">
        <v>197.085352989848</v>
      </c>
      <c r="K493" s="38" t="n">
        <v>205.320638975462</v>
      </c>
      <c r="L493" s="38" t="n">
        <v>44.3654233668589</v>
      </c>
      <c r="M493" s="38" t="n">
        <v>102.839909587695</v>
      </c>
      <c r="N493" s="38" t="n">
        <v>112.929226961124</v>
      </c>
      <c r="O493" s="38" t="n">
        <v>66.3158300484529</v>
      </c>
      <c r="P493" s="37" t="n">
        <v>0</v>
      </c>
      <c r="Q493" s="38" t="n">
        <v>0</v>
      </c>
      <c r="R493" s="38" t="n">
        <v>72</v>
      </c>
      <c r="S493" s="37" t="n">
        <v>1</v>
      </c>
    </row>
    <row r="494" customFormat="false" ht="15" hidden="false" customHeight="false" outlineLevel="0" collapsed="false">
      <c r="A494" s="37" t="n">
        <v>0</v>
      </c>
      <c r="B494" s="37" t="n">
        <v>5</v>
      </c>
      <c r="C494" s="37" t="n">
        <v>0</v>
      </c>
      <c r="D494" s="37" t="n">
        <v>10</v>
      </c>
      <c r="E494" s="37" t="n">
        <v>10</v>
      </c>
      <c r="F494" s="37" t="n">
        <v>5</v>
      </c>
      <c r="G494" s="37" t="s">
        <v>196</v>
      </c>
      <c r="H494" s="38" t="n">
        <v>198.646839942763</v>
      </c>
      <c r="I494" s="38" t="n">
        <v>197.105220738239</v>
      </c>
      <c r="J494" s="38" t="n">
        <v>188.907258458987</v>
      </c>
      <c r="K494" s="38" t="n">
        <v>205.439606241283</v>
      </c>
      <c r="L494" s="38" t="n">
        <v>51.8840506857273</v>
      </c>
      <c r="M494" s="38" t="n">
        <v>99.3856682358174</v>
      </c>
      <c r="N494" s="38" t="n">
        <v>103.404667935733</v>
      </c>
      <c r="O494" s="38" t="n">
        <v>61.9078781415744</v>
      </c>
      <c r="P494" s="37" t="n">
        <v>0</v>
      </c>
      <c r="Q494" s="38" t="n">
        <v>0</v>
      </c>
      <c r="R494" s="38" t="n">
        <v>70.604</v>
      </c>
      <c r="S494" s="37" t="n">
        <v>0</v>
      </c>
    </row>
    <row r="495" customFormat="false" ht="15" hidden="false" customHeight="false" outlineLevel="0" collapsed="false">
      <c r="A495" s="37" t="n">
        <v>0</v>
      </c>
      <c r="B495" s="37" t="n">
        <v>5</v>
      </c>
      <c r="C495" s="37" t="n">
        <v>0</v>
      </c>
      <c r="D495" s="37" t="n">
        <v>10</v>
      </c>
      <c r="E495" s="37" t="n">
        <v>15</v>
      </c>
      <c r="F495" s="37" t="n">
        <v>0</v>
      </c>
      <c r="G495" s="37" t="s">
        <v>188</v>
      </c>
      <c r="H495" s="38" t="n">
        <v>198.671191763354</v>
      </c>
      <c r="I495" s="38" t="n">
        <v>197.340513595716</v>
      </c>
      <c r="J495" s="38" t="n">
        <v>194.172675474758</v>
      </c>
      <c r="K495" s="38" t="n">
        <v>202.572430364966</v>
      </c>
      <c r="L495" s="38" t="n">
        <v>24.9651689734023</v>
      </c>
      <c r="M495" s="38" t="n">
        <v>95.9832201464281</v>
      </c>
      <c r="N495" s="38" t="n">
        <v>81.0523433378826</v>
      </c>
      <c r="O495" s="38" t="n">
        <v>55.7481306052354</v>
      </c>
      <c r="P495" s="37" t="n">
        <v>0</v>
      </c>
      <c r="Q495" s="38" t="n">
        <v>0.0348310265977183</v>
      </c>
      <c r="R495" s="38" t="n">
        <v>72</v>
      </c>
      <c r="S495" s="37" t="n">
        <v>0</v>
      </c>
    </row>
    <row r="496" customFormat="false" ht="15" hidden="false" customHeight="false" outlineLevel="0" collapsed="false">
      <c r="A496" s="37" t="n">
        <v>0</v>
      </c>
      <c r="B496" s="37" t="n">
        <v>5</v>
      </c>
      <c r="C496" s="37" t="n">
        <v>0</v>
      </c>
      <c r="D496" s="37" t="n">
        <v>10</v>
      </c>
      <c r="E496" s="37" t="n">
        <v>15</v>
      </c>
      <c r="F496" s="37" t="n">
        <v>0</v>
      </c>
      <c r="G496" s="37" t="s">
        <v>192</v>
      </c>
      <c r="H496" s="38" t="n">
        <v>198.671191763354</v>
      </c>
      <c r="I496" s="38" t="n">
        <v>197.343653413862</v>
      </c>
      <c r="J496" s="38" t="n">
        <v>198.011788535087</v>
      </c>
      <c r="K496" s="38" t="n">
        <v>207.37029488603</v>
      </c>
      <c r="L496" s="38" t="n">
        <v>24.9817579230842</v>
      </c>
      <c r="M496" s="38" t="n">
        <v>95.0762716556678</v>
      </c>
      <c r="N496" s="38" t="n">
        <v>88.9783885236187</v>
      </c>
      <c r="O496" s="38" t="n">
        <v>60.6260604115686</v>
      </c>
      <c r="P496" s="37" t="n">
        <v>0</v>
      </c>
      <c r="Q496" s="38" t="n">
        <v>0.0182420769157794</v>
      </c>
      <c r="R496" s="38" t="n">
        <v>72</v>
      </c>
      <c r="S496" s="37" t="n">
        <v>0</v>
      </c>
    </row>
    <row r="497" customFormat="false" ht="15" hidden="false" customHeight="false" outlineLevel="0" collapsed="false">
      <c r="A497" s="37" t="n">
        <v>0</v>
      </c>
      <c r="B497" s="37" t="n">
        <v>5</v>
      </c>
      <c r="C497" s="37" t="n">
        <v>0</v>
      </c>
      <c r="D497" s="37" t="n">
        <v>10</v>
      </c>
      <c r="E497" s="37" t="n">
        <v>15</v>
      </c>
      <c r="F497" s="37" t="n">
        <v>0</v>
      </c>
      <c r="G497" s="37" t="s">
        <v>195</v>
      </c>
      <c r="H497" s="38" t="n">
        <v>198.671191763354</v>
      </c>
      <c r="I497" s="38" t="n">
        <v>197.461406237891</v>
      </c>
      <c r="J497" s="38" t="n">
        <v>196.507914921627</v>
      </c>
      <c r="K497" s="38" t="n">
        <v>206.159778402024</v>
      </c>
      <c r="L497" s="38" t="n">
        <v>24.9987550404037</v>
      </c>
      <c r="M497" s="38" t="n">
        <v>99.0130741199879</v>
      </c>
      <c r="N497" s="38" t="n">
        <v>91.4724080782537</v>
      </c>
      <c r="O497" s="38" t="n">
        <v>59.9532221147913</v>
      </c>
      <c r="P497" s="37" t="n">
        <v>0</v>
      </c>
      <c r="Q497" s="38" t="n">
        <v>0.00124495959630622</v>
      </c>
      <c r="R497" s="38" t="n">
        <v>67.2792898968868</v>
      </c>
      <c r="S497" s="37" t="n">
        <v>0</v>
      </c>
    </row>
    <row r="498" customFormat="false" ht="15" hidden="false" customHeight="false" outlineLevel="0" collapsed="false">
      <c r="A498" s="37" t="n">
        <v>0</v>
      </c>
      <c r="B498" s="37" t="n">
        <v>5</v>
      </c>
      <c r="C498" s="37" t="n">
        <v>0</v>
      </c>
      <c r="D498" s="37" t="n">
        <v>10</v>
      </c>
      <c r="E498" s="37" t="n">
        <v>15</v>
      </c>
      <c r="F498" s="37" t="n">
        <v>0</v>
      </c>
      <c r="G498" s="37" t="s">
        <v>197</v>
      </c>
      <c r="H498" s="38" t="n">
        <v>198.671191763354</v>
      </c>
      <c r="I498" s="38" t="n">
        <v>197.390287227336</v>
      </c>
      <c r="J498" s="38" t="n">
        <v>198.016224409507</v>
      </c>
      <c r="K498" s="38" t="n">
        <v>207.772097964448</v>
      </c>
      <c r="L498" s="38" t="n">
        <v>26.2720979644484</v>
      </c>
      <c r="M498" s="38" t="n">
        <v>105.545707758373</v>
      </c>
      <c r="N498" s="38" t="n">
        <v>102.589389734597</v>
      </c>
      <c r="O498" s="38" t="n">
        <v>63.218600671294</v>
      </c>
      <c r="P498" s="37" t="n">
        <v>0</v>
      </c>
      <c r="Q498" s="38" t="n">
        <v>0</v>
      </c>
      <c r="R498" s="38" t="n">
        <v>72</v>
      </c>
      <c r="S498" s="37" t="n">
        <v>1</v>
      </c>
    </row>
    <row r="499" customFormat="false" ht="15" hidden="false" customHeight="false" outlineLevel="0" collapsed="false">
      <c r="A499" s="37" t="n">
        <v>0</v>
      </c>
      <c r="B499" s="37" t="n">
        <v>5</v>
      </c>
      <c r="C499" s="37" t="n">
        <v>0</v>
      </c>
      <c r="D499" s="37" t="n">
        <v>10</v>
      </c>
      <c r="E499" s="37" t="n">
        <v>15</v>
      </c>
      <c r="F499" s="37" t="n">
        <v>0</v>
      </c>
      <c r="G499" s="37" t="s">
        <v>196</v>
      </c>
      <c r="H499" s="38" t="n">
        <v>198.671191763354</v>
      </c>
      <c r="I499" s="38" t="n">
        <v>197.34531173093</v>
      </c>
      <c r="J499" s="38" t="n">
        <v>190.571136822563</v>
      </c>
      <c r="K499" s="38" t="n">
        <v>208.827723171405</v>
      </c>
      <c r="L499" s="38" t="n">
        <v>25.8277231714051</v>
      </c>
      <c r="M499" s="38" t="n">
        <v>100.737967466341</v>
      </c>
      <c r="N499" s="38" t="n">
        <v>95.1634396616902</v>
      </c>
      <c r="O499" s="38" t="n">
        <v>58.7249505703271</v>
      </c>
      <c r="P499" s="37" t="n">
        <v>0</v>
      </c>
      <c r="Q499" s="38" t="n">
        <v>0</v>
      </c>
      <c r="R499" s="38" t="n">
        <v>70.604</v>
      </c>
      <c r="S499" s="37" t="n">
        <v>0</v>
      </c>
    </row>
    <row r="500" customFormat="false" ht="15" hidden="false" customHeight="false" outlineLevel="0" collapsed="false">
      <c r="A500" s="37" t="n">
        <v>0</v>
      </c>
      <c r="B500" s="37" t="n">
        <v>5</v>
      </c>
      <c r="C500" s="37" t="n">
        <v>0</v>
      </c>
      <c r="D500" s="37" t="n">
        <v>15</v>
      </c>
      <c r="E500" s="37" t="n">
        <v>0</v>
      </c>
      <c r="F500" s="37" t="n">
        <v>10</v>
      </c>
      <c r="G500" s="37" t="s">
        <v>188</v>
      </c>
      <c r="H500" s="38" t="n">
        <v>198.748053837637</v>
      </c>
      <c r="I500" s="38" t="n">
        <v>197.116345688823</v>
      </c>
      <c r="J500" s="38" t="n">
        <v>188.65711968275</v>
      </c>
      <c r="K500" s="38" t="n">
        <v>185.383078746179</v>
      </c>
      <c r="L500" s="38" t="n">
        <v>72.6336920351337</v>
      </c>
      <c r="M500" s="38" t="n">
        <v>92.3942151279099</v>
      </c>
      <c r="N500" s="38" t="n">
        <v>75.7977081620565</v>
      </c>
      <c r="O500" s="38" t="n">
        <v>54.3755156753451</v>
      </c>
      <c r="P500" s="37" t="n">
        <v>0</v>
      </c>
      <c r="Q500" s="38" t="n">
        <v>0</v>
      </c>
      <c r="R500" s="38" t="n">
        <v>72</v>
      </c>
      <c r="S500" s="37" t="n">
        <v>0</v>
      </c>
    </row>
    <row r="501" customFormat="false" ht="15" hidden="false" customHeight="false" outlineLevel="0" collapsed="false">
      <c r="A501" s="37" t="n">
        <v>0</v>
      </c>
      <c r="B501" s="37" t="n">
        <v>5</v>
      </c>
      <c r="C501" s="37" t="n">
        <v>0</v>
      </c>
      <c r="D501" s="37" t="n">
        <v>15</v>
      </c>
      <c r="E501" s="37" t="n">
        <v>0</v>
      </c>
      <c r="F501" s="37" t="n">
        <v>10</v>
      </c>
      <c r="G501" s="37" t="s">
        <v>192</v>
      </c>
      <c r="H501" s="38" t="n">
        <v>198.748053837637</v>
      </c>
      <c r="I501" s="38" t="n">
        <v>197.118991448042</v>
      </c>
      <c r="J501" s="38" t="n">
        <v>192.588531801115</v>
      </c>
      <c r="K501" s="38" t="n">
        <v>190.440598429689</v>
      </c>
      <c r="L501" s="38" t="n">
        <v>80.8414443901392</v>
      </c>
      <c r="M501" s="38" t="n">
        <v>91.541673468359</v>
      </c>
      <c r="N501" s="38" t="n">
        <v>84.2715010787188</v>
      </c>
      <c r="O501" s="38" t="n">
        <v>59.1427696759614</v>
      </c>
      <c r="P501" s="37" t="n">
        <v>0</v>
      </c>
      <c r="Q501" s="38" t="n">
        <v>0</v>
      </c>
      <c r="R501" s="38" t="n">
        <v>72</v>
      </c>
      <c r="S501" s="37" t="n">
        <v>0</v>
      </c>
    </row>
    <row r="502" customFormat="false" ht="15" hidden="false" customHeight="false" outlineLevel="0" collapsed="false">
      <c r="A502" s="37" t="n">
        <v>0</v>
      </c>
      <c r="B502" s="37" t="n">
        <v>5</v>
      </c>
      <c r="C502" s="37" t="n">
        <v>0</v>
      </c>
      <c r="D502" s="37" t="n">
        <v>15</v>
      </c>
      <c r="E502" s="37" t="n">
        <v>0</v>
      </c>
      <c r="F502" s="37" t="n">
        <v>10</v>
      </c>
      <c r="G502" s="37" t="s">
        <v>195</v>
      </c>
      <c r="H502" s="38" t="n">
        <v>198.748053837637</v>
      </c>
      <c r="I502" s="38" t="n">
        <v>197.25632961023</v>
      </c>
      <c r="J502" s="38" t="n">
        <v>191.558053244687</v>
      </c>
      <c r="K502" s="38" t="n">
        <v>189.903086463036</v>
      </c>
      <c r="L502" s="38" t="n">
        <v>87.9030864630359</v>
      </c>
      <c r="M502" s="38" t="n">
        <v>96.3524359626322</v>
      </c>
      <c r="N502" s="38" t="n">
        <v>87.6103751111145</v>
      </c>
      <c r="O502" s="38" t="n">
        <v>58.7134842736873</v>
      </c>
      <c r="P502" s="37" t="n">
        <v>0</v>
      </c>
      <c r="Q502" s="38" t="n">
        <v>0</v>
      </c>
      <c r="R502" s="38" t="n">
        <v>67.36</v>
      </c>
      <c r="S502" s="37" t="n">
        <v>0</v>
      </c>
    </row>
    <row r="503" customFormat="false" ht="15" hidden="false" customHeight="false" outlineLevel="0" collapsed="false">
      <c r="A503" s="37" t="n">
        <v>0</v>
      </c>
      <c r="B503" s="37" t="n">
        <v>5</v>
      </c>
      <c r="C503" s="37" t="n">
        <v>0</v>
      </c>
      <c r="D503" s="37" t="n">
        <v>15</v>
      </c>
      <c r="E503" s="37" t="n">
        <v>0</v>
      </c>
      <c r="F503" s="37" t="n">
        <v>10</v>
      </c>
      <c r="G503" s="37" t="s">
        <v>197</v>
      </c>
      <c r="H503" s="38" t="n">
        <v>198.748053837637</v>
      </c>
      <c r="I503" s="38" t="n">
        <v>197.118576191565</v>
      </c>
      <c r="J503" s="38" t="n">
        <v>191.878960920415</v>
      </c>
      <c r="K503" s="38" t="n">
        <v>189.566484117176</v>
      </c>
      <c r="L503" s="38" t="n">
        <v>82.4891680956911</v>
      </c>
      <c r="M503" s="38" t="n">
        <v>94.1976625724294</v>
      </c>
      <c r="N503" s="38" t="n">
        <v>80.6439688283111</v>
      </c>
      <c r="O503" s="38" t="n">
        <v>56.4757947038578</v>
      </c>
      <c r="P503" s="37" t="n">
        <v>0</v>
      </c>
      <c r="Q503" s="38" t="n">
        <v>0</v>
      </c>
      <c r="R503" s="38" t="n">
        <v>72</v>
      </c>
      <c r="S503" s="37" t="n">
        <v>0</v>
      </c>
    </row>
    <row r="504" customFormat="false" ht="15" hidden="false" customHeight="false" outlineLevel="0" collapsed="false">
      <c r="A504" s="37" t="n">
        <v>0</v>
      </c>
      <c r="B504" s="37" t="n">
        <v>5</v>
      </c>
      <c r="C504" s="37" t="n">
        <v>0</v>
      </c>
      <c r="D504" s="37" t="n">
        <v>15</v>
      </c>
      <c r="E504" s="37" t="n">
        <v>0</v>
      </c>
      <c r="F504" s="37" t="n">
        <v>10</v>
      </c>
      <c r="G504" s="37" t="s">
        <v>196</v>
      </c>
      <c r="H504" s="38" t="n">
        <v>198.748053837637</v>
      </c>
      <c r="I504" s="38" t="n">
        <v>197.118630203343</v>
      </c>
      <c r="J504" s="38" t="n">
        <v>185.752159385763</v>
      </c>
      <c r="K504" s="38" t="n">
        <v>192.576017515164</v>
      </c>
      <c r="L504" s="38" t="n">
        <v>79.0204619596085</v>
      </c>
      <c r="M504" s="38" t="n">
        <v>96.0108485799605</v>
      </c>
      <c r="N504" s="38" t="n">
        <v>87.6906372204466</v>
      </c>
      <c r="O504" s="38" t="n">
        <v>58.5297698722017</v>
      </c>
      <c r="P504" s="37" t="n">
        <v>0</v>
      </c>
      <c r="Q504" s="38" t="n">
        <v>0</v>
      </c>
      <c r="R504" s="38" t="n">
        <v>70.7373333333333</v>
      </c>
      <c r="S504" s="37" t="n">
        <v>1</v>
      </c>
    </row>
    <row r="505" customFormat="false" ht="15" hidden="false" customHeight="false" outlineLevel="0" collapsed="false">
      <c r="A505" s="37" t="n">
        <v>0</v>
      </c>
      <c r="B505" s="37" t="n">
        <v>5</v>
      </c>
      <c r="C505" s="37" t="n">
        <v>0</v>
      </c>
      <c r="D505" s="37" t="n">
        <v>15</v>
      </c>
      <c r="E505" s="37" t="n">
        <v>5</v>
      </c>
      <c r="F505" s="37" t="n">
        <v>5</v>
      </c>
      <c r="G505" s="37" t="s">
        <v>188</v>
      </c>
      <c r="H505" s="38" t="n">
        <v>198.779856056206</v>
      </c>
      <c r="I505" s="38" t="n">
        <v>197.445064277392</v>
      </c>
      <c r="J505" s="38" t="n">
        <v>192.115028909865</v>
      </c>
      <c r="K505" s="38" t="n">
        <v>191.498991360805</v>
      </c>
      <c r="L505" s="38" t="n">
        <v>39.0142341253105</v>
      </c>
      <c r="M505" s="38" t="n">
        <v>93.8927884956143</v>
      </c>
      <c r="N505" s="38" t="n">
        <v>83.5489893751485</v>
      </c>
      <c r="O505" s="38" t="n">
        <v>54.6910672176349</v>
      </c>
      <c r="P505" s="37" t="n">
        <v>0</v>
      </c>
      <c r="Q505" s="38" t="n">
        <v>0</v>
      </c>
      <c r="R505" s="38" t="n">
        <v>72</v>
      </c>
      <c r="S505" s="37" t="n">
        <v>0</v>
      </c>
    </row>
    <row r="506" customFormat="false" ht="15" hidden="false" customHeight="false" outlineLevel="0" collapsed="false">
      <c r="A506" s="37" t="n">
        <v>0</v>
      </c>
      <c r="B506" s="37" t="n">
        <v>5</v>
      </c>
      <c r="C506" s="37" t="n">
        <v>0</v>
      </c>
      <c r="D506" s="37" t="n">
        <v>15</v>
      </c>
      <c r="E506" s="37" t="n">
        <v>5</v>
      </c>
      <c r="F506" s="37" t="n">
        <v>5</v>
      </c>
      <c r="G506" s="37" t="s">
        <v>192</v>
      </c>
      <c r="H506" s="38" t="n">
        <v>198.779856056206</v>
      </c>
      <c r="I506" s="38" t="n">
        <v>197.447705733153</v>
      </c>
      <c r="J506" s="38" t="n">
        <v>195.994287894224</v>
      </c>
      <c r="K506" s="38" t="n">
        <v>196.467209574008</v>
      </c>
      <c r="L506" s="38" t="n">
        <v>35.6054750328893</v>
      </c>
      <c r="M506" s="38" t="n">
        <v>93.02674060863</v>
      </c>
      <c r="N506" s="38" t="n">
        <v>89.2114635368439</v>
      </c>
      <c r="O506" s="38" t="n">
        <v>62.0721771140128</v>
      </c>
      <c r="P506" s="37" t="n">
        <v>0</v>
      </c>
      <c r="Q506" s="38" t="n">
        <v>0</v>
      </c>
      <c r="R506" s="38" t="n">
        <v>72</v>
      </c>
      <c r="S506" s="37" t="n">
        <v>0</v>
      </c>
    </row>
    <row r="507" customFormat="false" ht="15" hidden="false" customHeight="false" outlineLevel="0" collapsed="false">
      <c r="A507" s="37" t="n">
        <v>0</v>
      </c>
      <c r="B507" s="37" t="n">
        <v>5</v>
      </c>
      <c r="C507" s="37" t="n">
        <v>0</v>
      </c>
      <c r="D507" s="37" t="n">
        <v>15</v>
      </c>
      <c r="E507" s="37" t="n">
        <v>5</v>
      </c>
      <c r="F507" s="37" t="n">
        <v>5</v>
      </c>
      <c r="G507" s="37" t="s">
        <v>195</v>
      </c>
      <c r="H507" s="38" t="n">
        <v>198.779856056206</v>
      </c>
      <c r="I507" s="38" t="n">
        <v>197.602952873088</v>
      </c>
      <c r="J507" s="38" t="n">
        <v>195.178542050467</v>
      </c>
      <c r="K507" s="38" t="n">
        <v>196.402003771756</v>
      </c>
      <c r="L507" s="38" t="n">
        <v>54.4020037717562</v>
      </c>
      <c r="M507" s="38" t="n">
        <v>97.8685338111939</v>
      </c>
      <c r="N507" s="38" t="n">
        <v>96.4272570792308</v>
      </c>
      <c r="O507" s="38" t="n">
        <v>59.4641609552196</v>
      </c>
      <c r="P507" s="37" t="n">
        <v>0</v>
      </c>
      <c r="Q507" s="38" t="n">
        <v>0</v>
      </c>
      <c r="R507" s="38" t="n">
        <v>67.36</v>
      </c>
      <c r="S507" s="37" t="n">
        <v>0</v>
      </c>
    </row>
    <row r="508" customFormat="false" ht="15" hidden="false" customHeight="false" outlineLevel="0" collapsed="false">
      <c r="A508" s="37" t="n">
        <v>0</v>
      </c>
      <c r="B508" s="37" t="n">
        <v>5</v>
      </c>
      <c r="C508" s="37" t="n">
        <v>0</v>
      </c>
      <c r="D508" s="37" t="n">
        <v>15</v>
      </c>
      <c r="E508" s="37" t="n">
        <v>5</v>
      </c>
      <c r="F508" s="37" t="n">
        <v>5</v>
      </c>
      <c r="G508" s="37" t="s">
        <v>197</v>
      </c>
      <c r="H508" s="38" t="n">
        <v>198.779856056206</v>
      </c>
      <c r="I508" s="38" t="n">
        <v>197.45833325383</v>
      </c>
      <c r="J508" s="38" t="n">
        <v>195.960587900387</v>
      </c>
      <c r="K508" s="38" t="n">
        <v>196.640028501984</v>
      </c>
      <c r="L508" s="38" t="n">
        <v>35.1347848572554</v>
      </c>
      <c r="M508" s="38" t="n">
        <v>99.0867711635111</v>
      </c>
      <c r="N508" s="38" t="n">
        <v>95.4829980258175</v>
      </c>
      <c r="O508" s="38" t="n">
        <v>63.7210729186642</v>
      </c>
      <c r="P508" s="37" t="n">
        <v>0</v>
      </c>
      <c r="Q508" s="38" t="n">
        <v>0</v>
      </c>
      <c r="R508" s="38" t="n">
        <v>72</v>
      </c>
      <c r="S508" s="37" t="n">
        <v>0</v>
      </c>
    </row>
    <row r="509" customFormat="false" ht="15" hidden="false" customHeight="false" outlineLevel="0" collapsed="false">
      <c r="A509" s="37" t="n">
        <v>0</v>
      </c>
      <c r="B509" s="37" t="n">
        <v>5</v>
      </c>
      <c r="C509" s="37" t="n">
        <v>0</v>
      </c>
      <c r="D509" s="37" t="n">
        <v>15</v>
      </c>
      <c r="E509" s="37" t="n">
        <v>5</v>
      </c>
      <c r="F509" s="37" t="n">
        <v>5</v>
      </c>
      <c r="G509" s="37" t="s">
        <v>196</v>
      </c>
      <c r="H509" s="38" t="n">
        <v>198.779856056206</v>
      </c>
      <c r="I509" s="38" t="n">
        <v>197.448058834463</v>
      </c>
      <c r="J509" s="38" t="n">
        <v>188.695007978703</v>
      </c>
      <c r="K509" s="38" t="n">
        <v>198.052392340617</v>
      </c>
      <c r="L509" s="38" t="n">
        <v>44.4968367850611</v>
      </c>
      <c r="M509" s="38" t="n">
        <v>98.1632386426619</v>
      </c>
      <c r="N509" s="38" t="n">
        <v>97.0591925982837</v>
      </c>
      <c r="O509" s="38" t="n">
        <v>60.1400129497232</v>
      </c>
      <c r="P509" s="37" t="n">
        <v>0</v>
      </c>
      <c r="Q509" s="38" t="n">
        <v>0</v>
      </c>
      <c r="R509" s="38" t="n">
        <v>70.604</v>
      </c>
      <c r="S509" s="37" t="n">
        <v>1</v>
      </c>
    </row>
    <row r="510" customFormat="false" ht="15" hidden="false" customHeight="false" outlineLevel="0" collapsed="false">
      <c r="A510" s="37" t="n">
        <v>0</v>
      </c>
      <c r="B510" s="37" t="n">
        <v>5</v>
      </c>
      <c r="C510" s="37" t="n">
        <v>0</v>
      </c>
      <c r="D510" s="37" t="n">
        <v>15</v>
      </c>
      <c r="E510" s="37" t="n">
        <v>10</v>
      </c>
      <c r="F510" s="37" t="n">
        <v>0</v>
      </c>
      <c r="G510" s="37" t="s">
        <v>188</v>
      </c>
      <c r="H510" s="38" t="n">
        <v>198.804034103672</v>
      </c>
      <c r="I510" s="38" t="n">
        <v>197.755911457327</v>
      </c>
      <c r="J510" s="38" t="n">
        <v>194.698653924587</v>
      </c>
      <c r="K510" s="38" t="n">
        <v>196.758209178682</v>
      </c>
      <c r="L510" s="38" t="n">
        <v>24.9510476911267</v>
      </c>
      <c r="M510" s="38" t="n">
        <v>95.24429176939</v>
      </c>
      <c r="N510" s="38" t="n">
        <v>78.0475290263468</v>
      </c>
      <c r="O510" s="38" t="n">
        <v>55.2815312457743</v>
      </c>
      <c r="P510" s="37" t="n">
        <v>0</v>
      </c>
      <c r="Q510" s="38" t="n">
        <v>0.0489523088733108</v>
      </c>
      <c r="R510" s="38" t="n">
        <v>72</v>
      </c>
      <c r="S510" s="37" t="n">
        <v>0</v>
      </c>
    </row>
    <row r="511" customFormat="false" ht="15" hidden="false" customHeight="false" outlineLevel="0" collapsed="false">
      <c r="A511" s="37" t="n">
        <v>0</v>
      </c>
      <c r="B511" s="37" t="n">
        <v>5</v>
      </c>
      <c r="C511" s="37" t="n">
        <v>0</v>
      </c>
      <c r="D511" s="37" t="n">
        <v>15</v>
      </c>
      <c r="E511" s="37" t="n">
        <v>10</v>
      </c>
      <c r="F511" s="37" t="n">
        <v>0</v>
      </c>
      <c r="G511" s="37" t="s">
        <v>192</v>
      </c>
      <c r="H511" s="38" t="n">
        <v>198.804034103672</v>
      </c>
      <c r="I511" s="38" t="n">
        <v>197.758537173404</v>
      </c>
      <c r="J511" s="38" t="n">
        <v>198.519925661804</v>
      </c>
      <c r="K511" s="38" t="n">
        <v>201.471922233335</v>
      </c>
      <c r="L511" s="38" t="n">
        <v>24.9658091423073</v>
      </c>
      <c r="M511" s="38" t="n">
        <v>94.347332302798</v>
      </c>
      <c r="N511" s="38" t="n">
        <v>85.9715415959374</v>
      </c>
      <c r="O511" s="38" t="n">
        <v>59.9464080104878</v>
      </c>
      <c r="P511" s="37" t="n">
        <v>0</v>
      </c>
      <c r="Q511" s="38" t="n">
        <v>0.0341908576927494</v>
      </c>
      <c r="R511" s="38" t="n">
        <v>72</v>
      </c>
      <c r="S511" s="37" t="n">
        <v>0</v>
      </c>
    </row>
    <row r="512" customFormat="false" ht="15" hidden="false" customHeight="false" outlineLevel="0" collapsed="false">
      <c r="A512" s="37" t="n">
        <v>0</v>
      </c>
      <c r="B512" s="37" t="n">
        <v>5</v>
      </c>
      <c r="C512" s="37" t="n">
        <v>0</v>
      </c>
      <c r="D512" s="37" t="n">
        <v>15</v>
      </c>
      <c r="E512" s="37" t="n">
        <v>10</v>
      </c>
      <c r="F512" s="37" t="n">
        <v>0</v>
      </c>
      <c r="G512" s="37" t="s">
        <v>195</v>
      </c>
      <c r="H512" s="38" t="n">
        <v>198.804034103672</v>
      </c>
      <c r="I512" s="38" t="n">
        <v>197.928342072466</v>
      </c>
      <c r="J512" s="38" t="n">
        <v>198.080233815334</v>
      </c>
      <c r="K512" s="38" t="n">
        <v>201.800949760141</v>
      </c>
      <c r="L512" s="38" t="n">
        <v>24.9911928015837</v>
      </c>
      <c r="M512" s="38" t="n">
        <v>99.2034903109679</v>
      </c>
      <c r="N512" s="38" t="n">
        <v>90.4262875007361</v>
      </c>
      <c r="O512" s="38" t="n">
        <v>59.9622906274996</v>
      </c>
      <c r="P512" s="37" t="n">
        <v>0</v>
      </c>
      <c r="Q512" s="38" t="n">
        <v>0.00880719841626387</v>
      </c>
      <c r="R512" s="38" t="n">
        <v>67.36</v>
      </c>
      <c r="S512" s="37" t="n">
        <v>0</v>
      </c>
    </row>
    <row r="513" customFormat="false" ht="15" hidden="false" customHeight="false" outlineLevel="0" collapsed="false">
      <c r="A513" s="37" t="n">
        <v>0</v>
      </c>
      <c r="B513" s="37" t="n">
        <v>5</v>
      </c>
      <c r="C513" s="37" t="n">
        <v>0</v>
      </c>
      <c r="D513" s="37" t="n">
        <v>15</v>
      </c>
      <c r="E513" s="37" t="n">
        <v>10</v>
      </c>
      <c r="F513" s="37" t="n">
        <v>0</v>
      </c>
      <c r="G513" s="37" t="s">
        <v>197</v>
      </c>
      <c r="H513" s="38" t="n">
        <v>198.804034103672</v>
      </c>
      <c r="I513" s="38" t="n">
        <v>197.789655608026</v>
      </c>
      <c r="J513" s="38" t="n">
        <v>199.522839688604</v>
      </c>
      <c r="K513" s="38" t="n">
        <v>202.946992871275</v>
      </c>
      <c r="L513" s="38" t="n">
        <v>24.9744049055598</v>
      </c>
      <c r="M513" s="38" t="n">
        <v>103.120665285403</v>
      </c>
      <c r="N513" s="38" t="n">
        <v>101.444532143721</v>
      </c>
      <c r="O513" s="38" t="n">
        <v>63.3296188513293</v>
      </c>
      <c r="P513" s="37" t="n">
        <v>0</v>
      </c>
      <c r="Q513" s="38" t="n">
        <v>0.0255950944401775</v>
      </c>
      <c r="R513" s="38" t="n">
        <v>72</v>
      </c>
      <c r="S513" s="37" t="n">
        <v>1</v>
      </c>
    </row>
    <row r="514" customFormat="false" ht="15" hidden="false" customHeight="false" outlineLevel="0" collapsed="false">
      <c r="A514" s="37" t="n">
        <v>0</v>
      </c>
      <c r="B514" s="37" t="n">
        <v>5</v>
      </c>
      <c r="C514" s="37" t="n">
        <v>0</v>
      </c>
      <c r="D514" s="37" t="n">
        <v>15</v>
      </c>
      <c r="E514" s="37" t="n">
        <v>10</v>
      </c>
      <c r="F514" s="37" t="n">
        <v>0</v>
      </c>
      <c r="G514" s="37" t="s">
        <v>196</v>
      </c>
      <c r="H514" s="38" t="n">
        <v>198.804034103672</v>
      </c>
      <c r="I514" s="38" t="n">
        <v>197.759526096171</v>
      </c>
      <c r="J514" s="38" t="n">
        <v>191.075691135609</v>
      </c>
      <c r="K514" s="38" t="n">
        <v>202.725446464157</v>
      </c>
      <c r="L514" s="38" t="n">
        <v>24.9871213419721</v>
      </c>
      <c r="M514" s="38" t="n">
        <v>99.99992914025</v>
      </c>
      <c r="N514" s="38" t="n">
        <v>91.210921593892</v>
      </c>
      <c r="O514" s="38" t="n">
        <v>58.0396777137642</v>
      </c>
      <c r="P514" s="37" t="n">
        <v>0</v>
      </c>
      <c r="Q514" s="38" t="n">
        <v>0.012878658027887</v>
      </c>
      <c r="R514" s="38" t="n">
        <v>70.604</v>
      </c>
      <c r="S514" s="37" t="n">
        <v>0</v>
      </c>
    </row>
    <row r="515" customFormat="false" ht="15" hidden="false" customHeight="false" outlineLevel="0" collapsed="false">
      <c r="A515" s="37" t="n">
        <v>0</v>
      </c>
      <c r="B515" s="37" t="n">
        <v>5</v>
      </c>
      <c r="C515" s="37" t="n">
        <v>0</v>
      </c>
      <c r="D515" s="37" t="n">
        <v>20</v>
      </c>
      <c r="E515" s="37" t="n">
        <v>0</v>
      </c>
      <c r="F515" s="37" t="n">
        <v>5</v>
      </c>
      <c r="G515" s="37" t="s">
        <v>188</v>
      </c>
      <c r="H515" s="38" t="n">
        <v>198.922200804104</v>
      </c>
      <c r="I515" s="38" t="n">
        <v>197.772713274897</v>
      </c>
      <c r="J515" s="38" t="n">
        <v>190.925152878003</v>
      </c>
      <c r="K515" s="38" t="n">
        <v>182.683650551553</v>
      </c>
      <c r="L515" s="38" t="n">
        <v>30.3570099574925</v>
      </c>
      <c r="M515" s="38" t="n">
        <v>92.7260807686129</v>
      </c>
      <c r="N515" s="38" t="n">
        <v>68.9102652196401</v>
      </c>
      <c r="O515" s="38" t="n">
        <v>53.3326039269653</v>
      </c>
      <c r="P515" s="37" t="n">
        <v>0</v>
      </c>
      <c r="Q515" s="38" t="n">
        <v>0</v>
      </c>
      <c r="R515" s="38" t="n">
        <v>72</v>
      </c>
      <c r="S515" s="37" t="n">
        <v>0</v>
      </c>
    </row>
    <row r="516" customFormat="false" ht="15" hidden="false" customHeight="false" outlineLevel="0" collapsed="false">
      <c r="A516" s="37" t="n">
        <v>0</v>
      </c>
      <c r="B516" s="37" t="n">
        <v>5</v>
      </c>
      <c r="C516" s="37" t="n">
        <v>0</v>
      </c>
      <c r="D516" s="37" t="n">
        <v>20</v>
      </c>
      <c r="E516" s="37" t="n">
        <v>0</v>
      </c>
      <c r="F516" s="37" t="n">
        <v>5</v>
      </c>
      <c r="G516" s="37" t="s">
        <v>192</v>
      </c>
      <c r="H516" s="38" t="n">
        <v>198.922200804104</v>
      </c>
      <c r="I516" s="38" t="n">
        <v>197.775264699102</v>
      </c>
      <c r="J516" s="38" t="n">
        <v>202.356245143674</v>
      </c>
      <c r="K516" s="38" t="n">
        <v>191.759237604071</v>
      </c>
      <c r="L516" s="38" t="n">
        <v>30.5569374454885</v>
      </c>
      <c r="M516" s="38" t="n">
        <v>91.8727807002165</v>
      </c>
      <c r="N516" s="38" t="n">
        <v>83.7244013734408</v>
      </c>
      <c r="O516" s="38" t="n">
        <v>60.1080429178505</v>
      </c>
      <c r="P516" s="37" t="n">
        <v>0</v>
      </c>
      <c r="Q516" s="38" t="n">
        <v>0</v>
      </c>
      <c r="R516" s="38" t="n">
        <v>72</v>
      </c>
      <c r="S516" s="37" t="n">
        <v>0</v>
      </c>
    </row>
    <row r="517" customFormat="false" ht="15" hidden="false" customHeight="false" outlineLevel="0" collapsed="false">
      <c r="A517" s="37" t="n">
        <v>0</v>
      </c>
      <c r="B517" s="37" t="n">
        <v>5</v>
      </c>
      <c r="C517" s="37" t="n">
        <v>0</v>
      </c>
      <c r="D517" s="37" t="n">
        <v>20</v>
      </c>
      <c r="E517" s="37" t="n">
        <v>0</v>
      </c>
      <c r="F517" s="37" t="n">
        <v>5</v>
      </c>
      <c r="G517" s="37" t="s">
        <v>195</v>
      </c>
      <c r="H517" s="38" t="n">
        <v>198.922200804104</v>
      </c>
      <c r="I517" s="38" t="n">
        <v>197.983246808229</v>
      </c>
      <c r="J517" s="38" t="n">
        <v>194.483956981833</v>
      </c>
      <c r="K517" s="38" t="n">
        <v>188.49857453856</v>
      </c>
      <c r="L517" s="38" t="n">
        <v>46.4985745385596</v>
      </c>
      <c r="M517" s="38" t="n">
        <v>97.6609143971852</v>
      </c>
      <c r="N517" s="38" t="n">
        <v>90.0491618390552</v>
      </c>
      <c r="O517" s="38" t="n">
        <v>58.1986019146516</v>
      </c>
      <c r="P517" s="37" t="n">
        <v>0</v>
      </c>
      <c r="Q517" s="38" t="n">
        <v>0</v>
      </c>
      <c r="R517" s="38" t="n">
        <v>67.36</v>
      </c>
      <c r="S517" s="37" t="n">
        <v>1</v>
      </c>
    </row>
    <row r="518" customFormat="false" ht="15" hidden="false" customHeight="false" outlineLevel="0" collapsed="false">
      <c r="A518" s="37" t="n">
        <v>0</v>
      </c>
      <c r="B518" s="37" t="n">
        <v>5</v>
      </c>
      <c r="C518" s="37" t="n">
        <v>0</v>
      </c>
      <c r="D518" s="37" t="n">
        <v>20</v>
      </c>
      <c r="E518" s="37" t="n">
        <v>0</v>
      </c>
      <c r="F518" s="37" t="n">
        <v>5</v>
      </c>
      <c r="G518" s="37" t="s">
        <v>197</v>
      </c>
      <c r="H518" s="38" t="n">
        <v>198.922200804104</v>
      </c>
      <c r="I518" s="38" t="n">
        <v>197.77492159774</v>
      </c>
      <c r="J518" s="38" t="n">
        <v>194.053156675647</v>
      </c>
      <c r="K518" s="38" t="n">
        <v>186.732069495906</v>
      </c>
      <c r="L518" s="38" t="n">
        <v>39.7384853259355</v>
      </c>
      <c r="M518" s="38" t="n">
        <v>94.5294482211323</v>
      </c>
      <c r="N518" s="38" t="n">
        <v>81.7048495041696</v>
      </c>
      <c r="O518" s="38" t="n">
        <v>55.3824170600746</v>
      </c>
      <c r="P518" s="37" t="n">
        <v>0</v>
      </c>
      <c r="Q518" s="38" t="n">
        <v>0</v>
      </c>
      <c r="R518" s="38" t="n">
        <v>72</v>
      </c>
      <c r="S518" s="37" t="n">
        <v>0</v>
      </c>
    </row>
    <row r="519" customFormat="false" ht="15" hidden="false" customHeight="false" outlineLevel="0" collapsed="false">
      <c r="A519" s="37" t="n">
        <v>0</v>
      </c>
      <c r="B519" s="37" t="n">
        <v>5</v>
      </c>
      <c r="C519" s="37" t="n">
        <v>0</v>
      </c>
      <c r="D519" s="37" t="n">
        <v>20</v>
      </c>
      <c r="E519" s="37" t="n">
        <v>0</v>
      </c>
      <c r="F519" s="37" t="n">
        <v>5</v>
      </c>
      <c r="G519" s="37" t="s">
        <v>196</v>
      </c>
      <c r="H519" s="38" t="n">
        <v>198.922200804104</v>
      </c>
      <c r="I519" s="38" t="n">
        <v>197.774861249235</v>
      </c>
      <c r="J519" s="38" t="n">
        <v>187.708532041607</v>
      </c>
      <c r="K519" s="38" t="n">
        <v>189.498706140345</v>
      </c>
      <c r="L519" s="38" t="n">
        <v>46.4987061403453</v>
      </c>
      <c r="M519" s="38" t="n">
        <v>96.6624710635422</v>
      </c>
      <c r="N519" s="38" t="n">
        <v>88.2714674848186</v>
      </c>
      <c r="O519" s="38" t="n">
        <v>54.455786092975</v>
      </c>
      <c r="P519" s="37" t="n">
        <v>0</v>
      </c>
      <c r="Q519" s="38" t="n">
        <v>0</v>
      </c>
      <c r="R519" s="38" t="n">
        <v>70.7373333333333</v>
      </c>
      <c r="S519" s="37" t="n">
        <v>0</v>
      </c>
    </row>
    <row r="520" customFormat="false" ht="15" hidden="false" customHeight="false" outlineLevel="0" collapsed="false">
      <c r="A520" s="37" t="n">
        <v>0</v>
      </c>
      <c r="B520" s="37" t="n">
        <v>5</v>
      </c>
      <c r="C520" s="37" t="n">
        <v>0</v>
      </c>
      <c r="D520" s="37" t="n">
        <v>20</v>
      </c>
      <c r="E520" s="37" t="n">
        <v>5</v>
      </c>
      <c r="F520" s="37" t="n">
        <v>0</v>
      </c>
      <c r="G520" s="37" t="s">
        <v>188</v>
      </c>
      <c r="H520" s="38" t="n">
        <v>198.943966538316</v>
      </c>
      <c r="I520" s="38" t="n">
        <v>198.075513140929</v>
      </c>
      <c r="J520" s="38" t="n">
        <v>188.530981634938</v>
      </c>
      <c r="K520" s="38" t="n">
        <v>181.131786156267</v>
      </c>
      <c r="L520" s="38" t="n">
        <v>22.3636796315673</v>
      </c>
      <c r="M520" s="38" t="n">
        <v>94.1735782470897</v>
      </c>
      <c r="N520" s="38" t="n">
        <v>63.1615622753794</v>
      </c>
      <c r="O520" s="38" t="n">
        <v>52.3916287136929</v>
      </c>
      <c r="P520" s="37" t="n">
        <v>0</v>
      </c>
      <c r="Q520" s="38" t="n">
        <v>2.63632036843273</v>
      </c>
      <c r="R520" s="38" t="n">
        <v>72</v>
      </c>
      <c r="S520" s="37" t="n">
        <v>0</v>
      </c>
    </row>
    <row r="521" customFormat="false" ht="15" hidden="false" customHeight="false" outlineLevel="0" collapsed="false">
      <c r="A521" s="37" t="n">
        <v>0</v>
      </c>
      <c r="B521" s="37" t="n">
        <v>5</v>
      </c>
      <c r="C521" s="37" t="n">
        <v>0</v>
      </c>
      <c r="D521" s="37" t="n">
        <v>20</v>
      </c>
      <c r="E521" s="37" t="n">
        <v>5</v>
      </c>
      <c r="F521" s="37" t="n">
        <v>0</v>
      </c>
      <c r="G521" s="37" t="s">
        <v>192</v>
      </c>
      <c r="H521" s="38" t="n">
        <v>198.943966538316</v>
      </c>
      <c r="I521" s="38" t="n">
        <v>198.078042835745</v>
      </c>
      <c r="J521" s="38" t="n">
        <v>198.831286095766</v>
      </c>
      <c r="K521" s="38" t="n">
        <v>205.412001872808</v>
      </c>
      <c r="L521" s="38" t="n">
        <v>24.9811336267737</v>
      </c>
      <c r="M521" s="38" t="n">
        <v>93.2911122529477</v>
      </c>
      <c r="N521" s="38" t="n">
        <v>81.3982845999514</v>
      </c>
      <c r="O521" s="38" t="n">
        <v>57.3412591750288</v>
      </c>
      <c r="P521" s="37" t="n">
        <v>0</v>
      </c>
      <c r="Q521" s="38" t="n">
        <v>0.0188663732262988</v>
      </c>
      <c r="R521" s="38" t="n">
        <v>63</v>
      </c>
      <c r="S521" s="37" t="n">
        <v>0</v>
      </c>
    </row>
    <row r="522" customFormat="false" ht="15" hidden="false" customHeight="false" outlineLevel="0" collapsed="false">
      <c r="A522" s="37" t="n">
        <v>0</v>
      </c>
      <c r="B522" s="37" t="n">
        <v>5</v>
      </c>
      <c r="C522" s="37" t="n">
        <v>0</v>
      </c>
      <c r="D522" s="37" t="n">
        <v>20</v>
      </c>
      <c r="E522" s="37" t="n">
        <v>5</v>
      </c>
      <c r="F522" s="37" t="n">
        <v>0</v>
      </c>
      <c r="G522" s="37" t="s">
        <v>195</v>
      </c>
      <c r="H522" s="38" t="n">
        <v>198.943966538316</v>
      </c>
      <c r="I522" s="38" t="n">
        <v>198.305526912374</v>
      </c>
      <c r="J522" s="38" t="n">
        <v>198.111750262564</v>
      </c>
      <c r="K522" s="38" t="n">
        <v>194.965873054309</v>
      </c>
      <c r="L522" s="38" t="n">
        <v>24.12831546093</v>
      </c>
      <c r="M522" s="38" t="n">
        <v>99.0953486780937</v>
      </c>
      <c r="N522" s="38" t="n">
        <v>85.6716976851758</v>
      </c>
      <c r="O522" s="38" t="n">
        <v>59.2536030196662</v>
      </c>
      <c r="P522" s="37" t="n">
        <v>0</v>
      </c>
      <c r="Q522" s="38" t="n">
        <v>0.871684539070031</v>
      </c>
      <c r="R522" s="38" t="n">
        <v>67.36</v>
      </c>
      <c r="S522" s="37" t="n">
        <v>0</v>
      </c>
    </row>
    <row r="523" customFormat="false" ht="15" hidden="false" customHeight="false" outlineLevel="0" collapsed="false">
      <c r="A523" s="37" t="n">
        <v>0</v>
      </c>
      <c r="B523" s="37" t="n">
        <v>5</v>
      </c>
      <c r="C523" s="37" t="n">
        <v>0</v>
      </c>
      <c r="D523" s="37" t="n">
        <v>20</v>
      </c>
      <c r="E523" s="37" t="n">
        <v>5</v>
      </c>
      <c r="F523" s="37" t="n">
        <v>0</v>
      </c>
      <c r="G523" s="37" t="s">
        <v>197</v>
      </c>
      <c r="H523" s="38" t="n">
        <v>198.943966538316</v>
      </c>
      <c r="I523" s="38" t="n">
        <v>198.089369230016</v>
      </c>
      <c r="J523" s="38" t="n">
        <v>197.992204237616</v>
      </c>
      <c r="K523" s="38" t="n">
        <v>193.973679024697</v>
      </c>
      <c r="L523" s="38" t="n">
        <v>24.9463536055102</v>
      </c>
      <c r="M523" s="38" t="n">
        <v>99.3446236529847</v>
      </c>
      <c r="N523" s="38" t="n">
        <v>87.377730192406</v>
      </c>
      <c r="O523" s="38" t="n">
        <v>60.6848738775444</v>
      </c>
      <c r="P523" s="37" t="n">
        <v>0</v>
      </c>
      <c r="Q523" s="38" t="n">
        <v>0.0536463944897889</v>
      </c>
      <c r="R523" s="38" t="n">
        <v>72</v>
      </c>
      <c r="S523" s="37" t="n">
        <v>1</v>
      </c>
    </row>
    <row r="524" customFormat="false" ht="15" hidden="false" customHeight="false" outlineLevel="0" collapsed="false">
      <c r="A524" s="37" t="n">
        <v>0</v>
      </c>
      <c r="B524" s="37" t="n">
        <v>5</v>
      </c>
      <c r="C524" s="37" t="n">
        <v>0</v>
      </c>
      <c r="D524" s="37" t="n">
        <v>20</v>
      </c>
      <c r="E524" s="37" t="n">
        <v>5</v>
      </c>
      <c r="F524" s="37" t="n">
        <v>0</v>
      </c>
      <c r="G524" s="37" t="s">
        <v>196</v>
      </c>
      <c r="H524" s="38" t="n">
        <v>198.943966538316</v>
      </c>
      <c r="I524" s="38" t="n">
        <v>198.078434305389</v>
      </c>
      <c r="J524" s="38" t="n">
        <v>190.568143042555</v>
      </c>
      <c r="K524" s="38" t="n">
        <v>194.947385370941</v>
      </c>
      <c r="L524" s="38" t="n">
        <v>24.9646438929337</v>
      </c>
      <c r="M524" s="38" t="n">
        <v>98.7390315651741</v>
      </c>
      <c r="N524" s="38" t="n">
        <v>84.4838133695105</v>
      </c>
      <c r="O524" s="38" t="n">
        <v>56.414729688657</v>
      </c>
      <c r="P524" s="37" t="n">
        <v>0</v>
      </c>
      <c r="Q524" s="38" t="n">
        <v>0.0353561070663524</v>
      </c>
      <c r="R524" s="38" t="n">
        <v>70.604</v>
      </c>
      <c r="S524" s="37" t="n">
        <v>0</v>
      </c>
    </row>
    <row r="525" customFormat="false" ht="15" hidden="false" customHeight="false" outlineLevel="0" collapsed="false">
      <c r="A525" s="37" t="n">
        <v>0</v>
      </c>
      <c r="B525" s="37" t="n">
        <v>5</v>
      </c>
      <c r="C525" s="37" t="n">
        <v>0</v>
      </c>
      <c r="D525" s="37" t="n">
        <v>25</v>
      </c>
      <c r="E525" s="37" t="n">
        <v>0</v>
      </c>
      <c r="F525" s="37" t="n">
        <v>0</v>
      </c>
      <c r="G525" s="37" t="s">
        <v>188</v>
      </c>
      <c r="H525" s="38" t="n">
        <v>199.009613418742</v>
      </c>
      <c r="I525" s="38" t="n">
        <v>198.112186593042</v>
      </c>
      <c r="J525" s="38" t="n">
        <v>190.625063534063</v>
      </c>
      <c r="K525" s="38" t="n">
        <v>192.333793016024</v>
      </c>
      <c r="L525" s="38" t="n">
        <v>24.9571516270502</v>
      </c>
      <c r="M525" s="38" t="n">
        <v>92.5233895286614</v>
      </c>
      <c r="N525" s="38" t="n">
        <v>66.9487489938589</v>
      </c>
      <c r="O525" s="38" t="n">
        <v>52.0019094248473</v>
      </c>
      <c r="P525" s="37" t="n">
        <v>0</v>
      </c>
      <c r="Q525" s="38" t="n">
        <v>0.0428483729497806</v>
      </c>
      <c r="R525" s="38" t="n">
        <v>63</v>
      </c>
      <c r="S525" s="37" t="n">
        <v>0</v>
      </c>
    </row>
    <row r="526" customFormat="false" ht="15" hidden="false" customHeight="false" outlineLevel="0" collapsed="false">
      <c r="A526" s="37" t="n">
        <v>0</v>
      </c>
      <c r="B526" s="37" t="n">
        <v>5</v>
      </c>
      <c r="C526" s="37" t="n">
        <v>0</v>
      </c>
      <c r="D526" s="37" t="n">
        <v>25</v>
      </c>
      <c r="E526" s="37" t="n">
        <v>0</v>
      </c>
      <c r="F526" s="37" t="n">
        <v>0</v>
      </c>
      <c r="G526" s="37" t="s">
        <v>192</v>
      </c>
      <c r="H526" s="38" t="n">
        <v>199.009613418742</v>
      </c>
      <c r="I526" s="38" t="n">
        <v>198.114644421045</v>
      </c>
      <c r="J526" s="38" t="n">
        <v>196.893897596933</v>
      </c>
      <c r="K526" s="38" t="n">
        <v>194.97939753157</v>
      </c>
      <c r="L526" s="38" t="n">
        <v>24.9606323533624</v>
      </c>
      <c r="M526" s="38" t="n">
        <v>91.6643552894243</v>
      </c>
      <c r="N526" s="38" t="n">
        <v>74.3071002953753</v>
      </c>
      <c r="O526" s="38" t="n">
        <v>56.0367493327929</v>
      </c>
      <c r="P526" s="37" t="n">
        <v>0</v>
      </c>
      <c r="Q526" s="38" t="n">
        <v>0.0393676466376292</v>
      </c>
      <c r="R526" s="38" t="n">
        <v>63</v>
      </c>
      <c r="S526" s="37" t="n">
        <v>0</v>
      </c>
    </row>
    <row r="527" customFormat="false" ht="15" hidden="false" customHeight="false" outlineLevel="0" collapsed="false">
      <c r="A527" s="37" t="n">
        <v>0</v>
      </c>
      <c r="B527" s="37" t="n">
        <v>5</v>
      </c>
      <c r="C527" s="37" t="n">
        <v>0</v>
      </c>
      <c r="D527" s="37" t="n">
        <v>25</v>
      </c>
      <c r="E527" s="37" t="n">
        <v>0</v>
      </c>
      <c r="F527" s="37" t="n">
        <v>0</v>
      </c>
      <c r="G527" s="37" t="s">
        <v>195</v>
      </c>
      <c r="H527" s="38" t="n">
        <v>199.009613418742</v>
      </c>
      <c r="I527" s="38" t="n">
        <v>198.364601995651</v>
      </c>
      <c r="J527" s="38" t="n">
        <v>195.979970878903</v>
      </c>
      <c r="K527" s="38" t="n">
        <v>183.838900411391</v>
      </c>
      <c r="L527" s="38" t="n">
        <v>11.8389004113906</v>
      </c>
      <c r="M527" s="38" t="n">
        <v>97.9519176613213</v>
      </c>
      <c r="N527" s="38" t="n">
        <v>75.8752705250644</v>
      </c>
      <c r="O527" s="38" t="n">
        <v>57.2053491873621</v>
      </c>
      <c r="P527" s="37" t="n">
        <v>0</v>
      </c>
      <c r="Q527" s="38" t="n">
        <v>13.1610995886094</v>
      </c>
      <c r="R527" s="38" t="n">
        <v>67.36</v>
      </c>
      <c r="S527" s="37" t="n">
        <v>0</v>
      </c>
    </row>
    <row r="528" customFormat="false" ht="15" hidden="false" customHeight="false" outlineLevel="0" collapsed="false">
      <c r="A528" s="37" t="n">
        <v>0</v>
      </c>
      <c r="B528" s="37" t="n">
        <v>5</v>
      </c>
      <c r="C528" s="37" t="n">
        <v>0</v>
      </c>
      <c r="D528" s="37" t="n">
        <v>25</v>
      </c>
      <c r="E528" s="37" t="n">
        <v>0</v>
      </c>
      <c r="F528" s="37" t="n">
        <v>0</v>
      </c>
      <c r="G528" s="37" t="s">
        <v>197</v>
      </c>
      <c r="H528" s="38" t="n">
        <v>199.009613418742</v>
      </c>
      <c r="I528" s="38" t="n">
        <v>198.11435681125</v>
      </c>
      <c r="J528" s="38" t="n">
        <v>193.757260669232</v>
      </c>
      <c r="K528" s="38" t="n">
        <v>195.970594120075</v>
      </c>
      <c r="L528" s="38" t="n">
        <v>24.9751820426556</v>
      </c>
      <c r="M528" s="38" t="n">
        <v>94.3266730981944</v>
      </c>
      <c r="N528" s="38" t="n">
        <v>71.5243597760859</v>
      </c>
      <c r="O528" s="38" t="n">
        <v>53.8550002970234</v>
      </c>
      <c r="P528" s="37" t="n">
        <v>0</v>
      </c>
      <c r="Q528" s="38" t="n">
        <v>0.0248179573444531</v>
      </c>
      <c r="R528" s="38" t="n">
        <v>63</v>
      </c>
      <c r="S528" s="37" t="n">
        <v>0</v>
      </c>
    </row>
    <row r="529" customFormat="false" ht="15" hidden="false" customHeight="false" outlineLevel="0" collapsed="false">
      <c r="A529" s="37" t="n">
        <v>0</v>
      </c>
      <c r="B529" s="37" t="n">
        <v>5</v>
      </c>
      <c r="C529" s="37" t="n">
        <v>0</v>
      </c>
      <c r="D529" s="37" t="n">
        <v>25</v>
      </c>
      <c r="E529" s="37" t="n">
        <v>0</v>
      </c>
      <c r="F529" s="37" t="n">
        <v>0</v>
      </c>
      <c r="G529" s="37" t="s">
        <v>196</v>
      </c>
      <c r="H529" s="38" t="n">
        <v>199.009613418742</v>
      </c>
      <c r="I529" s="38" t="n">
        <v>198.114218332372</v>
      </c>
      <c r="J529" s="38" t="n">
        <v>187.226715448764</v>
      </c>
      <c r="K529" s="38" t="n">
        <v>197.78396367353</v>
      </c>
      <c r="L529" s="38" t="n">
        <v>24.987305230465</v>
      </c>
      <c r="M529" s="38" t="n">
        <v>96.6127667112567</v>
      </c>
      <c r="N529" s="38" t="n">
        <v>77.1170855940889</v>
      </c>
      <c r="O529" s="38" t="n">
        <v>51.3017437487244</v>
      </c>
      <c r="P529" s="37" t="n">
        <v>0</v>
      </c>
      <c r="Q529" s="38" t="n">
        <v>0.0126947695350168</v>
      </c>
      <c r="R529" s="38" t="n">
        <v>61.6133333333333</v>
      </c>
      <c r="S529" s="37" t="n">
        <v>1</v>
      </c>
    </row>
    <row r="530" customFormat="false" ht="15" hidden="false" customHeight="false" outlineLevel="0" collapsed="false">
      <c r="A530" s="37" t="n">
        <v>0</v>
      </c>
      <c r="B530" s="37" t="n">
        <v>5</v>
      </c>
      <c r="C530" s="37" t="n">
        <v>5</v>
      </c>
      <c r="D530" s="37" t="n">
        <v>0</v>
      </c>
      <c r="E530" s="37" t="n">
        <v>0</v>
      </c>
      <c r="F530" s="37" t="n">
        <v>20</v>
      </c>
      <c r="G530" s="37" t="s">
        <v>188</v>
      </c>
      <c r="H530" s="38" t="n">
        <v>198.318900208075</v>
      </c>
      <c r="I530" s="38" t="n">
        <v>196.557329305437</v>
      </c>
      <c r="J530" s="38" t="n">
        <v>195.514715188353</v>
      </c>
      <c r="K530" s="38" t="n">
        <v>218.356759516545</v>
      </c>
      <c r="L530" s="38" t="n">
        <v>173.969914855877</v>
      </c>
      <c r="M530" s="38" t="n">
        <v>95.9583663456692</v>
      </c>
      <c r="N530" s="38" t="n">
        <v>101.010769903588</v>
      </c>
      <c r="O530" s="38" t="n">
        <v>63.4961180096165</v>
      </c>
      <c r="P530" s="37" t="n">
        <v>0</v>
      </c>
      <c r="Q530" s="38" t="n">
        <v>0</v>
      </c>
      <c r="R530" s="38" t="n">
        <v>70.5</v>
      </c>
      <c r="S530" s="37" t="n">
        <v>0</v>
      </c>
    </row>
    <row r="531" customFormat="false" ht="15" hidden="false" customHeight="false" outlineLevel="0" collapsed="false">
      <c r="A531" s="37" t="n">
        <v>0</v>
      </c>
      <c r="B531" s="37" t="n">
        <v>5</v>
      </c>
      <c r="C531" s="37" t="n">
        <v>5</v>
      </c>
      <c r="D531" s="37" t="n">
        <v>0</v>
      </c>
      <c r="E531" s="37" t="n">
        <v>0</v>
      </c>
      <c r="F531" s="37" t="n">
        <v>20</v>
      </c>
      <c r="G531" s="37" t="s">
        <v>192</v>
      </c>
      <c r="H531" s="38" t="n">
        <v>198.318900208075</v>
      </c>
      <c r="I531" s="38" t="n">
        <v>196.560638156506</v>
      </c>
      <c r="J531" s="38" t="n">
        <v>198.723490475091</v>
      </c>
      <c r="K531" s="38" t="n">
        <v>222.611274499158</v>
      </c>
      <c r="L531" s="38" t="n">
        <v>181.421773603962</v>
      </c>
      <c r="M531" s="38" t="n">
        <v>95.1170429672502</v>
      </c>
      <c r="N531" s="38" t="n">
        <v>107.779427762049</v>
      </c>
      <c r="O531" s="38" t="n">
        <v>67.0725116816783</v>
      </c>
      <c r="P531" s="37" t="n">
        <v>0</v>
      </c>
      <c r="Q531" s="38" t="n">
        <v>0</v>
      </c>
      <c r="R531" s="38" t="n">
        <v>70.5</v>
      </c>
      <c r="S531" s="37" t="n">
        <v>1</v>
      </c>
    </row>
    <row r="532" customFormat="false" ht="15" hidden="false" customHeight="false" outlineLevel="0" collapsed="false">
      <c r="A532" s="37" t="n">
        <v>0</v>
      </c>
      <c r="B532" s="37" t="n">
        <v>5</v>
      </c>
      <c r="C532" s="37" t="n">
        <v>5</v>
      </c>
      <c r="D532" s="37" t="n">
        <v>0</v>
      </c>
      <c r="E532" s="37" t="n">
        <v>0</v>
      </c>
      <c r="F532" s="37" t="n">
        <v>20</v>
      </c>
      <c r="G532" s="37" t="s">
        <v>195</v>
      </c>
      <c r="H532" s="38" t="n">
        <v>198.318900208075</v>
      </c>
      <c r="I532" s="38" t="n">
        <v>196.565928958441</v>
      </c>
      <c r="J532" s="38" t="n">
        <v>194.134232962051</v>
      </c>
      <c r="K532" s="38" t="n">
        <v>213.302840377022</v>
      </c>
      <c r="L532" s="38" t="n">
        <v>174.535709546846</v>
      </c>
      <c r="M532" s="38" t="n">
        <v>95.9702317392734</v>
      </c>
      <c r="N532" s="38" t="n">
        <v>96.7269950734303</v>
      </c>
      <c r="O532" s="38" t="n">
        <v>61.0363698103632</v>
      </c>
      <c r="P532" s="37" t="n">
        <v>0</v>
      </c>
      <c r="Q532" s="38" t="n">
        <v>0</v>
      </c>
      <c r="R532" s="38" t="n">
        <v>68.5448607509473</v>
      </c>
      <c r="S532" s="37" t="n">
        <v>0</v>
      </c>
    </row>
    <row r="533" customFormat="false" ht="15" hidden="false" customHeight="false" outlineLevel="0" collapsed="false">
      <c r="A533" s="37" t="n">
        <v>0</v>
      </c>
      <c r="B533" s="37" t="n">
        <v>5</v>
      </c>
      <c r="C533" s="37" t="n">
        <v>5</v>
      </c>
      <c r="D533" s="37" t="n">
        <v>0</v>
      </c>
      <c r="E533" s="37" t="n">
        <v>0</v>
      </c>
      <c r="F533" s="37" t="n">
        <v>20</v>
      </c>
      <c r="G533" s="37" t="s">
        <v>197</v>
      </c>
      <c r="H533" s="38" t="n">
        <v>198.318900208075</v>
      </c>
      <c r="I533" s="38" t="n">
        <v>196.55827584851</v>
      </c>
      <c r="J533" s="38" t="n">
        <v>197.656188843363</v>
      </c>
      <c r="K533" s="38" t="n">
        <v>221.273405222197</v>
      </c>
      <c r="L533" s="38" t="n">
        <v>178.672659489052</v>
      </c>
      <c r="M533" s="38" t="n">
        <v>95.4080371630307</v>
      </c>
      <c r="N533" s="38" t="n">
        <v>97.8808392097741</v>
      </c>
      <c r="O533" s="38" t="n">
        <v>62.564170807308</v>
      </c>
      <c r="P533" s="37" t="n">
        <v>0</v>
      </c>
      <c r="Q533" s="38" t="n">
        <v>0</v>
      </c>
      <c r="R533" s="38" t="n">
        <v>70.5</v>
      </c>
      <c r="S533" s="37" t="n">
        <v>0</v>
      </c>
    </row>
    <row r="534" customFormat="false" ht="15" hidden="false" customHeight="false" outlineLevel="0" collapsed="false">
      <c r="A534" s="37" t="n">
        <v>0</v>
      </c>
      <c r="B534" s="37" t="n">
        <v>5</v>
      </c>
      <c r="C534" s="37" t="n">
        <v>5</v>
      </c>
      <c r="D534" s="37" t="n">
        <v>0</v>
      </c>
      <c r="E534" s="37" t="n">
        <v>0</v>
      </c>
      <c r="F534" s="37" t="n">
        <v>20</v>
      </c>
      <c r="G534" s="37" t="s">
        <v>196</v>
      </c>
      <c r="H534" s="38" t="n">
        <v>198.318900208075</v>
      </c>
      <c r="I534" s="38" t="n">
        <v>196.559849017997</v>
      </c>
      <c r="J534" s="38" t="n">
        <v>198.324095801512</v>
      </c>
      <c r="K534" s="38" t="n">
        <v>222.280096036059</v>
      </c>
      <c r="L534" s="38" t="n">
        <v>186.241445242408</v>
      </c>
      <c r="M534" s="38" t="n">
        <v>96.7188814058685</v>
      </c>
      <c r="N534" s="38" t="n">
        <v>105.441626756475</v>
      </c>
      <c r="O534" s="38" t="n">
        <v>64.5741391136317</v>
      </c>
      <c r="P534" s="37" t="n">
        <v>0</v>
      </c>
      <c r="Q534" s="38" t="n">
        <v>0</v>
      </c>
      <c r="R534" s="38" t="n">
        <v>69.6040571428571</v>
      </c>
      <c r="S534" s="37" t="n">
        <v>0</v>
      </c>
    </row>
    <row r="535" customFormat="false" ht="15" hidden="false" customHeight="false" outlineLevel="0" collapsed="false">
      <c r="A535" s="37" t="n">
        <v>0</v>
      </c>
      <c r="B535" s="37" t="n">
        <v>5</v>
      </c>
      <c r="C535" s="37" t="n">
        <v>5</v>
      </c>
      <c r="D535" s="37" t="n">
        <v>0</v>
      </c>
      <c r="E535" s="37" t="n">
        <v>5</v>
      </c>
      <c r="F535" s="37" t="n">
        <v>15</v>
      </c>
      <c r="G535" s="37" t="s">
        <v>188</v>
      </c>
      <c r="H535" s="38" t="n">
        <v>198.351235150921</v>
      </c>
      <c r="I535" s="38" t="n">
        <v>196.834751795467</v>
      </c>
      <c r="J535" s="38" t="n">
        <v>198.166752253857</v>
      </c>
      <c r="K535" s="38" t="n">
        <v>223.142734354332</v>
      </c>
      <c r="L535" s="38" t="n">
        <v>138.916306502734</v>
      </c>
      <c r="M535" s="38" t="n">
        <v>97.3383106445876</v>
      </c>
      <c r="N535" s="38" t="n">
        <v>107.898357648382</v>
      </c>
      <c r="O535" s="38" t="n">
        <v>64.1854256939337</v>
      </c>
      <c r="P535" s="37" t="n">
        <v>0</v>
      </c>
      <c r="Q535" s="38" t="n">
        <v>0</v>
      </c>
      <c r="R535" s="38" t="n">
        <v>70.5</v>
      </c>
      <c r="S535" s="37" t="n">
        <v>0</v>
      </c>
    </row>
    <row r="536" customFormat="false" ht="15" hidden="false" customHeight="false" outlineLevel="0" collapsed="false">
      <c r="A536" s="37" t="n">
        <v>0</v>
      </c>
      <c r="B536" s="37" t="n">
        <v>5</v>
      </c>
      <c r="C536" s="37" t="n">
        <v>5</v>
      </c>
      <c r="D536" s="37" t="n">
        <v>0</v>
      </c>
      <c r="E536" s="37" t="n">
        <v>5</v>
      </c>
      <c r="F536" s="37" t="n">
        <v>15</v>
      </c>
      <c r="G536" s="37" t="s">
        <v>192</v>
      </c>
      <c r="H536" s="38" t="n">
        <v>198.351235150921</v>
      </c>
      <c r="I536" s="38" t="n">
        <v>196.838710349477</v>
      </c>
      <c r="J536" s="38" t="n">
        <v>201.398330219388</v>
      </c>
      <c r="K536" s="38" t="n">
        <v>227.434386300241</v>
      </c>
      <c r="L536" s="38" t="n">
        <v>146.228813252767</v>
      </c>
      <c r="M536" s="38" t="n">
        <v>96.4887675706635</v>
      </c>
      <c r="N536" s="38" t="n">
        <v>114.623727186063</v>
      </c>
      <c r="O536" s="38" t="n">
        <v>68.0900709682526</v>
      </c>
      <c r="P536" s="37" t="n">
        <v>0</v>
      </c>
      <c r="Q536" s="38" t="n">
        <v>0</v>
      </c>
      <c r="R536" s="38" t="n">
        <v>70.5</v>
      </c>
      <c r="S536" s="37" t="n">
        <v>1</v>
      </c>
    </row>
    <row r="537" customFormat="false" ht="15" hidden="false" customHeight="false" outlineLevel="0" collapsed="false">
      <c r="A537" s="37" t="n">
        <v>0</v>
      </c>
      <c r="B537" s="37" t="n">
        <v>5</v>
      </c>
      <c r="C537" s="37" t="n">
        <v>5</v>
      </c>
      <c r="D537" s="37" t="n">
        <v>0</v>
      </c>
      <c r="E537" s="37" t="n">
        <v>5</v>
      </c>
      <c r="F537" s="37" t="n">
        <v>15</v>
      </c>
      <c r="G537" s="37" t="s">
        <v>195</v>
      </c>
      <c r="H537" s="38" t="n">
        <v>198.351235150921</v>
      </c>
      <c r="I537" s="38" t="n">
        <v>196.846310319207</v>
      </c>
      <c r="J537" s="38" t="n">
        <v>196.755226889441</v>
      </c>
      <c r="K537" s="38" t="n">
        <v>218.057879116229</v>
      </c>
      <c r="L537" s="38" t="n">
        <v>139.247632582952</v>
      </c>
      <c r="M537" s="38" t="n">
        <v>97.3559447604565</v>
      </c>
      <c r="N537" s="38" t="n">
        <v>103.696965745054</v>
      </c>
      <c r="O537" s="38" t="n">
        <v>62.0458834384886</v>
      </c>
      <c r="P537" s="37" t="n">
        <v>0</v>
      </c>
      <c r="Q537" s="38" t="n">
        <v>0</v>
      </c>
      <c r="R537" s="38" t="n">
        <v>68.531926040017</v>
      </c>
      <c r="S537" s="37" t="n">
        <v>0</v>
      </c>
    </row>
    <row r="538" customFormat="false" ht="15" hidden="false" customHeight="false" outlineLevel="0" collapsed="false">
      <c r="A538" s="37" t="n">
        <v>0</v>
      </c>
      <c r="B538" s="37" t="n">
        <v>5</v>
      </c>
      <c r="C538" s="37" t="n">
        <v>5</v>
      </c>
      <c r="D538" s="37" t="n">
        <v>0</v>
      </c>
      <c r="E538" s="37" t="n">
        <v>5</v>
      </c>
      <c r="F538" s="37" t="n">
        <v>15</v>
      </c>
      <c r="G538" s="37" t="s">
        <v>197</v>
      </c>
      <c r="H538" s="38" t="n">
        <v>198.351235150921</v>
      </c>
      <c r="I538" s="38" t="n">
        <v>196.844897216873</v>
      </c>
      <c r="J538" s="38" t="n">
        <v>200.919864790311</v>
      </c>
      <c r="K538" s="38" t="n">
        <v>227.016072518725</v>
      </c>
      <c r="L538" s="38" t="n">
        <v>144.978632394718</v>
      </c>
      <c r="M538" s="38" t="n">
        <v>100.180656867615</v>
      </c>
      <c r="N538" s="38" t="n">
        <v>114.400317015771</v>
      </c>
      <c r="O538" s="38" t="n">
        <v>67.7549540259186</v>
      </c>
      <c r="P538" s="37" t="n">
        <v>0</v>
      </c>
      <c r="Q538" s="38" t="n">
        <v>0</v>
      </c>
      <c r="R538" s="38" t="n">
        <v>70.5</v>
      </c>
      <c r="S538" s="37" t="n">
        <v>0</v>
      </c>
    </row>
    <row r="539" customFormat="false" ht="15" hidden="false" customHeight="false" outlineLevel="0" collapsed="false">
      <c r="A539" s="37" t="n">
        <v>0</v>
      </c>
      <c r="B539" s="37" t="n">
        <v>5</v>
      </c>
      <c r="C539" s="37" t="n">
        <v>5</v>
      </c>
      <c r="D539" s="37" t="n">
        <v>0</v>
      </c>
      <c r="E539" s="37" t="n">
        <v>5</v>
      </c>
      <c r="F539" s="37" t="n">
        <v>15</v>
      </c>
      <c r="G539" s="37" t="s">
        <v>196</v>
      </c>
      <c r="H539" s="38" t="n">
        <v>198.351235150921</v>
      </c>
      <c r="I539" s="38" t="n">
        <v>196.838672961744</v>
      </c>
      <c r="J539" s="38" t="n">
        <v>200.829273025339</v>
      </c>
      <c r="K539" s="38" t="n">
        <v>226.909897480705</v>
      </c>
      <c r="L539" s="38" t="n">
        <v>150.537913353721</v>
      </c>
      <c r="M539" s="38" t="n">
        <v>98.7747766523184</v>
      </c>
      <c r="N539" s="38" t="n">
        <v>113.732253557036</v>
      </c>
      <c r="O539" s="38" t="n">
        <v>66.6181130295371</v>
      </c>
      <c r="P539" s="37" t="n">
        <v>0</v>
      </c>
      <c r="Q539" s="38" t="n">
        <v>0</v>
      </c>
      <c r="R539" s="38" t="n">
        <v>69.5240571428572</v>
      </c>
      <c r="S539" s="37" t="n">
        <v>0</v>
      </c>
    </row>
    <row r="540" customFormat="false" ht="15" hidden="false" customHeight="false" outlineLevel="0" collapsed="false">
      <c r="A540" s="37" t="n">
        <v>0</v>
      </c>
      <c r="B540" s="37" t="n">
        <v>5</v>
      </c>
      <c r="C540" s="37" t="n">
        <v>5</v>
      </c>
      <c r="D540" s="37" t="n">
        <v>0</v>
      </c>
      <c r="E540" s="37" t="n">
        <v>10</v>
      </c>
      <c r="F540" s="37" t="n">
        <v>10</v>
      </c>
      <c r="G540" s="37" t="s">
        <v>188</v>
      </c>
      <c r="H540" s="38" t="n">
        <v>198.37707650133</v>
      </c>
      <c r="I540" s="38" t="n">
        <v>197.073496545997</v>
      </c>
      <c r="J540" s="38" t="n">
        <v>200.053457894357</v>
      </c>
      <c r="K540" s="38" t="n">
        <v>226.632452517293</v>
      </c>
      <c r="L540" s="38" t="n">
        <v>102.589413615373</v>
      </c>
      <c r="M540" s="38" t="n">
        <v>98.4907854868391</v>
      </c>
      <c r="N540" s="38" t="n">
        <v>112.910365156118</v>
      </c>
      <c r="O540" s="38" t="n">
        <v>63.7643003510122</v>
      </c>
      <c r="P540" s="37" t="n">
        <v>0</v>
      </c>
      <c r="Q540" s="38" t="n">
        <v>0</v>
      </c>
      <c r="R540" s="38" t="n">
        <v>70.5</v>
      </c>
      <c r="S540" s="37" t="n">
        <v>0</v>
      </c>
    </row>
    <row r="541" customFormat="false" ht="15" hidden="false" customHeight="false" outlineLevel="0" collapsed="false">
      <c r="A541" s="37" t="n">
        <v>0</v>
      </c>
      <c r="B541" s="37" t="n">
        <v>5</v>
      </c>
      <c r="C541" s="37" t="n">
        <v>5</v>
      </c>
      <c r="D541" s="37" t="n">
        <v>0</v>
      </c>
      <c r="E541" s="37" t="n">
        <v>10</v>
      </c>
      <c r="F541" s="37" t="n">
        <v>10</v>
      </c>
      <c r="G541" s="37" t="s">
        <v>192</v>
      </c>
      <c r="H541" s="38" t="n">
        <v>198.37707650133</v>
      </c>
      <c r="I541" s="38" t="n">
        <v>197.078174550751</v>
      </c>
      <c r="J541" s="38" t="n">
        <v>203.306103048591</v>
      </c>
      <c r="K541" s="38" t="n">
        <v>230.960582955407</v>
      </c>
      <c r="L541" s="38" t="n">
        <v>109.72816157946</v>
      </c>
      <c r="M541" s="38" t="n">
        <v>97.6072937434739</v>
      </c>
      <c r="N541" s="38" t="n">
        <v>119.59090984324</v>
      </c>
      <c r="O541" s="38" t="n">
        <v>67.7517274996821</v>
      </c>
      <c r="P541" s="37" t="n">
        <v>0</v>
      </c>
      <c r="Q541" s="38" t="n">
        <v>0</v>
      </c>
      <c r="R541" s="38" t="n">
        <v>70.5</v>
      </c>
      <c r="S541" s="37" t="n">
        <v>0</v>
      </c>
    </row>
    <row r="542" customFormat="false" ht="15" hidden="false" customHeight="false" outlineLevel="0" collapsed="false">
      <c r="A542" s="37" t="n">
        <v>0</v>
      </c>
      <c r="B542" s="37" t="n">
        <v>5</v>
      </c>
      <c r="C542" s="37" t="n">
        <v>5</v>
      </c>
      <c r="D542" s="37" t="n">
        <v>0</v>
      </c>
      <c r="E542" s="37" t="n">
        <v>10</v>
      </c>
      <c r="F542" s="37" t="n">
        <v>10</v>
      </c>
      <c r="G542" s="37" t="s">
        <v>195</v>
      </c>
      <c r="H542" s="38" t="n">
        <v>198.37707650133</v>
      </c>
      <c r="I542" s="38" t="n">
        <v>197.088954117129</v>
      </c>
      <c r="J542" s="38" t="n">
        <v>198.670088323846</v>
      </c>
      <c r="K542" s="38" t="n">
        <v>221.590292025055</v>
      </c>
      <c r="L542" s="38" t="n">
        <v>102.710036057072</v>
      </c>
      <c r="M542" s="38" t="n">
        <v>98.5183105380064</v>
      </c>
      <c r="N542" s="38" t="n">
        <v>108.866854961388</v>
      </c>
      <c r="O542" s="38" t="n">
        <v>61.8945778321843</v>
      </c>
      <c r="P542" s="37" t="n">
        <v>0</v>
      </c>
      <c r="Q542" s="38" t="n">
        <v>0</v>
      </c>
      <c r="R542" s="38" t="n">
        <v>68.5109232096053</v>
      </c>
      <c r="S542" s="37" t="n">
        <v>0</v>
      </c>
    </row>
    <row r="543" customFormat="false" ht="15" hidden="false" customHeight="false" outlineLevel="0" collapsed="false">
      <c r="A543" s="37" t="n">
        <v>0</v>
      </c>
      <c r="B543" s="37" t="n">
        <v>5</v>
      </c>
      <c r="C543" s="37" t="n">
        <v>5</v>
      </c>
      <c r="D543" s="37" t="n">
        <v>0</v>
      </c>
      <c r="E543" s="37" t="n">
        <v>10</v>
      </c>
      <c r="F543" s="37" t="n">
        <v>10</v>
      </c>
      <c r="G543" s="37" t="s">
        <v>197</v>
      </c>
      <c r="H543" s="38" t="n">
        <v>198.37707650133</v>
      </c>
      <c r="I543" s="38" t="n">
        <v>197.103402841889</v>
      </c>
      <c r="J543" s="38" t="n">
        <v>203.7536699661</v>
      </c>
      <c r="K543" s="38" t="n">
        <v>231.913643508951</v>
      </c>
      <c r="L543" s="38" t="n">
        <v>110.581932693321</v>
      </c>
      <c r="M543" s="38" t="n">
        <v>104.038269767936</v>
      </c>
      <c r="N543" s="38" t="n">
        <v>128.096247964288</v>
      </c>
      <c r="O543" s="38" t="n">
        <v>69.1850663015323</v>
      </c>
      <c r="P543" s="37" t="n">
        <v>0</v>
      </c>
      <c r="Q543" s="38" t="n">
        <v>0</v>
      </c>
      <c r="R543" s="38" t="n">
        <v>70.5</v>
      </c>
      <c r="S543" s="37" t="n">
        <v>1</v>
      </c>
    </row>
    <row r="544" customFormat="false" ht="15" hidden="false" customHeight="false" outlineLevel="0" collapsed="false">
      <c r="A544" s="37" t="n">
        <v>0</v>
      </c>
      <c r="B544" s="37" t="n">
        <v>5</v>
      </c>
      <c r="C544" s="37" t="n">
        <v>5</v>
      </c>
      <c r="D544" s="37" t="n">
        <v>0</v>
      </c>
      <c r="E544" s="37" t="n">
        <v>10</v>
      </c>
      <c r="F544" s="37" t="n">
        <v>10</v>
      </c>
      <c r="G544" s="37" t="s">
        <v>196</v>
      </c>
      <c r="H544" s="38" t="n">
        <v>198.37707650133</v>
      </c>
      <c r="I544" s="38" t="n">
        <v>197.079892714224</v>
      </c>
      <c r="J544" s="38" t="n">
        <v>202.75922720616</v>
      </c>
      <c r="K544" s="38" t="n">
        <v>230.500380081198</v>
      </c>
      <c r="L544" s="38" t="n">
        <v>114.077720240017</v>
      </c>
      <c r="M544" s="38" t="n">
        <v>100.461321912621</v>
      </c>
      <c r="N544" s="38" t="n">
        <v>120.142967219272</v>
      </c>
      <c r="O544" s="38" t="n">
        <v>66.8611133610394</v>
      </c>
      <c r="P544" s="37" t="n">
        <v>0</v>
      </c>
      <c r="Q544" s="38" t="n">
        <v>0</v>
      </c>
      <c r="R544" s="38" t="n">
        <v>69.5118949714501</v>
      </c>
      <c r="S544" s="37" t="n">
        <v>0</v>
      </c>
    </row>
    <row r="545" customFormat="false" ht="15" hidden="false" customHeight="false" outlineLevel="0" collapsed="false">
      <c r="A545" s="37" t="n">
        <v>0</v>
      </c>
      <c r="B545" s="37" t="n">
        <v>5</v>
      </c>
      <c r="C545" s="37" t="n">
        <v>5</v>
      </c>
      <c r="D545" s="37" t="n">
        <v>0</v>
      </c>
      <c r="E545" s="37" t="n">
        <v>15</v>
      </c>
      <c r="F545" s="37" t="n">
        <v>5</v>
      </c>
      <c r="G545" s="37" t="s">
        <v>188</v>
      </c>
      <c r="H545" s="38" t="n">
        <v>198.401795894741</v>
      </c>
      <c r="I545" s="38" t="n">
        <v>197.25238779308</v>
      </c>
      <c r="J545" s="38" t="n">
        <v>201.35128616058</v>
      </c>
      <c r="K545" s="38" t="n">
        <v>229.085655970434</v>
      </c>
      <c r="L545" s="38" t="n">
        <v>65.2071906221858</v>
      </c>
      <c r="M545" s="38" t="n">
        <v>99.382119273958</v>
      </c>
      <c r="N545" s="38" t="n">
        <v>116.342219331697</v>
      </c>
      <c r="O545" s="38" t="n">
        <v>63.1020107939611</v>
      </c>
      <c r="P545" s="37" t="n">
        <v>0</v>
      </c>
      <c r="Q545" s="38" t="n">
        <v>0</v>
      </c>
      <c r="R545" s="38" t="n">
        <v>70.5</v>
      </c>
      <c r="S545" s="37" t="n">
        <v>0</v>
      </c>
    </row>
    <row r="546" customFormat="false" ht="15" hidden="false" customHeight="false" outlineLevel="0" collapsed="false">
      <c r="A546" s="37" t="n">
        <v>0</v>
      </c>
      <c r="B546" s="37" t="n">
        <v>5</v>
      </c>
      <c r="C546" s="37" t="n">
        <v>5</v>
      </c>
      <c r="D546" s="37" t="n">
        <v>0</v>
      </c>
      <c r="E546" s="37" t="n">
        <v>15</v>
      </c>
      <c r="F546" s="37" t="n">
        <v>5</v>
      </c>
      <c r="G546" s="37" t="s">
        <v>192</v>
      </c>
      <c r="H546" s="38" t="n">
        <v>198.401795894741</v>
      </c>
      <c r="I546" s="38" t="n">
        <v>197.257264309887</v>
      </c>
      <c r="J546" s="38" t="n">
        <v>204.576672103063</v>
      </c>
      <c r="K546" s="38" t="n">
        <v>233.377030304863</v>
      </c>
      <c r="L546" s="38" t="n">
        <v>72.1187060900291</v>
      </c>
      <c r="M546" s="38" t="n">
        <v>98.4664831949531</v>
      </c>
      <c r="N546" s="38" t="n">
        <v>122.857742950756</v>
      </c>
      <c r="O546" s="38" t="n">
        <v>67.1405798689488</v>
      </c>
      <c r="P546" s="37" t="n">
        <v>0</v>
      </c>
      <c r="Q546" s="38" t="n">
        <v>0</v>
      </c>
      <c r="R546" s="38" t="n">
        <v>70.5</v>
      </c>
      <c r="S546" s="37" t="n">
        <v>0</v>
      </c>
    </row>
    <row r="547" customFormat="false" ht="15" hidden="false" customHeight="false" outlineLevel="0" collapsed="false">
      <c r="A547" s="37" t="n">
        <v>0</v>
      </c>
      <c r="B547" s="37" t="n">
        <v>5</v>
      </c>
      <c r="C547" s="37" t="n">
        <v>5</v>
      </c>
      <c r="D547" s="37" t="n">
        <v>0</v>
      </c>
      <c r="E547" s="37" t="n">
        <v>15</v>
      </c>
      <c r="F547" s="37" t="n">
        <v>5</v>
      </c>
      <c r="G547" s="37" t="s">
        <v>195</v>
      </c>
      <c r="H547" s="38" t="n">
        <v>198.401795894741</v>
      </c>
      <c r="I547" s="38" t="n">
        <v>197.27205907478</v>
      </c>
      <c r="J547" s="38" t="n">
        <v>200.015276981152</v>
      </c>
      <c r="K547" s="38" t="n">
        <v>224.115197152667</v>
      </c>
      <c r="L547" s="38" t="n">
        <v>65.1739894502919</v>
      </c>
      <c r="M547" s="38" t="n">
        <v>99.4204959538365</v>
      </c>
      <c r="N547" s="38" t="n">
        <v>112.449213237316</v>
      </c>
      <c r="O547" s="38" t="n">
        <v>61.4737691272018</v>
      </c>
      <c r="P547" s="37" t="n">
        <v>0</v>
      </c>
      <c r="Q547" s="38" t="n">
        <v>0</v>
      </c>
      <c r="R547" s="38" t="n">
        <v>68.4926376892876</v>
      </c>
      <c r="S547" s="37" t="n">
        <v>0</v>
      </c>
    </row>
    <row r="548" customFormat="false" ht="15" hidden="false" customHeight="false" outlineLevel="0" collapsed="false">
      <c r="A548" s="37" t="n">
        <v>0</v>
      </c>
      <c r="B548" s="37" t="n">
        <v>5</v>
      </c>
      <c r="C548" s="37" t="n">
        <v>5</v>
      </c>
      <c r="D548" s="37" t="n">
        <v>0</v>
      </c>
      <c r="E548" s="37" t="n">
        <v>15</v>
      </c>
      <c r="F548" s="37" t="n">
        <v>5</v>
      </c>
      <c r="G548" s="37" t="s">
        <v>197</v>
      </c>
      <c r="H548" s="38" t="n">
        <v>198.401795894741</v>
      </c>
      <c r="I548" s="38" t="n">
        <v>197.29887837197</v>
      </c>
      <c r="J548" s="38" t="n">
        <v>205.746349475473</v>
      </c>
      <c r="K548" s="38" t="n">
        <v>235.382572334417</v>
      </c>
      <c r="L548" s="38" t="n">
        <v>74.5172924815538</v>
      </c>
      <c r="M548" s="38" t="n">
        <v>106.576668798005</v>
      </c>
      <c r="N548" s="38" t="n">
        <v>133.645956201282</v>
      </c>
      <c r="O548" s="38" t="n">
        <v>69.126548822602</v>
      </c>
      <c r="P548" s="37" t="n">
        <v>0</v>
      </c>
      <c r="Q548" s="38" t="n">
        <v>0</v>
      </c>
      <c r="R548" s="38" t="n">
        <v>70.5</v>
      </c>
      <c r="S548" s="37" t="n">
        <v>1</v>
      </c>
    </row>
    <row r="549" customFormat="false" ht="15" hidden="false" customHeight="false" outlineLevel="0" collapsed="false">
      <c r="A549" s="37" t="n">
        <v>0</v>
      </c>
      <c r="B549" s="37" t="n">
        <v>5</v>
      </c>
      <c r="C549" s="37" t="n">
        <v>5</v>
      </c>
      <c r="D549" s="37" t="n">
        <v>0</v>
      </c>
      <c r="E549" s="37" t="n">
        <v>15</v>
      </c>
      <c r="F549" s="37" t="n">
        <v>5</v>
      </c>
      <c r="G549" s="37" t="s">
        <v>196</v>
      </c>
      <c r="H549" s="38" t="n">
        <v>198.401795894741</v>
      </c>
      <c r="I549" s="38" t="n">
        <v>197.259927299405</v>
      </c>
      <c r="J549" s="38" t="n">
        <v>204.032312084128</v>
      </c>
      <c r="K549" s="38" t="n">
        <v>232.943843666371</v>
      </c>
      <c r="L549" s="38" t="n">
        <v>76.4577066335735</v>
      </c>
      <c r="M549" s="38" t="n">
        <v>101.671480030231</v>
      </c>
      <c r="N549" s="38" t="n">
        <v>123.650428116812</v>
      </c>
      <c r="O549" s="38" t="n">
        <v>66.2054988282313</v>
      </c>
      <c r="P549" s="37" t="n">
        <v>0</v>
      </c>
      <c r="Q549" s="38" t="n">
        <v>0</v>
      </c>
      <c r="R549" s="38" t="n">
        <v>69.4966604454619</v>
      </c>
      <c r="S549" s="37" t="n">
        <v>0</v>
      </c>
    </row>
    <row r="550" customFormat="false" ht="15" hidden="false" customHeight="false" outlineLevel="0" collapsed="false">
      <c r="A550" s="37" t="n">
        <v>0</v>
      </c>
      <c r="B550" s="37" t="n">
        <v>5</v>
      </c>
      <c r="C550" s="37" t="n">
        <v>5</v>
      </c>
      <c r="D550" s="37" t="n">
        <v>0</v>
      </c>
      <c r="E550" s="37" t="n">
        <v>20</v>
      </c>
      <c r="F550" s="37" t="n">
        <v>0</v>
      </c>
      <c r="G550" s="37" t="s">
        <v>188</v>
      </c>
      <c r="H550" s="38" t="n">
        <v>198.425461635482</v>
      </c>
      <c r="I550" s="38" t="n">
        <v>197.418164940138</v>
      </c>
      <c r="J550" s="38" t="n">
        <v>202.285160451091</v>
      </c>
      <c r="K550" s="38" t="n">
        <v>231.137793328855</v>
      </c>
      <c r="L550" s="38" t="n">
        <v>38.6630422124856</v>
      </c>
      <c r="M550" s="38" t="n">
        <v>100.227814188306</v>
      </c>
      <c r="N550" s="38" t="n">
        <v>117.110822169214</v>
      </c>
      <c r="O550" s="38" t="n">
        <v>59.4729682905761</v>
      </c>
      <c r="P550" s="37" t="n">
        <v>0</v>
      </c>
      <c r="Q550" s="38" t="n">
        <v>0</v>
      </c>
      <c r="R550" s="38" t="n">
        <v>70.5</v>
      </c>
      <c r="S550" s="37" t="n">
        <v>0</v>
      </c>
    </row>
    <row r="551" customFormat="false" ht="15" hidden="false" customHeight="false" outlineLevel="0" collapsed="false">
      <c r="A551" s="37" t="n">
        <v>0</v>
      </c>
      <c r="B551" s="37" t="n">
        <v>5</v>
      </c>
      <c r="C551" s="37" t="n">
        <v>5</v>
      </c>
      <c r="D551" s="37" t="n">
        <v>0</v>
      </c>
      <c r="E551" s="37" t="n">
        <v>20</v>
      </c>
      <c r="F551" s="37" t="n">
        <v>0</v>
      </c>
      <c r="G551" s="37" t="s">
        <v>192</v>
      </c>
      <c r="H551" s="38" t="n">
        <v>198.425461635482</v>
      </c>
      <c r="I551" s="38" t="n">
        <v>197.423247622268</v>
      </c>
      <c r="J551" s="38" t="n">
        <v>205.684432946551</v>
      </c>
      <c r="K551" s="38" t="n">
        <v>235.530430614638</v>
      </c>
      <c r="L551" s="38" t="n">
        <v>34.2462907017501</v>
      </c>
      <c r="M551" s="38" t="n">
        <v>99.2800074507838</v>
      </c>
      <c r="N551" s="38" t="n">
        <v>120.610744503995</v>
      </c>
      <c r="O551" s="38" t="n">
        <v>66.4306238921842</v>
      </c>
      <c r="P551" s="37" t="n">
        <v>0</v>
      </c>
      <c r="Q551" s="38" t="n">
        <v>0</v>
      </c>
      <c r="R551" s="38" t="n">
        <v>70.5</v>
      </c>
      <c r="S551" s="37" t="n">
        <v>0</v>
      </c>
    </row>
    <row r="552" customFormat="false" ht="15" hidden="false" customHeight="false" outlineLevel="0" collapsed="false">
      <c r="A552" s="37" t="n">
        <v>0</v>
      </c>
      <c r="B552" s="37" t="n">
        <v>5</v>
      </c>
      <c r="C552" s="37" t="n">
        <v>5</v>
      </c>
      <c r="D552" s="37" t="n">
        <v>0</v>
      </c>
      <c r="E552" s="37" t="n">
        <v>20</v>
      </c>
      <c r="F552" s="37" t="n">
        <v>0</v>
      </c>
      <c r="G552" s="37" t="s">
        <v>195</v>
      </c>
      <c r="H552" s="38" t="n">
        <v>198.425461635482</v>
      </c>
      <c r="I552" s="38" t="n">
        <v>197.441727429071</v>
      </c>
      <c r="J552" s="38" t="n">
        <v>201.176489205216</v>
      </c>
      <c r="K552" s="38" t="n">
        <v>226.354784820819</v>
      </c>
      <c r="L552" s="38" t="n">
        <v>27.3517192648284</v>
      </c>
      <c r="M552" s="38" t="n">
        <v>100.275332420619</v>
      </c>
      <c r="N552" s="38" t="n">
        <v>104.443207780384</v>
      </c>
      <c r="O552" s="38" t="n">
        <v>60.9468968709421</v>
      </c>
      <c r="P552" s="37" t="n">
        <v>0</v>
      </c>
      <c r="Q552" s="38" t="n">
        <v>0</v>
      </c>
      <c r="R552" s="38" t="n">
        <v>68.4740803332029</v>
      </c>
      <c r="S552" s="37" t="n">
        <v>0</v>
      </c>
    </row>
    <row r="553" customFormat="false" ht="15" hidden="false" customHeight="false" outlineLevel="0" collapsed="false">
      <c r="A553" s="37" t="n">
        <v>0</v>
      </c>
      <c r="B553" s="37" t="n">
        <v>5</v>
      </c>
      <c r="C553" s="37" t="n">
        <v>5</v>
      </c>
      <c r="D553" s="37" t="n">
        <v>0</v>
      </c>
      <c r="E553" s="37" t="n">
        <v>20</v>
      </c>
      <c r="F553" s="37" t="n">
        <v>0</v>
      </c>
      <c r="G553" s="37" t="s">
        <v>197</v>
      </c>
      <c r="H553" s="38" t="n">
        <v>198.425461635482</v>
      </c>
      <c r="I553" s="38" t="n">
        <v>197.483663279518</v>
      </c>
      <c r="J553" s="38" t="n">
        <v>205.891749217333</v>
      </c>
      <c r="K553" s="38" t="n">
        <v>236.410028019686</v>
      </c>
      <c r="L553" s="38" t="n">
        <v>44.9100280196857</v>
      </c>
      <c r="M553" s="38" t="n">
        <v>109.03539183288</v>
      </c>
      <c r="N553" s="38" t="n">
        <v>133.401549692269</v>
      </c>
      <c r="O553" s="38" t="n">
        <v>68.0566118062695</v>
      </c>
      <c r="P553" s="37" t="n">
        <v>0</v>
      </c>
      <c r="Q553" s="38" t="n">
        <v>0</v>
      </c>
      <c r="R553" s="38" t="n">
        <v>70.5</v>
      </c>
      <c r="S553" s="37" t="n">
        <v>1</v>
      </c>
    </row>
    <row r="554" customFormat="false" ht="15" hidden="false" customHeight="false" outlineLevel="0" collapsed="false">
      <c r="A554" s="37" t="n">
        <v>0</v>
      </c>
      <c r="B554" s="37" t="n">
        <v>5</v>
      </c>
      <c r="C554" s="37" t="n">
        <v>5</v>
      </c>
      <c r="D554" s="37" t="n">
        <v>0</v>
      </c>
      <c r="E554" s="37" t="n">
        <v>20</v>
      </c>
      <c r="F554" s="37" t="n">
        <v>0</v>
      </c>
      <c r="G554" s="37" t="s">
        <v>196</v>
      </c>
      <c r="H554" s="38" t="n">
        <v>198.425461635482</v>
      </c>
      <c r="I554" s="38" t="n">
        <v>197.425891416037</v>
      </c>
      <c r="J554" s="38" t="n">
        <v>205.08804439742</v>
      </c>
      <c r="K554" s="38" t="n">
        <v>235.046740719654</v>
      </c>
      <c r="L554" s="38" t="n">
        <v>38.479718766357</v>
      </c>
      <c r="M554" s="38" t="n">
        <v>102.821001480535</v>
      </c>
      <c r="N554" s="38" t="n">
        <v>125.050162939852</v>
      </c>
      <c r="O554" s="38" t="n">
        <v>65.4001819911174</v>
      </c>
      <c r="P554" s="37" t="n">
        <v>0</v>
      </c>
      <c r="Q554" s="38" t="n">
        <v>0</v>
      </c>
      <c r="R554" s="38" t="n">
        <v>69.4772480645421</v>
      </c>
      <c r="S554" s="37" t="n">
        <v>0</v>
      </c>
    </row>
    <row r="555" customFormat="false" ht="15" hidden="false" customHeight="false" outlineLevel="0" collapsed="false">
      <c r="A555" s="37" t="n">
        <v>0</v>
      </c>
      <c r="B555" s="37" t="n">
        <v>5</v>
      </c>
      <c r="C555" s="37" t="n">
        <v>5</v>
      </c>
      <c r="D555" s="37" t="n">
        <v>5</v>
      </c>
      <c r="E555" s="37" t="n">
        <v>0</v>
      </c>
      <c r="F555" s="37" t="n">
        <v>15</v>
      </c>
      <c r="G555" s="37" t="s">
        <v>188</v>
      </c>
      <c r="H555" s="38" t="n">
        <v>198.544935747468</v>
      </c>
      <c r="I555" s="38" t="n">
        <v>198.123133368929</v>
      </c>
      <c r="J555" s="38" t="n">
        <v>205.25744222672</v>
      </c>
      <c r="K555" s="38" t="n">
        <v>225.259338069279</v>
      </c>
      <c r="L555" s="38" t="n">
        <v>141.870301907159</v>
      </c>
      <c r="M555" s="38" t="n">
        <v>98.0785944404415</v>
      </c>
      <c r="N555" s="38" t="n">
        <v>112.271856135198</v>
      </c>
      <c r="O555" s="38" t="n">
        <v>70.1979502248872</v>
      </c>
      <c r="P555" s="37" t="n">
        <v>0</v>
      </c>
      <c r="Q555" s="38" t="n">
        <v>0</v>
      </c>
      <c r="R555" s="38" t="n">
        <v>72</v>
      </c>
      <c r="S555" s="37" t="n">
        <v>0</v>
      </c>
    </row>
    <row r="556" customFormat="false" ht="15" hidden="false" customHeight="false" outlineLevel="0" collapsed="false">
      <c r="A556" s="37" t="n">
        <v>0</v>
      </c>
      <c r="B556" s="37" t="n">
        <v>5</v>
      </c>
      <c r="C556" s="37" t="n">
        <v>5</v>
      </c>
      <c r="D556" s="37" t="n">
        <v>5</v>
      </c>
      <c r="E556" s="37" t="n">
        <v>0</v>
      </c>
      <c r="F556" s="37" t="n">
        <v>15</v>
      </c>
      <c r="G556" s="37" t="s">
        <v>192</v>
      </c>
      <c r="H556" s="38" t="n">
        <v>198.544935747468</v>
      </c>
      <c r="I556" s="38" t="n">
        <v>198.125744718694</v>
      </c>
      <c r="J556" s="38" t="n">
        <v>208.153236356106</v>
      </c>
      <c r="K556" s="38" t="n">
        <v>228.978965056563</v>
      </c>
      <c r="L556" s="38" t="n">
        <v>148.223745949294</v>
      </c>
      <c r="M556" s="38" t="n">
        <v>97.2338507333119</v>
      </c>
      <c r="N556" s="38" t="n">
        <v>118.276295322651</v>
      </c>
      <c r="O556" s="38" t="n">
        <v>73.4576766996607</v>
      </c>
      <c r="P556" s="37" t="n">
        <v>0</v>
      </c>
      <c r="Q556" s="38" t="n">
        <v>0</v>
      </c>
      <c r="R556" s="38" t="n">
        <v>72</v>
      </c>
      <c r="S556" s="37" t="n">
        <v>1</v>
      </c>
    </row>
    <row r="557" customFormat="false" ht="15" hidden="false" customHeight="false" outlineLevel="0" collapsed="false">
      <c r="A557" s="37" t="n">
        <v>0</v>
      </c>
      <c r="B557" s="37" t="n">
        <v>5</v>
      </c>
      <c r="C557" s="37" t="n">
        <v>5</v>
      </c>
      <c r="D557" s="37" t="n">
        <v>5</v>
      </c>
      <c r="E557" s="37" t="n">
        <v>0</v>
      </c>
      <c r="F557" s="37" t="n">
        <v>15</v>
      </c>
      <c r="G557" s="37" t="s">
        <v>195</v>
      </c>
      <c r="H557" s="38" t="n">
        <v>198.544935747468</v>
      </c>
      <c r="I557" s="38" t="n">
        <v>198.201081492034</v>
      </c>
      <c r="J557" s="38" t="n">
        <v>206.60979335736</v>
      </c>
      <c r="K557" s="38" t="n">
        <v>224.783103526257</v>
      </c>
      <c r="L557" s="38" t="n">
        <v>147.463630682625</v>
      </c>
      <c r="M557" s="38" t="n">
        <v>99.854069247168</v>
      </c>
      <c r="N557" s="38" t="n">
        <v>116.341088882083</v>
      </c>
      <c r="O557" s="38" t="n">
        <v>71.3414658720196</v>
      </c>
      <c r="P557" s="37" t="n">
        <v>0</v>
      </c>
      <c r="Q557" s="38" t="n">
        <v>0</v>
      </c>
      <c r="R557" s="38" t="n">
        <v>70.4791581469105</v>
      </c>
      <c r="S557" s="37" t="n">
        <v>0</v>
      </c>
    </row>
    <row r="558" customFormat="false" ht="15" hidden="false" customHeight="false" outlineLevel="0" collapsed="false">
      <c r="A558" s="37" t="n">
        <v>0</v>
      </c>
      <c r="B558" s="37" t="n">
        <v>5</v>
      </c>
      <c r="C558" s="37" t="n">
        <v>5</v>
      </c>
      <c r="D558" s="37" t="n">
        <v>5</v>
      </c>
      <c r="E558" s="37" t="n">
        <v>0</v>
      </c>
      <c r="F558" s="37" t="n">
        <v>15</v>
      </c>
      <c r="G558" s="37" t="s">
        <v>197</v>
      </c>
      <c r="H558" s="38" t="n">
        <v>198.544935747468</v>
      </c>
      <c r="I558" s="38" t="n">
        <v>198.122004218617</v>
      </c>
      <c r="J558" s="38" t="n">
        <v>207.040551774031</v>
      </c>
      <c r="K558" s="38" t="n">
        <v>227.604900172206</v>
      </c>
      <c r="L558" s="38" t="n">
        <v>145.268023393036</v>
      </c>
      <c r="M558" s="38" t="n">
        <v>97.5239293079182</v>
      </c>
      <c r="N558" s="38" t="n">
        <v>108.482506963355</v>
      </c>
      <c r="O558" s="38" t="n">
        <v>69.1731284892653</v>
      </c>
      <c r="P558" s="37" t="n">
        <v>0</v>
      </c>
      <c r="Q558" s="38" t="n">
        <v>0</v>
      </c>
      <c r="R558" s="38" t="n">
        <v>72</v>
      </c>
      <c r="S558" s="37" t="n">
        <v>0</v>
      </c>
    </row>
    <row r="559" customFormat="false" ht="15" hidden="false" customHeight="false" outlineLevel="0" collapsed="false">
      <c r="A559" s="37" t="n">
        <v>0</v>
      </c>
      <c r="B559" s="37" t="n">
        <v>5</v>
      </c>
      <c r="C559" s="37" t="n">
        <v>5</v>
      </c>
      <c r="D559" s="37" t="n">
        <v>5</v>
      </c>
      <c r="E559" s="37" t="n">
        <v>0</v>
      </c>
      <c r="F559" s="37" t="n">
        <v>15</v>
      </c>
      <c r="G559" s="37" t="s">
        <v>196</v>
      </c>
      <c r="H559" s="38" t="n">
        <v>198.544935747468</v>
      </c>
      <c r="I559" s="38" t="n">
        <v>198.12429948428</v>
      </c>
      <c r="J559" s="38" t="n">
        <v>207.722927130941</v>
      </c>
      <c r="K559" s="38" t="n">
        <v>228.571198121119</v>
      </c>
      <c r="L559" s="38" t="n">
        <v>152.532763947695</v>
      </c>
      <c r="M559" s="38" t="n">
        <v>99.4751467481844</v>
      </c>
      <c r="N559" s="38" t="n">
        <v>117.378853399292</v>
      </c>
      <c r="O559" s="38" t="n">
        <v>70.9682242277105</v>
      </c>
      <c r="P559" s="37" t="n">
        <v>0</v>
      </c>
      <c r="Q559" s="38" t="n">
        <v>0</v>
      </c>
      <c r="R559" s="38" t="n">
        <v>71.1041091317115</v>
      </c>
      <c r="S559" s="37" t="n">
        <v>0</v>
      </c>
    </row>
    <row r="560" customFormat="false" ht="15" hidden="false" customHeight="false" outlineLevel="0" collapsed="false">
      <c r="A560" s="37" t="n">
        <v>0</v>
      </c>
      <c r="B560" s="37" t="n">
        <v>5</v>
      </c>
      <c r="C560" s="37" t="n">
        <v>5</v>
      </c>
      <c r="D560" s="37" t="n">
        <v>5</v>
      </c>
      <c r="E560" s="37" t="n">
        <v>5</v>
      </c>
      <c r="F560" s="37" t="n">
        <v>10</v>
      </c>
      <c r="G560" s="37" t="s">
        <v>188</v>
      </c>
      <c r="H560" s="38" t="n">
        <v>198.560079749096</v>
      </c>
      <c r="I560" s="38" t="n">
        <v>198.269573491428</v>
      </c>
      <c r="J560" s="38" t="n">
        <v>207.560834370644</v>
      </c>
      <c r="K560" s="38" t="n">
        <v>228.66682973574</v>
      </c>
      <c r="L560" s="38" t="n">
        <v>105.430570825218</v>
      </c>
      <c r="M560" s="38" t="n">
        <v>99.1282645022153</v>
      </c>
      <c r="N560" s="38" t="n">
        <v>118.469862960364</v>
      </c>
      <c r="O560" s="38" t="n">
        <v>69.8227650978599</v>
      </c>
      <c r="P560" s="37" t="n">
        <v>0</v>
      </c>
      <c r="Q560" s="38" t="n">
        <v>0</v>
      </c>
      <c r="R560" s="38" t="n">
        <v>72</v>
      </c>
      <c r="S560" s="37" t="n">
        <v>0</v>
      </c>
    </row>
    <row r="561" customFormat="false" ht="15" hidden="false" customHeight="false" outlineLevel="0" collapsed="false">
      <c r="A561" s="37" t="n">
        <v>0</v>
      </c>
      <c r="B561" s="37" t="n">
        <v>5</v>
      </c>
      <c r="C561" s="37" t="n">
        <v>5</v>
      </c>
      <c r="D561" s="37" t="n">
        <v>5</v>
      </c>
      <c r="E561" s="37" t="n">
        <v>5</v>
      </c>
      <c r="F561" s="37" t="n">
        <v>10</v>
      </c>
      <c r="G561" s="37" t="s">
        <v>192</v>
      </c>
      <c r="H561" s="38" t="n">
        <v>198.560079749096</v>
      </c>
      <c r="I561" s="38" t="n">
        <v>198.274007636154</v>
      </c>
      <c r="J561" s="38" t="n">
        <v>210.501266820542</v>
      </c>
      <c r="K561" s="38" t="n">
        <v>232.461184327765</v>
      </c>
      <c r="L561" s="38" t="n">
        <v>111.657330114966</v>
      </c>
      <c r="M561" s="38" t="n">
        <v>98.2318307783139</v>
      </c>
      <c r="N561" s="38" t="n">
        <v>124.397723096088</v>
      </c>
      <c r="O561" s="38" t="n">
        <v>73.1793390477926</v>
      </c>
      <c r="P561" s="37" t="n">
        <v>0</v>
      </c>
      <c r="Q561" s="38" t="n">
        <v>0</v>
      </c>
      <c r="R561" s="38" t="n">
        <v>72</v>
      </c>
      <c r="S561" s="37" t="n">
        <v>0</v>
      </c>
    </row>
    <row r="562" customFormat="false" ht="15" hidden="false" customHeight="false" outlineLevel="0" collapsed="false">
      <c r="A562" s="37" t="n">
        <v>0</v>
      </c>
      <c r="B562" s="37" t="n">
        <v>5</v>
      </c>
      <c r="C562" s="37" t="n">
        <v>5</v>
      </c>
      <c r="D562" s="37" t="n">
        <v>5</v>
      </c>
      <c r="E562" s="37" t="n">
        <v>5</v>
      </c>
      <c r="F562" s="37" t="n">
        <v>10</v>
      </c>
      <c r="G562" s="37" t="s">
        <v>195</v>
      </c>
      <c r="H562" s="38" t="n">
        <v>198.560079749096</v>
      </c>
      <c r="I562" s="38" t="n">
        <v>198.356911273978</v>
      </c>
      <c r="J562" s="38" t="n">
        <v>209.054225325119</v>
      </c>
      <c r="K562" s="38" t="n">
        <v>228.420695470526</v>
      </c>
      <c r="L562" s="38" t="n">
        <v>111.041920392675</v>
      </c>
      <c r="M562" s="38" t="n">
        <v>100.885548655429</v>
      </c>
      <c r="N562" s="38" t="n">
        <v>122.757923826906</v>
      </c>
      <c r="O562" s="38" t="n">
        <v>71.369185104217</v>
      </c>
      <c r="P562" s="37" t="n">
        <v>0</v>
      </c>
      <c r="Q562" s="38" t="n">
        <v>0</v>
      </c>
      <c r="R562" s="38" t="n">
        <v>70.4613674766445</v>
      </c>
      <c r="S562" s="37" t="n">
        <v>0</v>
      </c>
    </row>
    <row r="563" customFormat="false" ht="15" hidden="false" customHeight="false" outlineLevel="0" collapsed="false">
      <c r="A563" s="37" t="n">
        <v>0</v>
      </c>
      <c r="B563" s="37" t="n">
        <v>5</v>
      </c>
      <c r="C563" s="37" t="n">
        <v>5</v>
      </c>
      <c r="D563" s="37" t="n">
        <v>5</v>
      </c>
      <c r="E563" s="37" t="n">
        <v>5</v>
      </c>
      <c r="F563" s="37" t="n">
        <v>10</v>
      </c>
      <c r="G563" s="37" t="s">
        <v>197</v>
      </c>
      <c r="H563" s="38" t="n">
        <v>198.560079749096</v>
      </c>
      <c r="I563" s="38" t="n">
        <v>198.279143683005</v>
      </c>
      <c r="J563" s="38" t="n">
        <v>209.997147230148</v>
      </c>
      <c r="K563" s="38" t="n">
        <v>231.990537857839</v>
      </c>
      <c r="L563" s="38" t="n">
        <v>110.192118566828</v>
      </c>
      <c r="M563" s="38" t="n">
        <v>101.947746940134</v>
      </c>
      <c r="N563" s="38" t="n">
        <v>124.269346886781</v>
      </c>
      <c r="O563" s="38" t="n">
        <v>73.1532782705882</v>
      </c>
      <c r="P563" s="37" t="n">
        <v>0</v>
      </c>
      <c r="Q563" s="38" t="n">
        <v>0</v>
      </c>
      <c r="R563" s="38" t="n">
        <v>72</v>
      </c>
      <c r="S563" s="37" t="n">
        <v>0</v>
      </c>
    </row>
    <row r="564" customFormat="false" ht="15" hidden="false" customHeight="false" outlineLevel="0" collapsed="false">
      <c r="A564" s="37" t="n">
        <v>0</v>
      </c>
      <c r="B564" s="37" t="n">
        <v>5</v>
      </c>
      <c r="C564" s="37" t="n">
        <v>5</v>
      </c>
      <c r="D564" s="37" t="n">
        <v>5</v>
      </c>
      <c r="E564" s="37" t="n">
        <v>5</v>
      </c>
      <c r="F564" s="37" t="n">
        <v>10</v>
      </c>
      <c r="G564" s="37" t="s">
        <v>196</v>
      </c>
      <c r="H564" s="38" t="n">
        <v>198.560079749096</v>
      </c>
      <c r="I564" s="38" t="n">
        <v>198.273955130478</v>
      </c>
      <c r="J564" s="38" t="n">
        <v>209.829529548934</v>
      </c>
      <c r="K564" s="38" t="n">
        <v>231.80034088248</v>
      </c>
      <c r="L564" s="38" t="n">
        <v>115.421829674747</v>
      </c>
      <c r="M564" s="38" t="n">
        <v>101.186093147781</v>
      </c>
      <c r="N564" s="38" t="n">
        <v>124.840904911818</v>
      </c>
      <c r="O564" s="38" t="n">
        <v>71.6658054305177</v>
      </c>
      <c r="P564" s="37" t="n">
        <v>0</v>
      </c>
      <c r="Q564" s="38" t="n">
        <v>0</v>
      </c>
      <c r="R564" s="38" t="n">
        <v>71.0224906434776</v>
      </c>
      <c r="S564" s="37" t="n">
        <v>1</v>
      </c>
    </row>
    <row r="565" customFormat="false" ht="15" hidden="false" customHeight="false" outlineLevel="0" collapsed="false">
      <c r="A565" s="37" t="n">
        <v>0</v>
      </c>
      <c r="B565" s="37" t="n">
        <v>5</v>
      </c>
      <c r="C565" s="37" t="n">
        <v>5</v>
      </c>
      <c r="D565" s="37" t="n">
        <v>5</v>
      </c>
      <c r="E565" s="37" t="n">
        <v>10</v>
      </c>
      <c r="F565" s="37" t="n">
        <v>5</v>
      </c>
      <c r="G565" s="37" t="s">
        <v>188</v>
      </c>
      <c r="H565" s="38" t="n">
        <v>198.580924155491</v>
      </c>
      <c r="I565" s="38" t="n">
        <v>198.491337120264</v>
      </c>
      <c r="J565" s="38" t="n">
        <v>209.505345357779</v>
      </c>
      <c r="K565" s="38" t="n">
        <v>231.919564694139</v>
      </c>
      <c r="L565" s="38" t="n">
        <v>68.8426342251988</v>
      </c>
      <c r="M565" s="38" t="n">
        <v>100.235246435214</v>
      </c>
      <c r="N565" s="38" t="n">
        <v>123.439401500307</v>
      </c>
      <c r="O565" s="38" t="n">
        <v>69.3099635829146</v>
      </c>
      <c r="P565" s="37" t="n">
        <v>0</v>
      </c>
      <c r="Q565" s="38" t="n">
        <v>0</v>
      </c>
      <c r="R565" s="38" t="n">
        <v>72</v>
      </c>
      <c r="S565" s="37" t="n">
        <v>0</v>
      </c>
    </row>
    <row r="566" customFormat="false" ht="15" hidden="false" customHeight="false" outlineLevel="0" collapsed="false">
      <c r="A566" s="37" t="n">
        <v>0</v>
      </c>
      <c r="B566" s="37" t="n">
        <v>5</v>
      </c>
      <c r="C566" s="37" t="n">
        <v>5</v>
      </c>
      <c r="D566" s="37" t="n">
        <v>5</v>
      </c>
      <c r="E566" s="37" t="n">
        <v>10</v>
      </c>
      <c r="F566" s="37" t="n">
        <v>5</v>
      </c>
      <c r="G566" s="37" t="s">
        <v>192</v>
      </c>
      <c r="H566" s="38" t="n">
        <v>198.580924155491</v>
      </c>
      <c r="I566" s="38" t="n">
        <v>198.496092915161</v>
      </c>
      <c r="J566" s="38" t="n">
        <v>212.46435255253</v>
      </c>
      <c r="K566" s="38" t="n">
        <v>235.744837364131</v>
      </c>
      <c r="L566" s="38" t="n">
        <v>74.903825639075</v>
      </c>
      <c r="M566" s="38" t="n">
        <v>99.3034006977888</v>
      </c>
      <c r="N566" s="38" t="n">
        <v>129.308296637029</v>
      </c>
      <c r="O566" s="38" t="n">
        <v>72.7602812916576</v>
      </c>
      <c r="P566" s="37" t="n">
        <v>0</v>
      </c>
      <c r="Q566" s="38" t="n">
        <v>0</v>
      </c>
      <c r="R566" s="38" t="n">
        <v>72</v>
      </c>
      <c r="S566" s="37" t="n">
        <v>0</v>
      </c>
    </row>
    <row r="567" customFormat="false" ht="15" hidden="false" customHeight="false" outlineLevel="0" collapsed="false">
      <c r="A567" s="37" t="n">
        <v>0</v>
      </c>
      <c r="B567" s="37" t="n">
        <v>5</v>
      </c>
      <c r="C567" s="37" t="n">
        <v>5</v>
      </c>
      <c r="D567" s="37" t="n">
        <v>5</v>
      </c>
      <c r="E567" s="37" t="n">
        <v>10</v>
      </c>
      <c r="F567" s="37" t="n">
        <v>5</v>
      </c>
      <c r="G567" s="37" t="s">
        <v>195</v>
      </c>
      <c r="H567" s="38" t="n">
        <v>198.580924155491</v>
      </c>
      <c r="I567" s="38" t="n">
        <v>198.587993406085</v>
      </c>
      <c r="J567" s="38" t="n">
        <v>211.16883108565</v>
      </c>
      <c r="K567" s="38" t="n">
        <v>231.94319506484</v>
      </c>
      <c r="L567" s="38" t="n">
        <v>74.5165021462724</v>
      </c>
      <c r="M567" s="38" t="n">
        <v>101.98737364928</v>
      </c>
      <c r="N567" s="38" t="n">
        <v>128.01275914024</v>
      </c>
      <c r="O567" s="38" t="n">
        <v>71.2075972813</v>
      </c>
      <c r="P567" s="37" t="n">
        <v>0</v>
      </c>
      <c r="Q567" s="38" t="n">
        <v>0</v>
      </c>
      <c r="R567" s="38" t="n">
        <v>70.4469921244296</v>
      </c>
      <c r="S567" s="37" t="n">
        <v>0</v>
      </c>
    </row>
    <row r="568" customFormat="false" ht="15" hidden="false" customHeight="false" outlineLevel="0" collapsed="false">
      <c r="A568" s="37" t="n">
        <v>0</v>
      </c>
      <c r="B568" s="37" t="n">
        <v>5</v>
      </c>
      <c r="C568" s="37" t="n">
        <v>5</v>
      </c>
      <c r="D568" s="37" t="n">
        <v>5</v>
      </c>
      <c r="E568" s="37" t="n">
        <v>10</v>
      </c>
      <c r="F568" s="37" t="n">
        <v>5</v>
      </c>
      <c r="G568" s="37" t="s">
        <v>197</v>
      </c>
      <c r="H568" s="38" t="n">
        <v>198.580924155491</v>
      </c>
      <c r="I568" s="38" t="n">
        <v>198.522712111656</v>
      </c>
      <c r="J568" s="38" t="n">
        <v>212.967303027153</v>
      </c>
      <c r="K568" s="38" t="n">
        <v>236.711101406074</v>
      </c>
      <c r="L568" s="38" t="n">
        <v>75.6026621456469</v>
      </c>
      <c r="M568" s="38" t="n">
        <v>105.705969686892</v>
      </c>
      <c r="N568" s="38" t="n">
        <v>137.856122516603</v>
      </c>
      <c r="O568" s="38" t="n">
        <v>74.5433395989467</v>
      </c>
      <c r="P568" s="37" t="n">
        <v>0</v>
      </c>
      <c r="Q568" s="38" t="n">
        <v>0</v>
      </c>
      <c r="R568" s="38" t="n">
        <v>72</v>
      </c>
      <c r="S568" s="37" t="n">
        <v>1</v>
      </c>
    </row>
    <row r="569" customFormat="false" ht="15" hidden="false" customHeight="false" outlineLevel="0" collapsed="false">
      <c r="A569" s="37" t="n">
        <v>0</v>
      </c>
      <c r="B569" s="37" t="n">
        <v>5</v>
      </c>
      <c r="C569" s="37" t="n">
        <v>5</v>
      </c>
      <c r="D569" s="37" t="n">
        <v>5</v>
      </c>
      <c r="E569" s="37" t="n">
        <v>10</v>
      </c>
      <c r="F569" s="37" t="n">
        <v>5</v>
      </c>
      <c r="G569" s="37" t="s">
        <v>196</v>
      </c>
      <c r="H569" s="38" t="n">
        <v>198.580924155491</v>
      </c>
      <c r="I569" s="38" t="n">
        <v>198.498418113696</v>
      </c>
      <c r="J569" s="38" t="n">
        <v>211.790328183344</v>
      </c>
      <c r="K569" s="38" t="n">
        <v>235.125827057897</v>
      </c>
      <c r="L569" s="38" t="n">
        <v>78.7159847342384</v>
      </c>
      <c r="M569" s="38" t="n">
        <v>102.802892295202</v>
      </c>
      <c r="N569" s="38" t="n">
        <v>131.076763229372</v>
      </c>
      <c r="O569" s="38" t="n">
        <v>71.79844153845</v>
      </c>
      <c r="P569" s="37" t="n">
        <v>0</v>
      </c>
      <c r="Q569" s="38" t="n">
        <v>0</v>
      </c>
      <c r="R569" s="38" t="n">
        <v>71.0149711756553</v>
      </c>
      <c r="S569" s="37" t="n">
        <v>0</v>
      </c>
    </row>
    <row r="570" customFormat="false" ht="15" hidden="false" customHeight="false" outlineLevel="0" collapsed="false">
      <c r="A570" s="37" t="n">
        <v>0</v>
      </c>
      <c r="B570" s="37" t="n">
        <v>5</v>
      </c>
      <c r="C570" s="37" t="n">
        <v>5</v>
      </c>
      <c r="D570" s="37" t="n">
        <v>5</v>
      </c>
      <c r="E570" s="37" t="n">
        <v>15</v>
      </c>
      <c r="F570" s="37" t="n">
        <v>0</v>
      </c>
      <c r="G570" s="37" t="s">
        <v>188</v>
      </c>
      <c r="H570" s="38" t="n">
        <v>198.593625091527</v>
      </c>
      <c r="I570" s="38" t="n">
        <v>198.597150432562</v>
      </c>
      <c r="J570" s="38" t="n">
        <v>210.307397047855</v>
      </c>
      <c r="K570" s="38" t="n">
        <v>233.373507761071</v>
      </c>
      <c r="L570" s="38" t="n">
        <v>41.6675465307545</v>
      </c>
      <c r="M570" s="38" t="n">
        <v>100.942843953842</v>
      </c>
      <c r="N570" s="38" t="n">
        <v>125.297348634352</v>
      </c>
      <c r="O570" s="38" t="n">
        <v>65.4827552646952</v>
      </c>
      <c r="P570" s="37" t="n">
        <v>0</v>
      </c>
      <c r="Q570" s="38" t="n">
        <v>0</v>
      </c>
      <c r="R570" s="38" t="n">
        <v>72</v>
      </c>
      <c r="S570" s="37" t="n">
        <v>0</v>
      </c>
    </row>
    <row r="571" customFormat="false" ht="15" hidden="false" customHeight="false" outlineLevel="0" collapsed="false">
      <c r="A571" s="37" t="n">
        <v>0</v>
      </c>
      <c r="B571" s="37" t="n">
        <v>5</v>
      </c>
      <c r="C571" s="37" t="n">
        <v>5</v>
      </c>
      <c r="D571" s="37" t="n">
        <v>5</v>
      </c>
      <c r="E571" s="37" t="n">
        <v>15</v>
      </c>
      <c r="F571" s="37" t="n">
        <v>0</v>
      </c>
      <c r="G571" s="37" t="s">
        <v>192</v>
      </c>
      <c r="H571" s="38" t="n">
        <v>198.593625091527</v>
      </c>
      <c r="I571" s="38" t="n">
        <v>198.602247434665</v>
      </c>
      <c r="J571" s="38" t="n">
        <v>213.510710720071</v>
      </c>
      <c r="K571" s="38" t="n">
        <v>237.380160510355</v>
      </c>
      <c r="L571" s="38" t="n">
        <v>36.49720195233</v>
      </c>
      <c r="M571" s="38" t="n">
        <v>99.9653306897018</v>
      </c>
      <c r="N571" s="38" t="n">
        <v>129.168212112758</v>
      </c>
      <c r="O571" s="38" t="n">
        <v>71.9540372644588</v>
      </c>
      <c r="P571" s="37" t="n">
        <v>0</v>
      </c>
      <c r="Q571" s="38" t="n">
        <v>0</v>
      </c>
      <c r="R571" s="38" t="n">
        <v>72</v>
      </c>
      <c r="S571" s="37" t="n">
        <v>0</v>
      </c>
    </row>
    <row r="572" customFormat="false" ht="15" hidden="false" customHeight="false" outlineLevel="0" collapsed="false">
      <c r="A572" s="37" t="n">
        <v>0</v>
      </c>
      <c r="B572" s="37" t="n">
        <v>5</v>
      </c>
      <c r="C572" s="37" t="n">
        <v>5</v>
      </c>
      <c r="D572" s="37" t="n">
        <v>5</v>
      </c>
      <c r="E572" s="37" t="n">
        <v>15</v>
      </c>
      <c r="F572" s="37" t="n">
        <v>0</v>
      </c>
      <c r="G572" s="37" t="s">
        <v>195</v>
      </c>
      <c r="H572" s="38" t="n">
        <v>198.593625091527</v>
      </c>
      <c r="I572" s="38" t="n">
        <v>198.701180304671</v>
      </c>
      <c r="J572" s="38" t="n">
        <v>212.28020373661</v>
      </c>
      <c r="K572" s="38" t="n">
        <v>233.681702425864</v>
      </c>
      <c r="L572" s="38" t="n">
        <v>36.1647145861989</v>
      </c>
      <c r="M572" s="38" t="n">
        <v>102.679428733178</v>
      </c>
      <c r="N572" s="38" t="n">
        <v>127.745577945982</v>
      </c>
      <c r="O572" s="38" t="n">
        <v>70.5496362689596</v>
      </c>
      <c r="P572" s="37" t="n">
        <v>0</v>
      </c>
      <c r="Q572" s="38" t="n">
        <v>0</v>
      </c>
      <c r="R572" s="38" t="n">
        <v>70.4199036481006</v>
      </c>
      <c r="S572" s="37" t="n">
        <v>0</v>
      </c>
    </row>
    <row r="573" customFormat="false" ht="15" hidden="false" customHeight="false" outlineLevel="0" collapsed="false">
      <c r="A573" s="37" t="n">
        <v>0</v>
      </c>
      <c r="B573" s="37" t="n">
        <v>5</v>
      </c>
      <c r="C573" s="37" t="n">
        <v>5</v>
      </c>
      <c r="D573" s="37" t="n">
        <v>5</v>
      </c>
      <c r="E573" s="37" t="n">
        <v>15</v>
      </c>
      <c r="F573" s="37" t="n">
        <v>0</v>
      </c>
      <c r="G573" s="37" t="s">
        <v>197</v>
      </c>
      <c r="H573" s="38" t="n">
        <v>198.593625091527</v>
      </c>
      <c r="I573" s="38" t="n">
        <v>198.64569486493</v>
      </c>
      <c r="J573" s="38" t="n">
        <v>213.105064486653</v>
      </c>
      <c r="K573" s="38" t="n">
        <v>237.273044817579</v>
      </c>
      <c r="L573" s="38" t="n">
        <v>40.773044817579</v>
      </c>
      <c r="M573" s="38" t="n">
        <v>107.986805264507</v>
      </c>
      <c r="N573" s="38" t="n">
        <v>138.098835993236</v>
      </c>
      <c r="O573" s="38" t="n">
        <v>73.2895170470563</v>
      </c>
      <c r="P573" s="37" t="n">
        <v>0</v>
      </c>
      <c r="Q573" s="38" t="n">
        <v>0</v>
      </c>
      <c r="R573" s="38" t="n">
        <v>72</v>
      </c>
      <c r="S573" s="37" t="n">
        <v>1</v>
      </c>
    </row>
    <row r="574" customFormat="false" ht="15" hidden="false" customHeight="false" outlineLevel="0" collapsed="false">
      <c r="A574" s="37" t="n">
        <v>0</v>
      </c>
      <c r="B574" s="37" t="n">
        <v>5</v>
      </c>
      <c r="C574" s="37" t="n">
        <v>5</v>
      </c>
      <c r="D574" s="37" t="n">
        <v>5</v>
      </c>
      <c r="E574" s="37" t="n">
        <v>15</v>
      </c>
      <c r="F574" s="37" t="n">
        <v>0</v>
      </c>
      <c r="G574" s="37" t="s">
        <v>196</v>
      </c>
      <c r="H574" s="38" t="n">
        <v>198.593625091527</v>
      </c>
      <c r="I574" s="38" t="n">
        <v>198.605974988125</v>
      </c>
      <c r="J574" s="38" t="n">
        <v>212.83995430244</v>
      </c>
      <c r="K574" s="38" t="n">
        <v>236.795694495585</v>
      </c>
      <c r="L574" s="38" t="n">
        <v>40.3243172017224</v>
      </c>
      <c r="M574" s="38" t="n">
        <v>103.802863969881</v>
      </c>
      <c r="N574" s="38" t="n">
        <v>134.199898304524</v>
      </c>
      <c r="O574" s="38" t="n">
        <v>70.9693939381026</v>
      </c>
      <c r="P574" s="37" t="n">
        <v>0</v>
      </c>
      <c r="Q574" s="38" t="n">
        <v>0</v>
      </c>
      <c r="R574" s="38" t="n">
        <v>71.0002027828063</v>
      </c>
      <c r="S574" s="37" t="n">
        <v>0</v>
      </c>
    </row>
    <row r="575" customFormat="false" ht="15" hidden="false" customHeight="false" outlineLevel="0" collapsed="false">
      <c r="A575" s="37" t="n">
        <v>0</v>
      </c>
      <c r="B575" s="37" t="n">
        <v>5</v>
      </c>
      <c r="C575" s="37" t="n">
        <v>5</v>
      </c>
      <c r="D575" s="37" t="n">
        <v>10</v>
      </c>
      <c r="E575" s="37" t="n">
        <v>0</v>
      </c>
      <c r="F575" s="37" t="n">
        <v>10</v>
      </c>
      <c r="G575" s="37" t="s">
        <v>188</v>
      </c>
      <c r="H575" s="38" t="n">
        <v>198.782876294248</v>
      </c>
      <c r="I575" s="38" t="n">
        <v>199.292433122987</v>
      </c>
      <c r="J575" s="38" t="n">
        <v>210.606561162008</v>
      </c>
      <c r="K575" s="38" t="n">
        <v>228.795469528528</v>
      </c>
      <c r="L575" s="38" t="n">
        <v>106.041053007318</v>
      </c>
      <c r="M575" s="38" t="n">
        <v>99.3539005869788</v>
      </c>
      <c r="N575" s="38" t="n">
        <v>117.252283407016</v>
      </c>
      <c r="O575" s="38" t="n">
        <v>71.2768412852996</v>
      </c>
      <c r="P575" s="37" t="n">
        <v>0</v>
      </c>
      <c r="Q575" s="38" t="n">
        <v>0</v>
      </c>
      <c r="R575" s="38" t="n">
        <v>72</v>
      </c>
      <c r="S575" s="37" t="n">
        <v>0</v>
      </c>
    </row>
    <row r="576" customFormat="false" ht="15" hidden="false" customHeight="false" outlineLevel="0" collapsed="false">
      <c r="A576" s="37" t="n">
        <v>0</v>
      </c>
      <c r="B576" s="37" t="n">
        <v>5</v>
      </c>
      <c r="C576" s="37" t="n">
        <v>5</v>
      </c>
      <c r="D576" s="37" t="n">
        <v>10</v>
      </c>
      <c r="E576" s="37" t="n">
        <v>0</v>
      </c>
      <c r="F576" s="37" t="n">
        <v>10</v>
      </c>
      <c r="G576" s="37" t="s">
        <v>192</v>
      </c>
      <c r="H576" s="38" t="n">
        <v>198.782876294248</v>
      </c>
      <c r="I576" s="38" t="n">
        <v>199.29375551967</v>
      </c>
      <c r="J576" s="38" t="n">
        <v>221.865933433599</v>
      </c>
      <c r="K576" s="38" t="n">
        <v>236.768076010937</v>
      </c>
      <c r="L576" s="38" t="n">
        <v>105.558891562135</v>
      </c>
      <c r="M576" s="38" t="n">
        <v>98.4889892794344</v>
      </c>
      <c r="N576" s="38" t="n">
        <v>129.65663891638</v>
      </c>
      <c r="O576" s="38" t="n">
        <v>77.439425265237</v>
      </c>
      <c r="P576" s="37" t="n">
        <v>0</v>
      </c>
      <c r="Q576" s="38" t="n">
        <v>0</v>
      </c>
      <c r="R576" s="38" t="n">
        <v>72</v>
      </c>
      <c r="S576" s="37" t="n">
        <v>1</v>
      </c>
    </row>
    <row r="577" customFormat="false" ht="15" hidden="false" customHeight="false" outlineLevel="0" collapsed="false">
      <c r="A577" s="37" t="n">
        <v>0</v>
      </c>
      <c r="B577" s="37" t="n">
        <v>5</v>
      </c>
      <c r="C577" s="37" t="n">
        <v>5</v>
      </c>
      <c r="D577" s="37" t="n">
        <v>10</v>
      </c>
      <c r="E577" s="37" t="n">
        <v>0</v>
      </c>
      <c r="F577" s="37" t="n">
        <v>10</v>
      </c>
      <c r="G577" s="37" t="s">
        <v>195</v>
      </c>
      <c r="H577" s="38" t="n">
        <v>198.782876294248</v>
      </c>
      <c r="I577" s="38" t="n">
        <v>199.458915140538</v>
      </c>
      <c r="J577" s="38" t="n">
        <v>213.741632926345</v>
      </c>
      <c r="K577" s="38" t="n">
        <v>233.584389176343</v>
      </c>
      <c r="L577" s="38" t="n">
        <v>120.334389176343</v>
      </c>
      <c r="M577" s="38" t="n">
        <v>102.521800420873</v>
      </c>
      <c r="N577" s="38" t="n">
        <v>128.169467010404</v>
      </c>
      <c r="O577" s="38" t="n">
        <v>74.4794791210415</v>
      </c>
      <c r="P577" s="37" t="n">
        <v>0</v>
      </c>
      <c r="Q577" s="38" t="n">
        <v>0</v>
      </c>
      <c r="R577" s="38" t="n">
        <v>67.5571769953547</v>
      </c>
      <c r="S577" s="37" t="n">
        <v>0</v>
      </c>
    </row>
    <row r="578" customFormat="false" ht="15" hidden="false" customHeight="false" outlineLevel="0" collapsed="false">
      <c r="A578" s="37" t="n">
        <v>0</v>
      </c>
      <c r="B578" s="37" t="n">
        <v>5</v>
      </c>
      <c r="C578" s="37" t="n">
        <v>5</v>
      </c>
      <c r="D578" s="37" t="n">
        <v>10</v>
      </c>
      <c r="E578" s="37" t="n">
        <v>0</v>
      </c>
      <c r="F578" s="37" t="n">
        <v>10</v>
      </c>
      <c r="G578" s="37" t="s">
        <v>197</v>
      </c>
      <c r="H578" s="38" t="n">
        <v>198.782876294248</v>
      </c>
      <c r="I578" s="38" t="n">
        <v>199.289683411536</v>
      </c>
      <c r="J578" s="38" t="n">
        <v>212.364290869465</v>
      </c>
      <c r="K578" s="38" t="n">
        <v>231.051550306082</v>
      </c>
      <c r="L578" s="38" t="n">
        <v>108.922378193146</v>
      </c>
      <c r="M578" s="38" t="n">
        <v>98.8137279401334</v>
      </c>
      <c r="N578" s="38" t="n">
        <v>113.564095399985</v>
      </c>
      <c r="O578" s="38" t="n">
        <v>70.41084854509</v>
      </c>
      <c r="P578" s="37" t="n">
        <v>0</v>
      </c>
      <c r="Q578" s="38" t="n">
        <v>0</v>
      </c>
      <c r="R578" s="38" t="n">
        <v>72</v>
      </c>
      <c r="S578" s="37" t="n">
        <v>0</v>
      </c>
    </row>
    <row r="579" customFormat="false" ht="15" hidden="false" customHeight="false" outlineLevel="0" collapsed="false">
      <c r="A579" s="37" t="n">
        <v>0</v>
      </c>
      <c r="B579" s="37" t="n">
        <v>5</v>
      </c>
      <c r="C579" s="37" t="n">
        <v>5</v>
      </c>
      <c r="D579" s="37" t="n">
        <v>10</v>
      </c>
      <c r="E579" s="37" t="n">
        <v>0</v>
      </c>
      <c r="F579" s="37" t="n">
        <v>10</v>
      </c>
      <c r="G579" s="37" t="s">
        <v>196</v>
      </c>
      <c r="H579" s="38" t="n">
        <v>198.782876294248</v>
      </c>
      <c r="I579" s="38" t="n">
        <v>199.29205420884</v>
      </c>
      <c r="J579" s="38" t="n">
        <v>205.346338370904</v>
      </c>
      <c r="K579" s="38" t="n">
        <v>233.2358309849</v>
      </c>
      <c r="L579" s="38" t="n">
        <v>119.680275429345</v>
      </c>
      <c r="M579" s="38" t="n">
        <v>101.223381309435</v>
      </c>
      <c r="N579" s="38" t="n">
        <v>121.508223288273</v>
      </c>
      <c r="O579" s="38" t="n">
        <v>70.6623104975971</v>
      </c>
      <c r="P579" s="37" t="n">
        <v>0</v>
      </c>
      <c r="Q579" s="38" t="n">
        <v>0</v>
      </c>
      <c r="R579" s="38" t="n">
        <v>70.604</v>
      </c>
      <c r="S579" s="37" t="n">
        <v>0</v>
      </c>
    </row>
    <row r="580" customFormat="false" ht="15" hidden="false" customHeight="false" outlineLevel="0" collapsed="false">
      <c r="A580" s="37" t="n">
        <v>0</v>
      </c>
      <c r="B580" s="37" t="n">
        <v>5</v>
      </c>
      <c r="C580" s="37" t="n">
        <v>5</v>
      </c>
      <c r="D580" s="37" t="n">
        <v>10</v>
      </c>
      <c r="E580" s="37" t="n">
        <v>5</v>
      </c>
      <c r="F580" s="37" t="n">
        <v>5</v>
      </c>
      <c r="G580" s="37" t="s">
        <v>188</v>
      </c>
      <c r="H580" s="38" t="n">
        <v>198.791431147572</v>
      </c>
      <c r="I580" s="38" t="n">
        <v>199.409566959015</v>
      </c>
      <c r="J580" s="38" t="n">
        <v>213.06308881057</v>
      </c>
      <c r="K580" s="38" t="n">
        <v>232.243549151441</v>
      </c>
      <c r="L580" s="38" t="n">
        <v>69.6375567590101</v>
      </c>
      <c r="M580" s="38" t="n">
        <v>100.341205801057</v>
      </c>
      <c r="N580" s="38" t="n">
        <v>123.807791568809</v>
      </c>
      <c r="O580" s="38" t="n">
        <v>71.0577805933049</v>
      </c>
      <c r="P580" s="37" t="n">
        <v>0</v>
      </c>
      <c r="Q580" s="38" t="n">
        <v>0</v>
      </c>
      <c r="R580" s="38" t="n">
        <v>72</v>
      </c>
      <c r="S580" s="37" t="n">
        <v>0</v>
      </c>
    </row>
    <row r="581" customFormat="false" ht="15" hidden="false" customHeight="false" outlineLevel="0" collapsed="false">
      <c r="A581" s="37" t="n">
        <v>0</v>
      </c>
      <c r="B581" s="37" t="n">
        <v>5</v>
      </c>
      <c r="C581" s="37" t="n">
        <v>5</v>
      </c>
      <c r="D581" s="37" t="n">
        <v>10</v>
      </c>
      <c r="E581" s="37" t="n">
        <v>5</v>
      </c>
      <c r="F581" s="37" t="n">
        <v>5</v>
      </c>
      <c r="G581" s="37" t="s">
        <v>192</v>
      </c>
      <c r="H581" s="38" t="n">
        <v>198.791431147572</v>
      </c>
      <c r="I581" s="38" t="n">
        <v>199.412631614123</v>
      </c>
      <c r="J581" s="38" t="n">
        <v>224.306896229748</v>
      </c>
      <c r="K581" s="38" t="n">
        <v>240.19146662819</v>
      </c>
      <c r="L581" s="38" t="n">
        <v>68.8366034444464</v>
      </c>
      <c r="M581" s="38" t="n">
        <v>99.4218448563207</v>
      </c>
      <c r="N581" s="38" t="n">
        <v>135.941826927333</v>
      </c>
      <c r="O581" s="38" t="n">
        <v>77.3254172914801</v>
      </c>
      <c r="P581" s="37" t="n">
        <v>0</v>
      </c>
      <c r="Q581" s="38" t="n">
        <v>0</v>
      </c>
      <c r="R581" s="38" t="n">
        <v>72</v>
      </c>
      <c r="S581" s="37" t="n">
        <v>1</v>
      </c>
    </row>
    <row r="582" customFormat="false" ht="15" hidden="false" customHeight="false" outlineLevel="0" collapsed="false">
      <c r="A582" s="37" t="n">
        <v>0</v>
      </c>
      <c r="B582" s="37" t="n">
        <v>5</v>
      </c>
      <c r="C582" s="37" t="n">
        <v>5</v>
      </c>
      <c r="D582" s="37" t="n">
        <v>10</v>
      </c>
      <c r="E582" s="37" t="n">
        <v>5</v>
      </c>
      <c r="F582" s="37" t="n">
        <v>5</v>
      </c>
      <c r="G582" s="37" t="s">
        <v>195</v>
      </c>
      <c r="H582" s="38" t="n">
        <v>198.791431147572</v>
      </c>
      <c r="I582" s="38" t="n">
        <v>199.589155281171</v>
      </c>
      <c r="J582" s="38" t="n">
        <v>216.367302731628</v>
      </c>
      <c r="K582" s="38" t="n">
        <v>237.376923418611</v>
      </c>
      <c r="L582" s="38" t="n">
        <v>84.1269234186106</v>
      </c>
      <c r="M582" s="38" t="n">
        <v>103.468648773927</v>
      </c>
      <c r="N582" s="38" t="n">
        <v>134.848901610177</v>
      </c>
      <c r="O582" s="38" t="n">
        <v>75.9730878929401</v>
      </c>
      <c r="P582" s="37" t="n">
        <v>0</v>
      </c>
      <c r="Q582" s="38" t="n">
        <v>0</v>
      </c>
      <c r="R582" s="38" t="n">
        <v>67.5218255389102</v>
      </c>
      <c r="S582" s="37" t="n">
        <v>0</v>
      </c>
    </row>
    <row r="583" customFormat="false" ht="15" hidden="false" customHeight="false" outlineLevel="0" collapsed="false">
      <c r="A583" s="37" t="n">
        <v>0</v>
      </c>
      <c r="B583" s="37" t="n">
        <v>5</v>
      </c>
      <c r="C583" s="37" t="n">
        <v>5</v>
      </c>
      <c r="D583" s="37" t="n">
        <v>10</v>
      </c>
      <c r="E583" s="37" t="n">
        <v>5</v>
      </c>
      <c r="F583" s="37" t="n">
        <v>5</v>
      </c>
      <c r="G583" s="37" t="s">
        <v>197</v>
      </c>
      <c r="H583" s="38" t="n">
        <v>198.791431147572</v>
      </c>
      <c r="I583" s="38" t="n">
        <v>199.418421107733</v>
      </c>
      <c r="J583" s="38" t="n">
        <v>215.489074209943</v>
      </c>
      <c r="K583" s="38" t="n">
        <v>235.509022781734</v>
      </c>
      <c r="L583" s="38" t="n">
        <v>73.9115009015721</v>
      </c>
      <c r="M583" s="38" t="n">
        <v>103.151386476151</v>
      </c>
      <c r="N583" s="38" t="n">
        <v>129.706402396379</v>
      </c>
      <c r="O583" s="38" t="n">
        <v>75.8474214419785</v>
      </c>
      <c r="P583" s="37" t="n">
        <v>0</v>
      </c>
      <c r="Q583" s="38" t="n">
        <v>0</v>
      </c>
      <c r="R583" s="38" t="n">
        <v>72</v>
      </c>
      <c r="S583" s="37" t="n">
        <v>0</v>
      </c>
    </row>
    <row r="584" customFormat="false" ht="15" hidden="false" customHeight="false" outlineLevel="0" collapsed="false">
      <c r="A584" s="37" t="n">
        <v>0</v>
      </c>
      <c r="B584" s="37" t="n">
        <v>5</v>
      </c>
      <c r="C584" s="37" t="n">
        <v>5</v>
      </c>
      <c r="D584" s="37" t="n">
        <v>10</v>
      </c>
      <c r="E584" s="37" t="n">
        <v>5</v>
      </c>
      <c r="F584" s="37" t="n">
        <v>5</v>
      </c>
      <c r="G584" s="37" t="s">
        <v>196</v>
      </c>
      <c r="H584" s="38" t="n">
        <v>198.791431147572</v>
      </c>
      <c r="I584" s="38" t="n">
        <v>199.412554905096</v>
      </c>
      <c r="J584" s="38" t="n">
        <v>215.335452728793</v>
      </c>
      <c r="K584" s="38" t="n">
        <v>235.296566813715</v>
      </c>
      <c r="L584" s="38" t="n">
        <v>79.1676779248262</v>
      </c>
      <c r="M584" s="38" t="n">
        <v>102.852638792805</v>
      </c>
      <c r="N584" s="38" t="n">
        <v>131.000505994712</v>
      </c>
      <c r="O584" s="38" t="n">
        <v>74.0707896352491</v>
      </c>
      <c r="P584" s="37" t="n">
        <v>0</v>
      </c>
      <c r="Q584" s="38" t="n">
        <v>0</v>
      </c>
      <c r="R584" s="38" t="n">
        <v>71.0824</v>
      </c>
      <c r="S584" s="37" t="n">
        <v>0</v>
      </c>
    </row>
    <row r="585" customFormat="false" ht="15" hidden="false" customHeight="false" outlineLevel="0" collapsed="false">
      <c r="A585" s="37" t="n">
        <v>0</v>
      </c>
      <c r="B585" s="37" t="n">
        <v>5</v>
      </c>
      <c r="C585" s="37" t="n">
        <v>5</v>
      </c>
      <c r="D585" s="37" t="n">
        <v>10</v>
      </c>
      <c r="E585" s="37" t="n">
        <v>10</v>
      </c>
      <c r="F585" s="37" t="n">
        <v>0</v>
      </c>
      <c r="G585" s="37" t="s">
        <v>188</v>
      </c>
      <c r="H585" s="38" t="n">
        <v>198.802068009462</v>
      </c>
      <c r="I585" s="38" t="n">
        <v>199.582596400482</v>
      </c>
      <c r="J585" s="38" t="n">
        <v>215.216441227516</v>
      </c>
      <c r="K585" s="38" t="n">
        <v>235.460364078204</v>
      </c>
      <c r="L585" s="38" t="n">
        <v>81.7545395322227</v>
      </c>
      <c r="M585" s="38" t="n">
        <v>101.337510258639</v>
      </c>
      <c r="N585" s="38" t="n">
        <v>127.712202491682</v>
      </c>
      <c r="O585" s="38" t="n">
        <v>71.9493425789958</v>
      </c>
      <c r="P585" s="37" t="n">
        <v>0</v>
      </c>
      <c r="Q585" s="38" t="n">
        <v>0</v>
      </c>
      <c r="R585" s="38" t="n">
        <v>72</v>
      </c>
      <c r="S585" s="37" t="n">
        <v>0</v>
      </c>
    </row>
    <row r="586" customFormat="false" ht="15" hidden="false" customHeight="false" outlineLevel="0" collapsed="false">
      <c r="A586" s="37" t="n">
        <v>0</v>
      </c>
      <c r="B586" s="37" t="n">
        <v>5</v>
      </c>
      <c r="C586" s="37" t="n">
        <v>5</v>
      </c>
      <c r="D586" s="37" t="n">
        <v>10</v>
      </c>
      <c r="E586" s="37" t="n">
        <v>10</v>
      </c>
      <c r="F586" s="37" t="n">
        <v>0</v>
      </c>
      <c r="G586" s="37" t="s">
        <v>192</v>
      </c>
      <c r="H586" s="38" t="n">
        <v>198.802068009462</v>
      </c>
      <c r="I586" s="38" t="n">
        <v>199.586061576742</v>
      </c>
      <c r="J586" s="38" t="n">
        <v>226.265095474175</v>
      </c>
      <c r="K586" s="38" t="n">
        <v>243.224720406172</v>
      </c>
      <c r="L586" s="38" t="n">
        <v>80.5075561460994</v>
      </c>
      <c r="M586" s="38" t="n">
        <v>100.375599561172</v>
      </c>
      <c r="N586" s="38" t="n">
        <v>138.941827792315</v>
      </c>
      <c r="O586" s="38" t="n">
        <v>76.7819248023653</v>
      </c>
      <c r="P586" s="37" t="n">
        <v>0</v>
      </c>
      <c r="Q586" s="38" t="n">
        <v>0</v>
      </c>
      <c r="R586" s="38" t="n">
        <v>72</v>
      </c>
      <c r="S586" s="37" t="n">
        <v>0</v>
      </c>
    </row>
    <row r="587" customFormat="false" ht="15" hidden="false" customHeight="false" outlineLevel="0" collapsed="false">
      <c r="A587" s="37" t="n">
        <v>0</v>
      </c>
      <c r="B587" s="37" t="n">
        <v>5</v>
      </c>
      <c r="C587" s="37" t="n">
        <v>5</v>
      </c>
      <c r="D587" s="37" t="n">
        <v>10</v>
      </c>
      <c r="E587" s="37" t="n">
        <v>10</v>
      </c>
      <c r="F587" s="37" t="n">
        <v>0</v>
      </c>
      <c r="G587" s="37" t="s">
        <v>195</v>
      </c>
      <c r="H587" s="38" t="n">
        <v>198.802068009462</v>
      </c>
      <c r="I587" s="38" t="n">
        <v>199.774389148346</v>
      </c>
      <c r="J587" s="38" t="n">
        <v>218.568056022103</v>
      </c>
      <c r="K587" s="38" t="n">
        <v>240.849327680883</v>
      </c>
      <c r="L587" s="38" t="n">
        <v>47.599327680883</v>
      </c>
      <c r="M587" s="38" t="n">
        <v>104.439936965033</v>
      </c>
      <c r="N587" s="38" t="n">
        <v>140.160136499219</v>
      </c>
      <c r="O587" s="38" t="n">
        <v>75.9155957127971</v>
      </c>
      <c r="P587" s="37" t="n">
        <v>0</v>
      </c>
      <c r="Q587" s="38" t="n">
        <v>0</v>
      </c>
      <c r="R587" s="38" t="n">
        <v>67.495085326826</v>
      </c>
      <c r="S587" s="37" t="n">
        <v>0</v>
      </c>
    </row>
    <row r="588" customFormat="false" ht="15" hidden="false" customHeight="false" outlineLevel="0" collapsed="false">
      <c r="A588" s="37" t="n">
        <v>0</v>
      </c>
      <c r="B588" s="37" t="n">
        <v>5</v>
      </c>
      <c r="C588" s="37" t="n">
        <v>5</v>
      </c>
      <c r="D588" s="37" t="n">
        <v>10</v>
      </c>
      <c r="E588" s="37" t="n">
        <v>10</v>
      </c>
      <c r="F588" s="37" t="n">
        <v>0</v>
      </c>
      <c r="G588" s="37" t="s">
        <v>197</v>
      </c>
      <c r="H588" s="38" t="n">
        <v>198.802068009462</v>
      </c>
      <c r="I588" s="38" t="n">
        <v>199.614256984864</v>
      </c>
      <c r="J588" s="38" t="n">
        <v>218.488913931888</v>
      </c>
      <c r="K588" s="38" t="n">
        <v>240.050767922514</v>
      </c>
      <c r="L588" s="38" t="n">
        <v>39.1352626852811</v>
      </c>
      <c r="M588" s="38" t="n">
        <v>106.764439467648</v>
      </c>
      <c r="N588" s="38" t="n">
        <v>142.579826552127</v>
      </c>
      <c r="O588" s="38" t="n">
        <v>77.2792466055335</v>
      </c>
      <c r="P588" s="37" t="n">
        <v>0</v>
      </c>
      <c r="Q588" s="38" t="n">
        <v>0</v>
      </c>
      <c r="R588" s="38" t="n">
        <v>72</v>
      </c>
      <c r="S588" s="37" t="n">
        <v>1</v>
      </c>
    </row>
    <row r="589" customFormat="false" ht="15" hidden="false" customHeight="false" outlineLevel="0" collapsed="false">
      <c r="A589" s="37" t="n">
        <v>0</v>
      </c>
      <c r="B589" s="37" t="n">
        <v>5</v>
      </c>
      <c r="C589" s="37" t="n">
        <v>5</v>
      </c>
      <c r="D589" s="37" t="n">
        <v>10</v>
      </c>
      <c r="E589" s="37" t="n">
        <v>10</v>
      </c>
      <c r="F589" s="37" t="n">
        <v>0</v>
      </c>
      <c r="G589" s="37" t="s">
        <v>196</v>
      </c>
      <c r="H589" s="38" t="n">
        <v>198.802068009462</v>
      </c>
      <c r="I589" s="38" t="n">
        <v>199.588731622001</v>
      </c>
      <c r="J589" s="38" t="n">
        <v>217.318347244127</v>
      </c>
      <c r="K589" s="38" t="n">
        <v>238.442029013997</v>
      </c>
      <c r="L589" s="38" t="n">
        <v>42.3131401251083</v>
      </c>
      <c r="M589" s="38" t="n">
        <v>104.341138146469</v>
      </c>
      <c r="N589" s="38" t="n">
        <v>137.311745452946</v>
      </c>
      <c r="O589" s="38" t="n">
        <v>74.286803266083</v>
      </c>
      <c r="P589" s="37" t="n">
        <v>0</v>
      </c>
      <c r="Q589" s="38" t="n">
        <v>0</v>
      </c>
      <c r="R589" s="38" t="n">
        <v>71.0824</v>
      </c>
      <c r="S589" s="37" t="n">
        <v>0</v>
      </c>
    </row>
    <row r="590" customFormat="false" ht="15" hidden="false" customHeight="false" outlineLevel="0" collapsed="false">
      <c r="A590" s="37" t="n">
        <v>0</v>
      </c>
      <c r="B590" s="37" t="n">
        <v>5</v>
      </c>
      <c r="C590" s="37" t="n">
        <v>5</v>
      </c>
      <c r="D590" s="37" t="n">
        <v>15</v>
      </c>
      <c r="E590" s="37" t="n">
        <v>0</v>
      </c>
      <c r="F590" s="37" t="n">
        <v>5</v>
      </c>
      <c r="G590" s="37" t="s">
        <v>188</v>
      </c>
      <c r="H590" s="38" t="n">
        <v>198.954384233602</v>
      </c>
      <c r="I590" s="38" t="n">
        <v>200.083641548065</v>
      </c>
      <c r="J590" s="38" t="n">
        <v>214.026138088698</v>
      </c>
      <c r="K590" s="38" t="n">
        <v>228.100379165889</v>
      </c>
      <c r="L590" s="38" t="n">
        <v>65.8149847949895</v>
      </c>
      <c r="M590" s="38" t="n">
        <v>99.9193012166286</v>
      </c>
      <c r="N590" s="38" t="n">
        <v>119.727381578161</v>
      </c>
      <c r="O590" s="38" t="n">
        <v>70.6113783950592</v>
      </c>
      <c r="P590" s="37" t="n">
        <v>0</v>
      </c>
      <c r="Q590" s="38" t="n">
        <v>0</v>
      </c>
      <c r="R590" s="38" t="n">
        <v>72</v>
      </c>
      <c r="S590" s="37" t="n">
        <v>0</v>
      </c>
    </row>
    <row r="591" customFormat="false" ht="15" hidden="false" customHeight="false" outlineLevel="0" collapsed="false">
      <c r="A591" s="37" t="n">
        <v>0</v>
      </c>
      <c r="B591" s="37" t="n">
        <v>5</v>
      </c>
      <c r="C591" s="37" t="n">
        <v>5</v>
      </c>
      <c r="D591" s="37" t="n">
        <v>15</v>
      </c>
      <c r="E591" s="37" t="n">
        <v>0</v>
      </c>
      <c r="F591" s="37" t="n">
        <v>5</v>
      </c>
      <c r="G591" s="37" t="s">
        <v>192</v>
      </c>
      <c r="H591" s="38" t="n">
        <v>198.954384233602</v>
      </c>
      <c r="I591" s="38" t="n">
        <v>200.083884072142</v>
      </c>
      <c r="J591" s="38" t="n">
        <v>225.424109993658</v>
      </c>
      <c r="K591" s="38" t="n">
        <v>236.173518962028</v>
      </c>
      <c r="L591" s="38" t="n">
        <v>65.4932363924173</v>
      </c>
      <c r="M591" s="38" t="n">
        <v>99.0339357206804</v>
      </c>
      <c r="N591" s="38" t="n">
        <v>132.190789828202</v>
      </c>
      <c r="O591" s="38" t="n">
        <v>76.6817137274355</v>
      </c>
      <c r="P591" s="37" t="n">
        <v>0</v>
      </c>
      <c r="Q591" s="38" t="n">
        <v>0</v>
      </c>
      <c r="R591" s="38" t="n">
        <v>72</v>
      </c>
      <c r="S591" s="37" t="n">
        <v>0</v>
      </c>
    </row>
    <row r="592" customFormat="false" ht="15" hidden="false" customHeight="false" outlineLevel="0" collapsed="false">
      <c r="A592" s="37" t="n">
        <v>0</v>
      </c>
      <c r="B592" s="37" t="n">
        <v>5</v>
      </c>
      <c r="C592" s="37" t="n">
        <v>5</v>
      </c>
      <c r="D592" s="37" t="n">
        <v>15</v>
      </c>
      <c r="E592" s="37" t="n">
        <v>0</v>
      </c>
      <c r="F592" s="37" t="n">
        <v>5</v>
      </c>
      <c r="G592" s="37" t="s">
        <v>195</v>
      </c>
      <c r="H592" s="38" t="n">
        <v>198.954384233602</v>
      </c>
      <c r="I592" s="38" t="n">
        <v>200.329580239049</v>
      </c>
      <c r="J592" s="38" t="n">
        <v>218.387789873218</v>
      </c>
      <c r="K592" s="38" t="n">
        <v>234.938215398501</v>
      </c>
      <c r="L592" s="38" t="n">
        <v>81.6882153985009</v>
      </c>
      <c r="M592" s="38" t="n">
        <v>104.046390241938</v>
      </c>
      <c r="N592" s="38" t="n">
        <v>132.208639751774</v>
      </c>
      <c r="O592" s="38" t="n">
        <v>75.890564840911</v>
      </c>
      <c r="P592" s="37" t="n">
        <v>0</v>
      </c>
      <c r="Q592" s="38" t="n">
        <v>0</v>
      </c>
      <c r="R592" s="38" t="n">
        <v>67.629571515346</v>
      </c>
      <c r="S592" s="37" t="n">
        <v>1</v>
      </c>
    </row>
    <row r="593" customFormat="false" ht="15" hidden="false" customHeight="false" outlineLevel="0" collapsed="false">
      <c r="A593" s="37" t="n">
        <v>0</v>
      </c>
      <c r="B593" s="37" t="n">
        <v>5</v>
      </c>
      <c r="C593" s="37" t="n">
        <v>5</v>
      </c>
      <c r="D593" s="37" t="n">
        <v>15</v>
      </c>
      <c r="E593" s="37" t="n">
        <v>0</v>
      </c>
      <c r="F593" s="37" t="n">
        <v>5</v>
      </c>
      <c r="G593" s="37" t="s">
        <v>197</v>
      </c>
      <c r="H593" s="38" t="n">
        <v>198.954384233602</v>
      </c>
      <c r="I593" s="38" t="n">
        <v>200.080180659962</v>
      </c>
      <c r="J593" s="38" t="n">
        <v>215.681369663319</v>
      </c>
      <c r="K593" s="38" t="n">
        <v>230.222243570786</v>
      </c>
      <c r="L593" s="38" t="n">
        <v>68.2515541764807</v>
      </c>
      <c r="M593" s="38" t="n">
        <v>99.3966267285557</v>
      </c>
      <c r="N593" s="38" t="n">
        <v>115.95103199674</v>
      </c>
      <c r="O593" s="38" t="n">
        <v>71.0250617503206</v>
      </c>
      <c r="P593" s="37" t="n">
        <v>0</v>
      </c>
      <c r="Q593" s="38" t="n">
        <v>0</v>
      </c>
      <c r="R593" s="38" t="n">
        <v>72</v>
      </c>
      <c r="S593" s="37" t="n">
        <v>0</v>
      </c>
    </row>
    <row r="594" customFormat="false" ht="15" hidden="false" customHeight="false" outlineLevel="0" collapsed="false">
      <c r="A594" s="37" t="n">
        <v>0</v>
      </c>
      <c r="B594" s="37" t="n">
        <v>5</v>
      </c>
      <c r="C594" s="37" t="n">
        <v>5</v>
      </c>
      <c r="D594" s="37" t="n">
        <v>15</v>
      </c>
      <c r="E594" s="37" t="n">
        <v>0</v>
      </c>
      <c r="F594" s="37" t="n">
        <v>5</v>
      </c>
      <c r="G594" s="37" t="s">
        <v>196</v>
      </c>
      <c r="H594" s="38" t="n">
        <v>198.954384233602</v>
      </c>
      <c r="I594" s="38" t="n">
        <v>200.082185982817</v>
      </c>
      <c r="J594" s="38" t="n">
        <v>208.546025608574</v>
      </c>
      <c r="K594" s="38" t="n">
        <v>232.330446749473</v>
      </c>
      <c r="L594" s="38" t="n">
        <v>78.7748911939174</v>
      </c>
      <c r="M594" s="38" t="n">
        <v>102.097769856438</v>
      </c>
      <c r="N594" s="38" t="n">
        <v>123.717520963317</v>
      </c>
      <c r="O594" s="38" t="n">
        <v>69.7578154585103</v>
      </c>
      <c r="P594" s="37" t="n">
        <v>0</v>
      </c>
      <c r="Q594" s="38" t="n">
        <v>0</v>
      </c>
      <c r="R594" s="38" t="n">
        <v>70.604</v>
      </c>
      <c r="S594" s="37" t="n">
        <v>0</v>
      </c>
    </row>
    <row r="595" customFormat="false" ht="15" hidden="false" customHeight="false" outlineLevel="0" collapsed="false">
      <c r="A595" s="37" t="n">
        <v>0</v>
      </c>
      <c r="B595" s="37" t="n">
        <v>5</v>
      </c>
      <c r="C595" s="37" t="n">
        <v>5</v>
      </c>
      <c r="D595" s="37" t="n">
        <v>15</v>
      </c>
      <c r="E595" s="37" t="n">
        <v>5</v>
      </c>
      <c r="F595" s="37" t="n">
        <v>0</v>
      </c>
      <c r="G595" s="37" t="s">
        <v>188</v>
      </c>
      <c r="H595" s="38" t="n">
        <v>198.955308620589</v>
      </c>
      <c r="I595" s="38" t="n">
        <v>200.181103939512</v>
      </c>
      <c r="J595" s="38" t="n">
        <v>216.69960767287</v>
      </c>
      <c r="K595" s="38" t="n">
        <v>231.645091133625</v>
      </c>
      <c r="L595" s="38" t="n">
        <v>78.2537147257965</v>
      </c>
      <c r="M595" s="38" t="n">
        <v>100.871506042207</v>
      </c>
      <c r="N595" s="38" t="n">
        <v>125.219690589535</v>
      </c>
      <c r="O595" s="38" t="n">
        <v>71.7269994296537</v>
      </c>
      <c r="P595" s="37" t="n">
        <v>0</v>
      </c>
      <c r="Q595" s="38" t="n">
        <v>0</v>
      </c>
      <c r="R595" s="38" t="n">
        <v>72</v>
      </c>
      <c r="S595" s="37" t="n">
        <v>0</v>
      </c>
    </row>
    <row r="596" customFormat="false" ht="15" hidden="false" customHeight="false" outlineLevel="0" collapsed="false">
      <c r="A596" s="37" t="n">
        <v>0</v>
      </c>
      <c r="B596" s="37" t="n">
        <v>5</v>
      </c>
      <c r="C596" s="37" t="n">
        <v>5</v>
      </c>
      <c r="D596" s="37" t="n">
        <v>15</v>
      </c>
      <c r="E596" s="37" t="n">
        <v>5</v>
      </c>
      <c r="F596" s="37" t="n">
        <v>0</v>
      </c>
      <c r="G596" s="37" t="s">
        <v>192</v>
      </c>
      <c r="H596" s="38" t="n">
        <v>198.955308620589</v>
      </c>
      <c r="I596" s="38" t="n">
        <v>200.182695735156</v>
      </c>
      <c r="J596" s="38" t="n">
        <v>227.957489763805</v>
      </c>
      <c r="K596" s="38" t="n">
        <v>239.607114343788</v>
      </c>
      <c r="L596" s="38" t="n">
        <v>77.5561365489308</v>
      </c>
      <c r="M596" s="38" t="n">
        <v>99.9294725606377</v>
      </c>
      <c r="N596" s="38" t="n">
        <v>135.346690512222</v>
      </c>
      <c r="O596" s="38" t="n">
        <v>76.4042906344136</v>
      </c>
      <c r="P596" s="37" t="n">
        <v>0</v>
      </c>
      <c r="Q596" s="38" t="n">
        <v>0</v>
      </c>
      <c r="R596" s="38" t="n">
        <v>72</v>
      </c>
      <c r="S596" s="37" t="n">
        <v>0</v>
      </c>
    </row>
    <row r="597" customFormat="false" ht="15" hidden="false" customHeight="false" outlineLevel="0" collapsed="false">
      <c r="A597" s="37" t="n">
        <v>0</v>
      </c>
      <c r="B597" s="37" t="n">
        <v>5</v>
      </c>
      <c r="C597" s="37" t="n">
        <v>5</v>
      </c>
      <c r="D597" s="37" t="n">
        <v>15</v>
      </c>
      <c r="E597" s="37" t="n">
        <v>5</v>
      </c>
      <c r="F597" s="37" t="n">
        <v>0</v>
      </c>
      <c r="G597" s="37" t="s">
        <v>195</v>
      </c>
      <c r="H597" s="38" t="n">
        <v>198.955308620589</v>
      </c>
      <c r="I597" s="38" t="n">
        <v>200.44108121343</v>
      </c>
      <c r="J597" s="38" t="n">
        <v>221.229321166626</v>
      </c>
      <c r="K597" s="38" t="n">
        <v>238.911688067089</v>
      </c>
      <c r="L597" s="38" t="n">
        <v>45.6616880670894</v>
      </c>
      <c r="M597" s="38" t="n">
        <v>104.938281968503</v>
      </c>
      <c r="N597" s="38" t="n">
        <v>139.288973078023</v>
      </c>
      <c r="O597" s="38" t="n">
        <v>76.2304195653039</v>
      </c>
      <c r="P597" s="37" t="n">
        <v>0</v>
      </c>
      <c r="Q597" s="38" t="n">
        <v>0</v>
      </c>
      <c r="R597" s="38" t="n">
        <v>67.6152895254219</v>
      </c>
      <c r="S597" s="37" t="n">
        <v>1</v>
      </c>
    </row>
    <row r="598" customFormat="false" ht="15" hidden="false" customHeight="false" outlineLevel="0" collapsed="false">
      <c r="A598" s="37" t="n">
        <v>0</v>
      </c>
      <c r="B598" s="37" t="n">
        <v>5</v>
      </c>
      <c r="C598" s="37" t="n">
        <v>5</v>
      </c>
      <c r="D598" s="37" t="n">
        <v>15</v>
      </c>
      <c r="E598" s="37" t="n">
        <v>5</v>
      </c>
      <c r="F598" s="37" t="n">
        <v>0</v>
      </c>
      <c r="G598" s="37" t="s">
        <v>197</v>
      </c>
      <c r="H598" s="38" t="n">
        <v>198.955308620589</v>
      </c>
      <c r="I598" s="38" t="n">
        <v>200.189531753515</v>
      </c>
      <c r="J598" s="38" t="n">
        <v>218.886993021045</v>
      </c>
      <c r="K598" s="38" t="n">
        <v>234.691059645337</v>
      </c>
      <c r="L598" s="38" t="n">
        <v>33.2614555038325</v>
      </c>
      <c r="M598" s="38" t="n">
        <v>103.673093590234</v>
      </c>
      <c r="N598" s="38" t="n">
        <v>126.334786353214</v>
      </c>
      <c r="O598" s="38" t="n">
        <v>75.1617210076209</v>
      </c>
      <c r="P598" s="37" t="n">
        <v>0</v>
      </c>
      <c r="Q598" s="38" t="n">
        <v>0</v>
      </c>
      <c r="R598" s="38" t="n">
        <v>72</v>
      </c>
      <c r="S598" s="37" t="n">
        <v>0</v>
      </c>
    </row>
    <row r="599" customFormat="false" ht="15" hidden="false" customHeight="false" outlineLevel="0" collapsed="false">
      <c r="A599" s="37" t="n">
        <v>0</v>
      </c>
      <c r="B599" s="37" t="n">
        <v>5</v>
      </c>
      <c r="C599" s="37" t="n">
        <v>5</v>
      </c>
      <c r="D599" s="37" t="n">
        <v>15</v>
      </c>
      <c r="E599" s="37" t="n">
        <v>5</v>
      </c>
      <c r="F599" s="37" t="n">
        <v>0</v>
      </c>
      <c r="G599" s="37" t="s">
        <v>196</v>
      </c>
      <c r="H599" s="38" t="n">
        <v>198.955308620589</v>
      </c>
      <c r="I599" s="38" t="n">
        <v>200.182554505728</v>
      </c>
      <c r="J599" s="38" t="n">
        <v>218.675123747885</v>
      </c>
      <c r="K599" s="38" t="n">
        <v>234.39178050679</v>
      </c>
      <c r="L599" s="38" t="n">
        <v>38.2628916179008</v>
      </c>
      <c r="M599" s="38" t="n">
        <v>103.675587192556</v>
      </c>
      <c r="N599" s="38" t="n">
        <v>131.780004379581</v>
      </c>
      <c r="O599" s="38" t="n">
        <v>73.2027928803681</v>
      </c>
      <c r="P599" s="37" t="n">
        <v>0</v>
      </c>
      <c r="Q599" s="38" t="n">
        <v>0</v>
      </c>
      <c r="R599" s="38" t="n">
        <v>71.0824</v>
      </c>
      <c r="S599" s="37" t="n">
        <v>0</v>
      </c>
    </row>
    <row r="600" customFormat="false" ht="15" hidden="false" customHeight="false" outlineLevel="0" collapsed="false">
      <c r="A600" s="37" t="n">
        <v>0</v>
      </c>
      <c r="B600" s="37" t="n">
        <v>5</v>
      </c>
      <c r="C600" s="37" t="n">
        <v>5</v>
      </c>
      <c r="D600" s="37" t="n">
        <v>20</v>
      </c>
      <c r="E600" s="37" t="n">
        <v>0</v>
      </c>
      <c r="F600" s="37" t="n">
        <v>0</v>
      </c>
      <c r="G600" s="37" t="s">
        <v>188</v>
      </c>
      <c r="H600" s="38" t="n">
        <v>199.128091004289</v>
      </c>
      <c r="I600" s="38" t="n">
        <v>200.827251376642</v>
      </c>
      <c r="J600" s="38" t="n">
        <v>217.151840701409</v>
      </c>
      <c r="K600" s="38" t="n">
        <v>226.552092405004</v>
      </c>
      <c r="L600" s="38" t="n">
        <v>73.4172109635321</v>
      </c>
      <c r="M600" s="38" t="n">
        <v>100.381782565625</v>
      </c>
      <c r="N600" s="38" t="n">
        <v>120.570487683266</v>
      </c>
      <c r="O600" s="38" t="n">
        <v>71.12405265183</v>
      </c>
      <c r="P600" s="37" t="n">
        <v>0</v>
      </c>
      <c r="Q600" s="38" t="n">
        <v>0</v>
      </c>
      <c r="R600" s="38" t="n">
        <v>72</v>
      </c>
      <c r="S600" s="37" t="n">
        <v>0</v>
      </c>
    </row>
    <row r="601" customFormat="false" ht="15" hidden="false" customHeight="false" outlineLevel="0" collapsed="false">
      <c r="A601" s="37" t="n">
        <v>0</v>
      </c>
      <c r="B601" s="37" t="n">
        <v>5</v>
      </c>
      <c r="C601" s="37" t="n">
        <v>5</v>
      </c>
      <c r="D601" s="37" t="n">
        <v>20</v>
      </c>
      <c r="E601" s="37" t="n">
        <v>0</v>
      </c>
      <c r="F601" s="37" t="n">
        <v>0</v>
      </c>
      <c r="G601" s="37" t="s">
        <v>192</v>
      </c>
      <c r="H601" s="38" t="n">
        <v>199.128091004289</v>
      </c>
      <c r="I601" s="38" t="n">
        <v>200.826417191872</v>
      </c>
      <c r="J601" s="38" t="n">
        <v>225.751616410343</v>
      </c>
      <c r="K601" s="38" t="n">
        <v>247.690509779766</v>
      </c>
      <c r="L601" s="38" t="n">
        <v>88.8606645093865</v>
      </c>
      <c r="M601" s="38" t="n">
        <v>99.4764504437285</v>
      </c>
      <c r="N601" s="38" t="n">
        <v>132.881067827107</v>
      </c>
      <c r="O601" s="38" t="n">
        <v>74.3867182205252</v>
      </c>
      <c r="P601" s="37" t="n">
        <v>0</v>
      </c>
      <c r="Q601" s="38" t="n">
        <v>0</v>
      </c>
      <c r="R601" s="38" t="n">
        <v>63</v>
      </c>
      <c r="S601" s="37" t="n">
        <v>0</v>
      </c>
    </row>
    <row r="602" customFormat="false" ht="15" hidden="false" customHeight="false" outlineLevel="0" collapsed="false">
      <c r="A602" s="37" t="n">
        <v>0</v>
      </c>
      <c r="B602" s="37" t="n">
        <v>5</v>
      </c>
      <c r="C602" s="37" t="n">
        <v>5</v>
      </c>
      <c r="D602" s="37" t="n">
        <v>20</v>
      </c>
      <c r="E602" s="37" t="n">
        <v>0</v>
      </c>
      <c r="F602" s="37" t="n">
        <v>0</v>
      </c>
      <c r="G602" s="37" t="s">
        <v>195</v>
      </c>
      <c r="H602" s="38" t="n">
        <v>199.128091004289</v>
      </c>
      <c r="I602" s="38" t="n">
        <v>201.163691047544</v>
      </c>
      <c r="J602" s="38" t="n">
        <v>222.187749003589</v>
      </c>
      <c r="K602" s="38" t="n">
        <v>234.832619725543</v>
      </c>
      <c r="L602" s="38" t="n">
        <v>41.5826197255431</v>
      </c>
      <c r="M602" s="38" t="n">
        <v>105.484170668042</v>
      </c>
      <c r="N602" s="38" t="n">
        <v>135.123313837628</v>
      </c>
      <c r="O602" s="38" t="n">
        <v>75.4872203610981</v>
      </c>
      <c r="P602" s="37" t="n">
        <v>0</v>
      </c>
      <c r="Q602" s="38" t="n">
        <v>0</v>
      </c>
      <c r="R602" s="38" t="n">
        <v>67.6272694142339</v>
      </c>
      <c r="S602" s="37" t="n">
        <v>1</v>
      </c>
    </row>
    <row r="603" customFormat="false" ht="15" hidden="false" customHeight="false" outlineLevel="0" collapsed="false">
      <c r="A603" s="37" t="n">
        <v>0</v>
      </c>
      <c r="B603" s="37" t="n">
        <v>5</v>
      </c>
      <c r="C603" s="37" t="n">
        <v>5</v>
      </c>
      <c r="D603" s="37" t="n">
        <v>20</v>
      </c>
      <c r="E603" s="37" t="n">
        <v>0</v>
      </c>
      <c r="F603" s="37" t="n">
        <v>0</v>
      </c>
      <c r="G603" s="37" t="s">
        <v>197</v>
      </c>
      <c r="H603" s="38" t="n">
        <v>199.128091004289</v>
      </c>
      <c r="I603" s="38" t="n">
        <v>200.822767725544</v>
      </c>
      <c r="J603" s="38" t="n">
        <v>218.527738828036</v>
      </c>
      <c r="K603" s="38" t="n">
        <v>228.372700961151</v>
      </c>
      <c r="L603" s="38" t="n">
        <v>71.4059798074697</v>
      </c>
      <c r="M603" s="38" t="n">
        <v>99.8755933918418</v>
      </c>
      <c r="N603" s="38" t="n">
        <v>116.322948621932</v>
      </c>
      <c r="O603" s="38" t="n">
        <v>69.7864971228991</v>
      </c>
      <c r="P603" s="37" t="n">
        <v>0</v>
      </c>
      <c r="Q603" s="38" t="n">
        <v>0</v>
      </c>
      <c r="R603" s="38" t="n">
        <v>72</v>
      </c>
      <c r="S603" s="37" t="n">
        <v>0</v>
      </c>
    </row>
    <row r="604" customFormat="false" ht="15" hidden="false" customHeight="false" outlineLevel="0" collapsed="false">
      <c r="A604" s="37" t="n">
        <v>0</v>
      </c>
      <c r="B604" s="37" t="n">
        <v>5</v>
      </c>
      <c r="C604" s="37" t="n">
        <v>5</v>
      </c>
      <c r="D604" s="37" t="n">
        <v>20</v>
      </c>
      <c r="E604" s="37" t="n">
        <v>0</v>
      </c>
      <c r="F604" s="37" t="n">
        <v>0</v>
      </c>
      <c r="G604" s="37" t="s">
        <v>196</v>
      </c>
      <c r="H604" s="38" t="n">
        <v>199.128091004289</v>
      </c>
      <c r="I604" s="38" t="n">
        <v>200.824601713159</v>
      </c>
      <c r="J604" s="38" t="n">
        <v>211.300164628093</v>
      </c>
      <c r="K604" s="38" t="n">
        <v>230.3900859422</v>
      </c>
      <c r="L604" s="38" t="n">
        <v>36.834530386644</v>
      </c>
      <c r="M604" s="38" t="n">
        <v>102.864509354764</v>
      </c>
      <c r="N604" s="38" t="n">
        <v>122.615083819963</v>
      </c>
      <c r="O604" s="38" t="n">
        <v>68.6966147299761</v>
      </c>
      <c r="P604" s="37" t="n">
        <v>0</v>
      </c>
      <c r="Q604" s="38" t="n">
        <v>0</v>
      </c>
      <c r="R604" s="38" t="n">
        <v>70.604</v>
      </c>
      <c r="S604" s="37" t="n">
        <v>0</v>
      </c>
    </row>
    <row r="605" customFormat="false" ht="15" hidden="false" customHeight="false" outlineLevel="0" collapsed="false">
      <c r="A605" s="37" t="n">
        <v>0</v>
      </c>
      <c r="B605" s="37" t="n">
        <v>5</v>
      </c>
      <c r="C605" s="37" t="n">
        <v>10</v>
      </c>
      <c r="D605" s="37" t="n">
        <v>0</v>
      </c>
      <c r="E605" s="37" t="n">
        <v>0</v>
      </c>
      <c r="F605" s="37" t="n">
        <v>15</v>
      </c>
      <c r="G605" s="37" t="s">
        <v>188</v>
      </c>
      <c r="H605" s="38" t="n">
        <v>198.592058496027</v>
      </c>
      <c r="I605" s="38" t="n">
        <v>199.908127908931</v>
      </c>
      <c r="J605" s="38" t="n">
        <v>209.163193251825</v>
      </c>
      <c r="K605" s="38" t="n">
        <v>245.414895982616</v>
      </c>
      <c r="L605" s="38" t="n">
        <v>162.322861672594</v>
      </c>
      <c r="M605" s="38" t="n">
        <v>103.726312832631</v>
      </c>
      <c r="N605" s="38" t="n">
        <v>121.399099824792</v>
      </c>
      <c r="O605" s="38" t="n">
        <v>68.9803476549924</v>
      </c>
      <c r="P605" s="37" t="n">
        <v>0</v>
      </c>
      <c r="Q605" s="38" t="n">
        <v>0</v>
      </c>
      <c r="R605" s="38" t="n">
        <v>70.5</v>
      </c>
      <c r="S605" s="37" t="n">
        <v>0</v>
      </c>
    </row>
    <row r="606" customFormat="false" ht="15" hidden="false" customHeight="false" outlineLevel="0" collapsed="false">
      <c r="A606" s="37" t="n">
        <v>0</v>
      </c>
      <c r="B606" s="37" t="n">
        <v>5</v>
      </c>
      <c r="C606" s="37" t="n">
        <v>10</v>
      </c>
      <c r="D606" s="37" t="n">
        <v>0</v>
      </c>
      <c r="E606" s="37" t="n">
        <v>0</v>
      </c>
      <c r="F606" s="37" t="n">
        <v>15</v>
      </c>
      <c r="G606" s="37" t="s">
        <v>192</v>
      </c>
      <c r="H606" s="38" t="n">
        <v>198.592058496027</v>
      </c>
      <c r="I606" s="38" t="n">
        <v>199.905317040197</v>
      </c>
      <c r="J606" s="38" t="n">
        <v>220.258626301185</v>
      </c>
      <c r="K606" s="38" t="n">
        <v>253.123204433818</v>
      </c>
      <c r="L606" s="38" t="n">
        <v>161.812149967763</v>
      </c>
      <c r="M606" s="38" t="n">
        <v>102.868415621581</v>
      </c>
      <c r="N606" s="38" t="n">
        <v>133.312922063177</v>
      </c>
      <c r="O606" s="38" t="n">
        <v>75.1375292556942</v>
      </c>
      <c r="P606" s="37" t="n">
        <v>0</v>
      </c>
      <c r="Q606" s="38" t="n">
        <v>0</v>
      </c>
      <c r="R606" s="38" t="n">
        <v>70.5</v>
      </c>
      <c r="S606" s="37" t="n">
        <v>1</v>
      </c>
    </row>
    <row r="607" customFormat="false" ht="15" hidden="false" customHeight="false" outlineLevel="0" collapsed="false">
      <c r="A607" s="37" t="n">
        <v>0</v>
      </c>
      <c r="B607" s="37" t="n">
        <v>5</v>
      </c>
      <c r="C607" s="37" t="n">
        <v>10</v>
      </c>
      <c r="D607" s="37" t="n">
        <v>0</v>
      </c>
      <c r="E607" s="37" t="n">
        <v>0</v>
      </c>
      <c r="F607" s="37" t="n">
        <v>15</v>
      </c>
      <c r="G607" s="37" t="s">
        <v>195</v>
      </c>
      <c r="H607" s="38" t="n">
        <v>198.592058496027</v>
      </c>
      <c r="I607" s="38" t="n">
        <v>199.939561544876</v>
      </c>
      <c r="J607" s="38" t="n">
        <v>207.489272189814</v>
      </c>
      <c r="K607" s="38" t="n">
        <v>240.244122177921</v>
      </c>
      <c r="L607" s="38" t="n">
        <v>161.819839693676</v>
      </c>
      <c r="M607" s="38" t="n">
        <v>103.771639759821</v>
      </c>
      <c r="N607" s="38" t="n">
        <v>117.384305223868</v>
      </c>
      <c r="O607" s="38" t="n">
        <v>67.2143506660809</v>
      </c>
      <c r="P607" s="37" t="n">
        <v>0</v>
      </c>
      <c r="Q607" s="38" t="n">
        <v>0</v>
      </c>
      <c r="R607" s="38" t="n">
        <v>68.6477152547263</v>
      </c>
      <c r="S607" s="37" t="n">
        <v>0</v>
      </c>
    </row>
    <row r="608" customFormat="false" ht="15" hidden="false" customHeight="false" outlineLevel="0" collapsed="false">
      <c r="A608" s="37" t="n">
        <v>0</v>
      </c>
      <c r="B608" s="37" t="n">
        <v>5</v>
      </c>
      <c r="C608" s="37" t="n">
        <v>10</v>
      </c>
      <c r="D608" s="37" t="n">
        <v>0</v>
      </c>
      <c r="E608" s="37" t="n">
        <v>0</v>
      </c>
      <c r="F608" s="37" t="n">
        <v>15</v>
      </c>
      <c r="G608" s="37" t="s">
        <v>197</v>
      </c>
      <c r="H608" s="38" t="n">
        <v>198.592058496027</v>
      </c>
      <c r="I608" s="38" t="n">
        <v>199.895412137254</v>
      </c>
      <c r="J608" s="38" t="n">
        <v>210.386605339711</v>
      </c>
      <c r="K608" s="38" t="n">
        <v>246.905424029703</v>
      </c>
      <c r="L608" s="38" t="n">
        <v>164.434832441108</v>
      </c>
      <c r="M608" s="38" t="n">
        <v>101.147248264069</v>
      </c>
      <c r="N608" s="38" t="n">
        <v>112.210339124465</v>
      </c>
      <c r="O608" s="38" t="n">
        <v>67.0002668904951</v>
      </c>
      <c r="P608" s="37" t="n">
        <v>0</v>
      </c>
      <c r="Q608" s="38" t="n">
        <v>0</v>
      </c>
      <c r="R608" s="38" t="n">
        <v>70.5</v>
      </c>
      <c r="S608" s="37" t="n">
        <v>0</v>
      </c>
    </row>
    <row r="609" customFormat="false" ht="15" hidden="false" customHeight="false" outlineLevel="0" collapsed="false">
      <c r="A609" s="37" t="n">
        <v>0</v>
      </c>
      <c r="B609" s="37" t="n">
        <v>5</v>
      </c>
      <c r="C609" s="37" t="n">
        <v>10</v>
      </c>
      <c r="D609" s="37" t="n">
        <v>0</v>
      </c>
      <c r="E609" s="37" t="n">
        <v>0</v>
      </c>
      <c r="F609" s="37" t="n">
        <v>15</v>
      </c>
      <c r="G609" s="37" t="s">
        <v>196</v>
      </c>
      <c r="H609" s="38" t="n">
        <v>198.592058496027</v>
      </c>
      <c r="I609" s="38" t="n">
        <v>199.902808810691</v>
      </c>
      <c r="J609" s="38" t="n">
        <v>211.026750541225</v>
      </c>
      <c r="K609" s="38" t="n">
        <v>247.874279216144</v>
      </c>
      <c r="L609" s="38" t="n">
        <v>171.835628422493</v>
      </c>
      <c r="M609" s="38" t="n">
        <v>103.263905404078</v>
      </c>
      <c r="N609" s="38" t="n">
        <v>121.519553570867</v>
      </c>
      <c r="O609" s="38" t="n">
        <v>69.8695370009722</v>
      </c>
      <c r="P609" s="37" t="n">
        <v>0</v>
      </c>
      <c r="Q609" s="38" t="n">
        <v>0</v>
      </c>
      <c r="R609" s="38" t="n">
        <v>69.6040571428571</v>
      </c>
      <c r="S609" s="37" t="n">
        <v>0</v>
      </c>
    </row>
    <row r="610" customFormat="false" ht="15" hidden="false" customHeight="false" outlineLevel="0" collapsed="false">
      <c r="A610" s="37" t="n">
        <v>0</v>
      </c>
      <c r="B610" s="37" t="n">
        <v>5</v>
      </c>
      <c r="C610" s="37" t="n">
        <v>10</v>
      </c>
      <c r="D610" s="37" t="n">
        <v>0</v>
      </c>
      <c r="E610" s="37" t="n">
        <v>5</v>
      </c>
      <c r="F610" s="37" t="n">
        <v>10</v>
      </c>
      <c r="G610" s="37" t="s">
        <v>188</v>
      </c>
      <c r="H610" s="38" t="n">
        <v>198.597005331207</v>
      </c>
      <c r="I610" s="38" t="n">
        <v>199.987351503139</v>
      </c>
      <c r="J610" s="38" t="n">
        <v>211.315465252564</v>
      </c>
      <c r="K610" s="38" t="n">
        <v>248.531088801585</v>
      </c>
      <c r="L610" s="38" t="n">
        <v>125.62621061072</v>
      </c>
      <c r="M610" s="38" t="n">
        <v>104.594803213927</v>
      </c>
      <c r="N610" s="38" t="n">
        <v>127.137596394885</v>
      </c>
      <c r="O610" s="38" t="n">
        <v>69.0801173582069</v>
      </c>
      <c r="P610" s="37" t="n">
        <v>0</v>
      </c>
      <c r="Q610" s="38" t="n">
        <v>0</v>
      </c>
      <c r="R610" s="38" t="n">
        <v>70.5</v>
      </c>
      <c r="S610" s="37" t="n">
        <v>0</v>
      </c>
    </row>
    <row r="611" customFormat="false" ht="15" hidden="false" customHeight="false" outlineLevel="0" collapsed="false">
      <c r="A611" s="37" t="n">
        <v>0</v>
      </c>
      <c r="B611" s="37" t="n">
        <v>5</v>
      </c>
      <c r="C611" s="37" t="n">
        <v>10</v>
      </c>
      <c r="D611" s="37" t="n">
        <v>0</v>
      </c>
      <c r="E611" s="37" t="n">
        <v>5</v>
      </c>
      <c r="F611" s="37" t="n">
        <v>10</v>
      </c>
      <c r="G611" s="37" t="s">
        <v>192</v>
      </c>
      <c r="H611" s="38" t="n">
        <v>198.597005331207</v>
      </c>
      <c r="I611" s="38" t="n">
        <v>199.986645124428</v>
      </c>
      <c r="J611" s="38" t="n">
        <v>222.383181461255</v>
      </c>
      <c r="K611" s="38" t="n">
        <v>256.196796218884</v>
      </c>
      <c r="L611" s="38" t="n">
        <v>124.78936937998</v>
      </c>
      <c r="M611" s="38" t="n">
        <v>103.688376829461</v>
      </c>
      <c r="N611" s="38" t="n">
        <v>138.726657222826</v>
      </c>
      <c r="O611" s="38" t="n">
        <v>75.2322913735008</v>
      </c>
      <c r="P611" s="37" t="n">
        <v>0</v>
      </c>
      <c r="Q611" s="38" t="n">
        <v>0</v>
      </c>
      <c r="R611" s="38" t="n">
        <v>70.5</v>
      </c>
      <c r="S611" s="37" t="n">
        <v>1</v>
      </c>
    </row>
    <row r="612" customFormat="false" ht="15" hidden="false" customHeight="false" outlineLevel="0" collapsed="false">
      <c r="A612" s="37" t="n">
        <v>0</v>
      </c>
      <c r="B612" s="37" t="n">
        <v>5</v>
      </c>
      <c r="C612" s="37" t="n">
        <v>10</v>
      </c>
      <c r="D612" s="37" t="n">
        <v>0</v>
      </c>
      <c r="E612" s="37" t="n">
        <v>5</v>
      </c>
      <c r="F612" s="37" t="n">
        <v>10</v>
      </c>
      <c r="G612" s="37" t="s">
        <v>195</v>
      </c>
      <c r="H612" s="38" t="n">
        <v>198.597005331207</v>
      </c>
      <c r="I612" s="38" t="n">
        <v>200.023803935161</v>
      </c>
      <c r="J612" s="38" t="n">
        <v>209.521662400537</v>
      </c>
      <c r="K612" s="38" t="n">
        <v>243.197907478018</v>
      </c>
      <c r="L612" s="38" t="n">
        <v>124.674223588448</v>
      </c>
      <c r="M612" s="38" t="n">
        <v>104.650842418482</v>
      </c>
      <c r="N612" s="38" t="n">
        <v>123.015397996878</v>
      </c>
      <c r="O612" s="38" t="n">
        <v>67.492546242372</v>
      </c>
      <c r="P612" s="37" t="n">
        <v>0</v>
      </c>
      <c r="Q612" s="38" t="n">
        <v>0</v>
      </c>
      <c r="R612" s="38" t="n">
        <v>68.6178948331289</v>
      </c>
      <c r="S612" s="37" t="n">
        <v>0</v>
      </c>
    </row>
    <row r="613" customFormat="false" ht="15" hidden="false" customHeight="false" outlineLevel="0" collapsed="false">
      <c r="A613" s="37" t="n">
        <v>0</v>
      </c>
      <c r="B613" s="37" t="n">
        <v>5</v>
      </c>
      <c r="C613" s="37" t="n">
        <v>10</v>
      </c>
      <c r="D613" s="37" t="n">
        <v>0</v>
      </c>
      <c r="E613" s="37" t="n">
        <v>5</v>
      </c>
      <c r="F613" s="37" t="n">
        <v>10</v>
      </c>
      <c r="G613" s="37" t="s">
        <v>197</v>
      </c>
      <c r="H613" s="38" t="n">
        <v>198.597005331207</v>
      </c>
      <c r="I613" s="38" t="n">
        <v>199.986187421764</v>
      </c>
      <c r="J613" s="38" t="n">
        <v>213.112109156249</v>
      </c>
      <c r="K613" s="38" t="n">
        <v>250.893738441378</v>
      </c>
      <c r="L613" s="38" t="n">
        <v>128.94944349964</v>
      </c>
      <c r="M613" s="38" t="n">
        <v>105.424817734984</v>
      </c>
      <c r="N613" s="38" t="n">
        <v>127.363530951849</v>
      </c>
      <c r="O613" s="38" t="n">
        <v>72.6459873996518</v>
      </c>
      <c r="P613" s="37" t="n">
        <v>0</v>
      </c>
      <c r="Q613" s="38" t="n">
        <v>0</v>
      </c>
      <c r="R613" s="38" t="n">
        <v>70.5</v>
      </c>
      <c r="S613" s="37" t="n">
        <v>0</v>
      </c>
    </row>
    <row r="614" customFormat="false" ht="15" hidden="false" customHeight="false" outlineLevel="0" collapsed="false">
      <c r="A614" s="37" t="n">
        <v>0</v>
      </c>
      <c r="B614" s="37" t="n">
        <v>5</v>
      </c>
      <c r="C614" s="37" t="n">
        <v>10</v>
      </c>
      <c r="D614" s="37" t="n">
        <v>0</v>
      </c>
      <c r="E614" s="37" t="n">
        <v>5</v>
      </c>
      <c r="F614" s="37" t="n">
        <v>10</v>
      </c>
      <c r="G614" s="37" t="s">
        <v>196</v>
      </c>
      <c r="H614" s="38" t="n">
        <v>198.597005331207</v>
      </c>
      <c r="I614" s="38" t="n">
        <v>199.985590162132</v>
      </c>
      <c r="J614" s="38" t="n">
        <v>212.940621210256</v>
      </c>
      <c r="K614" s="38" t="n">
        <v>250.720777362013</v>
      </c>
      <c r="L614" s="38" t="n">
        <v>134.257216929636</v>
      </c>
      <c r="M614" s="38" t="n">
        <v>104.841114470205</v>
      </c>
      <c r="N614" s="38" t="n">
        <v>128.641674490196</v>
      </c>
      <c r="O614" s="38" t="n">
        <v>72.4026290031784</v>
      </c>
      <c r="P614" s="37" t="n">
        <v>0</v>
      </c>
      <c r="Q614" s="38" t="n">
        <v>0</v>
      </c>
      <c r="R614" s="38" t="n">
        <v>69.5020788295629</v>
      </c>
      <c r="S614" s="37" t="n">
        <v>0</v>
      </c>
    </row>
    <row r="615" customFormat="false" ht="15" hidden="false" customHeight="false" outlineLevel="0" collapsed="false">
      <c r="A615" s="37" t="n">
        <v>0</v>
      </c>
      <c r="B615" s="37" t="n">
        <v>5</v>
      </c>
      <c r="C615" s="37" t="n">
        <v>10</v>
      </c>
      <c r="D615" s="37" t="n">
        <v>0</v>
      </c>
      <c r="E615" s="37" t="n">
        <v>10</v>
      </c>
      <c r="F615" s="37" t="n">
        <v>5</v>
      </c>
      <c r="G615" s="37" t="s">
        <v>188</v>
      </c>
      <c r="H615" s="38" t="n">
        <v>198.612137112388</v>
      </c>
      <c r="I615" s="38" t="n">
        <v>200.155950032459</v>
      </c>
      <c r="J615" s="38" t="n">
        <v>213.151526815269</v>
      </c>
      <c r="K615" s="38" t="n">
        <v>251.558304111545</v>
      </c>
      <c r="L615" s="38" t="n">
        <v>88.8379201690338</v>
      </c>
      <c r="M615" s="38" t="n">
        <v>105.556694618538</v>
      </c>
      <c r="N615" s="38" t="n">
        <v>131.770468824318</v>
      </c>
      <c r="O615" s="38" t="n">
        <v>69.9538388936685</v>
      </c>
      <c r="P615" s="37" t="n">
        <v>0</v>
      </c>
      <c r="Q615" s="38" t="n">
        <v>0</v>
      </c>
      <c r="R615" s="38" t="n">
        <v>70.5</v>
      </c>
      <c r="S615" s="37" t="n">
        <v>0</v>
      </c>
    </row>
    <row r="616" customFormat="false" ht="15" hidden="false" customHeight="false" outlineLevel="0" collapsed="false">
      <c r="A616" s="37" t="n">
        <v>0</v>
      </c>
      <c r="B616" s="37" t="n">
        <v>5</v>
      </c>
      <c r="C616" s="37" t="n">
        <v>10</v>
      </c>
      <c r="D616" s="37" t="n">
        <v>0</v>
      </c>
      <c r="E616" s="37" t="n">
        <v>10</v>
      </c>
      <c r="F616" s="37" t="n">
        <v>5</v>
      </c>
      <c r="G616" s="37" t="s">
        <v>192</v>
      </c>
      <c r="H616" s="38" t="n">
        <v>198.612137112388</v>
      </c>
      <c r="I616" s="38" t="n">
        <v>200.155759172487</v>
      </c>
      <c r="J616" s="38" t="n">
        <v>224.197483808928</v>
      </c>
      <c r="K616" s="38" t="n">
        <v>259.185571396679</v>
      </c>
      <c r="L616" s="38" t="n">
        <v>87.723282149835</v>
      </c>
      <c r="M616" s="38" t="n">
        <v>104.613895900176</v>
      </c>
      <c r="N616" s="38" t="n">
        <v>143.083522545274</v>
      </c>
      <c r="O616" s="38" t="n">
        <v>74.8274214474024</v>
      </c>
      <c r="P616" s="37" t="n">
        <v>0</v>
      </c>
      <c r="Q616" s="38" t="n">
        <v>0</v>
      </c>
      <c r="R616" s="38" t="n">
        <v>70.5</v>
      </c>
      <c r="S616" s="37" t="n">
        <v>1</v>
      </c>
    </row>
    <row r="617" customFormat="false" ht="15" hidden="false" customHeight="false" outlineLevel="0" collapsed="false">
      <c r="A617" s="37" t="n">
        <v>0</v>
      </c>
      <c r="B617" s="37" t="n">
        <v>5</v>
      </c>
      <c r="C617" s="37" t="n">
        <v>10</v>
      </c>
      <c r="D617" s="37" t="n">
        <v>0</v>
      </c>
      <c r="E617" s="37" t="n">
        <v>10</v>
      </c>
      <c r="F617" s="37" t="n">
        <v>5</v>
      </c>
      <c r="G617" s="37" t="s">
        <v>195</v>
      </c>
      <c r="H617" s="38" t="n">
        <v>198.612137112388</v>
      </c>
      <c r="I617" s="38" t="n">
        <v>200.199472247334</v>
      </c>
      <c r="J617" s="38" t="n">
        <v>211.376887812078</v>
      </c>
      <c r="K617" s="38" t="n">
        <v>246.273303297515</v>
      </c>
      <c r="L617" s="38" t="n">
        <v>87.6843199593397</v>
      </c>
      <c r="M617" s="38" t="n">
        <v>105.630447041233</v>
      </c>
      <c r="N617" s="38" t="n">
        <v>127.777676382416</v>
      </c>
      <c r="O617" s="38" t="n">
        <v>67.2775547987208</v>
      </c>
      <c r="P617" s="37" t="n">
        <v>0</v>
      </c>
      <c r="Q617" s="38" t="n">
        <v>0</v>
      </c>
      <c r="R617" s="38" t="n">
        <v>68.5983049985473</v>
      </c>
      <c r="S617" s="37" t="n">
        <v>0</v>
      </c>
    </row>
    <row r="618" customFormat="false" ht="15" hidden="false" customHeight="false" outlineLevel="0" collapsed="false">
      <c r="A618" s="37" t="n">
        <v>0</v>
      </c>
      <c r="B618" s="37" t="n">
        <v>5</v>
      </c>
      <c r="C618" s="37" t="n">
        <v>10</v>
      </c>
      <c r="D618" s="37" t="n">
        <v>0</v>
      </c>
      <c r="E618" s="37" t="n">
        <v>10</v>
      </c>
      <c r="F618" s="37" t="n">
        <v>5</v>
      </c>
      <c r="G618" s="37" t="s">
        <v>197</v>
      </c>
      <c r="H618" s="38" t="n">
        <v>198.612137112388</v>
      </c>
      <c r="I618" s="38" t="n">
        <v>200.176275295694</v>
      </c>
      <c r="J618" s="38" t="n">
        <v>215.856958572502</v>
      </c>
      <c r="K618" s="38" t="n">
        <v>255.225919282116</v>
      </c>
      <c r="L618" s="38" t="n">
        <v>93.9593130147491</v>
      </c>
      <c r="M618" s="38" t="n">
        <v>109.05762442266</v>
      </c>
      <c r="N618" s="38" t="n">
        <v>140.329067065374</v>
      </c>
      <c r="O618" s="38" t="n">
        <v>74.0988940704366</v>
      </c>
      <c r="P618" s="37" t="n">
        <v>0</v>
      </c>
      <c r="Q618" s="38" t="n">
        <v>0</v>
      </c>
      <c r="R618" s="38" t="n">
        <v>70.5</v>
      </c>
      <c r="S618" s="37" t="n">
        <v>0</v>
      </c>
    </row>
    <row r="619" customFormat="false" ht="15" hidden="false" customHeight="false" outlineLevel="0" collapsed="false">
      <c r="A619" s="37" t="n">
        <v>0</v>
      </c>
      <c r="B619" s="37" t="n">
        <v>5</v>
      </c>
      <c r="C619" s="37" t="n">
        <v>10</v>
      </c>
      <c r="D619" s="37" t="n">
        <v>0</v>
      </c>
      <c r="E619" s="37" t="n">
        <v>10</v>
      </c>
      <c r="F619" s="37" t="n">
        <v>5</v>
      </c>
      <c r="G619" s="37" t="s">
        <v>196</v>
      </c>
      <c r="H619" s="38" t="n">
        <v>198.612137112388</v>
      </c>
      <c r="I619" s="38" t="n">
        <v>200.157223438019</v>
      </c>
      <c r="J619" s="38" t="n">
        <v>214.757821811367</v>
      </c>
      <c r="K619" s="38" t="n">
        <v>253.754116934059</v>
      </c>
      <c r="L619" s="38" t="n">
        <v>97.2260721880575</v>
      </c>
      <c r="M619" s="38" t="n">
        <v>106.345107965084</v>
      </c>
      <c r="N619" s="38" t="n">
        <v>134.578145064989</v>
      </c>
      <c r="O619" s="38" t="n">
        <v>72.4859520993278</v>
      </c>
      <c r="P619" s="37" t="n">
        <v>0</v>
      </c>
      <c r="Q619" s="38" t="n">
        <v>0</v>
      </c>
      <c r="R619" s="38" t="n">
        <v>69.486602594293</v>
      </c>
      <c r="S619" s="37" t="n">
        <v>0</v>
      </c>
    </row>
    <row r="620" customFormat="false" ht="15" hidden="false" customHeight="false" outlineLevel="0" collapsed="false">
      <c r="A620" s="37" t="n">
        <v>0</v>
      </c>
      <c r="B620" s="37" t="n">
        <v>5</v>
      </c>
      <c r="C620" s="37" t="n">
        <v>10</v>
      </c>
      <c r="D620" s="37" t="n">
        <v>0</v>
      </c>
      <c r="E620" s="37" t="n">
        <v>15</v>
      </c>
      <c r="F620" s="37" t="n">
        <v>0</v>
      </c>
      <c r="G620" s="37" t="s">
        <v>188</v>
      </c>
      <c r="H620" s="38" t="n">
        <v>198.623217129797</v>
      </c>
      <c r="I620" s="38" t="n">
        <v>200.191817123337</v>
      </c>
      <c r="J620" s="38" t="n">
        <v>214.120032214948</v>
      </c>
      <c r="K620" s="38" t="n">
        <v>252.914078127144</v>
      </c>
      <c r="L620" s="38" t="n">
        <v>50.3362357333808</v>
      </c>
      <c r="M620" s="38" t="n">
        <v>106.052477271743</v>
      </c>
      <c r="N620" s="38" t="n">
        <v>134.566926535308</v>
      </c>
      <c r="O620" s="38" t="n">
        <v>69.1611208560825</v>
      </c>
      <c r="P620" s="37" t="n">
        <v>0</v>
      </c>
      <c r="Q620" s="38" t="n">
        <v>0</v>
      </c>
      <c r="R620" s="38" t="n">
        <v>70.5</v>
      </c>
      <c r="S620" s="37" t="n">
        <v>0</v>
      </c>
    </row>
    <row r="621" customFormat="false" ht="15" hidden="false" customHeight="false" outlineLevel="0" collapsed="false">
      <c r="A621" s="37" t="n">
        <v>0</v>
      </c>
      <c r="B621" s="37" t="n">
        <v>5</v>
      </c>
      <c r="C621" s="37" t="n">
        <v>10</v>
      </c>
      <c r="D621" s="37" t="n">
        <v>0</v>
      </c>
      <c r="E621" s="37" t="n">
        <v>15</v>
      </c>
      <c r="F621" s="37" t="n">
        <v>0</v>
      </c>
      <c r="G621" s="37" t="s">
        <v>192</v>
      </c>
      <c r="H621" s="38" t="n">
        <v>198.623217129797</v>
      </c>
      <c r="I621" s="38" t="n">
        <v>200.192487657579</v>
      </c>
      <c r="J621" s="38" t="n">
        <v>225.084557216685</v>
      </c>
      <c r="K621" s="38" t="n">
        <v>260.438329582185</v>
      </c>
      <c r="L621" s="38" t="n">
        <v>48.87721165737</v>
      </c>
      <c r="M621" s="38" t="n">
        <v>105.057718738183</v>
      </c>
      <c r="N621" s="38" t="n">
        <v>145.47380288022</v>
      </c>
      <c r="O621" s="38" t="n">
        <v>74.0017730579791</v>
      </c>
      <c r="P621" s="37" t="n">
        <v>0</v>
      </c>
      <c r="Q621" s="38" t="n">
        <v>0</v>
      </c>
      <c r="R621" s="38" t="n">
        <v>70.5</v>
      </c>
      <c r="S621" s="37" t="n">
        <v>0</v>
      </c>
    </row>
    <row r="622" customFormat="false" ht="15" hidden="false" customHeight="false" outlineLevel="0" collapsed="false">
      <c r="A622" s="37" t="n">
        <v>0</v>
      </c>
      <c r="B622" s="37" t="n">
        <v>5</v>
      </c>
      <c r="C622" s="37" t="n">
        <v>10</v>
      </c>
      <c r="D622" s="37" t="n">
        <v>0</v>
      </c>
      <c r="E622" s="37" t="n">
        <v>15</v>
      </c>
      <c r="F622" s="37" t="n">
        <v>0</v>
      </c>
      <c r="G622" s="37" t="s">
        <v>195</v>
      </c>
      <c r="H622" s="38" t="n">
        <v>198.623217129797</v>
      </c>
      <c r="I622" s="38" t="n">
        <v>200.239350243969</v>
      </c>
      <c r="J622" s="38" t="n">
        <v>212.31337827245</v>
      </c>
      <c r="K622" s="38" t="n">
        <v>247.600966697559</v>
      </c>
      <c r="L622" s="38" t="n">
        <v>48.9494251670569</v>
      </c>
      <c r="M622" s="38" t="n">
        <v>106.133996940635</v>
      </c>
      <c r="N622" s="38" t="n">
        <v>130.512817826582</v>
      </c>
      <c r="O622" s="38" t="n">
        <v>66.6047493788589</v>
      </c>
      <c r="P622" s="37" t="n">
        <v>0</v>
      </c>
      <c r="Q622" s="38" t="n">
        <v>0</v>
      </c>
      <c r="R622" s="38" t="n">
        <v>68.5795375408492</v>
      </c>
      <c r="S622" s="37" t="n">
        <v>0</v>
      </c>
    </row>
    <row r="623" customFormat="false" ht="15" hidden="false" customHeight="false" outlineLevel="0" collapsed="false">
      <c r="A623" s="37" t="n">
        <v>0</v>
      </c>
      <c r="B623" s="37" t="n">
        <v>5</v>
      </c>
      <c r="C623" s="37" t="n">
        <v>10</v>
      </c>
      <c r="D623" s="37" t="n">
        <v>0</v>
      </c>
      <c r="E623" s="37" t="n">
        <v>15</v>
      </c>
      <c r="F623" s="37" t="n">
        <v>0</v>
      </c>
      <c r="G623" s="37" t="s">
        <v>197</v>
      </c>
      <c r="H623" s="38" t="n">
        <v>198.623217129797</v>
      </c>
      <c r="I623" s="38" t="n">
        <v>200.229433952116</v>
      </c>
      <c r="J623" s="38" t="n">
        <v>217.485317845323</v>
      </c>
      <c r="K623" s="38" t="n">
        <v>257.525434003804</v>
      </c>
      <c r="L623" s="38" t="n">
        <v>56.6886436141778</v>
      </c>
      <c r="M623" s="38" t="n">
        <v>111.151635975346</v>
      </c>
      <c r="N623" s="38" t="n">
        <v>145.753946907721</v>
      </c>
      <c r="O623" s="38" t="n">
        <v>73.9181419566824</v>
      </c>
      <c r="P623" s="37" t="n">
        <v>0</v>
      </c>
      <c r="Q623" s="38" t="n">
        <v>0</v>
      </c>
      <c r="R623" s="38" t="n">
        <v>70.5</v>
      </c>
      <c r="S623" s="37" t="n">
        <v>1</v>
      </c>
    </row>
    <row r="624" customFormat="false" ht="15" hidden="false" customHeight="false" outlineLevel="0" collapsed="false">
      <c r="A624" s="37" t="n">
        <v>0</v>
      </c>
      <c r="B624" s="37" t="n">
        <v>5</v>
      </c>
      <c r="C624" s="37" t="n">
        <v>10</v>
      </c>
      <c r="D624" s="37" t="n">
        <v>0</v>
      </c>
      <c r="E624" s="37" t="n">
        <v>15</v>
      </c>
      <c r="F624" s="37" t="n">
        <v>0</v>
      </c>
      <c r="G624" s="37" t="s">
        <v>196</v>
      </c>
      <c r="H624" s="38" t="n">
        <v>198.623217129797</v>
      </c>
      <c r="I624" s="38" t="n">
        <v>200.195421028151</v>
      </c>
      <c r="J624" s="38" t="n">
        <v>215.707880640364</v>
      </c>
      <c r="K624" s="38" t="n">
        <v>255.112594320026</v>
      </c>
      <c r="L624" s="38" t="n">
        <v>58.5178799855818</v>
      </c>
      <c r="M624" s="38" t="n">
        <v>107.175594838315</v>
      </c>
      <c r="N624" s="38" t="n">
        <v>137.656433945087</v>
      </c>
      <c r="O624" s="38" t="n">
        <v>71.6804101045645</v>
      </c>
      <c r="P624" s="37" t="n">
        <v>0</v>
      </c>
      <c r="Q624" s="38" t="n">
        <v>0</v>
      </c>
      <c r="R624" s="38" t="n">
        <v>69.4706018930667</v>
      </c>
      <c r="S624" s="37" t="n">
        <v>0</v>
      </c>
    </row>
    <row r="625" customFormat="false" ht="15" hidden="false" customHeight="false" outlineLevel="0" collapsed="false">
      <c r="A625" s="37" t="n">
        <v>0</v>
      </c>
      <c r="B625" s="37" t="n">
        <v>5</v>
      </c>
      <c r="C625" s="37" t="n">
        <v>10</v>
      </c>
      <c r="D625" s="37" t="n">
        <v>5</v>
      </c>
      <c r="E625" s="37" t="n">
        <v>0</v>
      </c>
      <c r="F625" s="37" t="n">
        <v>10</v>
      </c>
      <c r="G625" s="37" t="s">
        <v>188</v>
      </c>
      <c r="H625" s="38" t="n">
        <v>198.824509705695</v>
      </c>
      <c r="I625" s="38" t="n">
        <v>201.697684294085</v>
      </c>
      <c r="J625" s="38" t="n">
        <v>219.113595672318</v>
      </c>
      <c r="K625" s="38" t="n">
        <v>252.605023194128</v>
      </c>
      <c r="L625" s="38" t="n">
        <v>130.696434139174</v>
      </c>
      <c r="M625" s="38" t="n">
        <v>106.150710673854</v>
      </c>
      <c r="N625" s="38" t="n">
        <v>130.217900349422</v>
      </c>
      <c r="O625" s="38" t="n">
        <v>75.6984429734014</v>
      </c>
      <c r="P625" s="37" t="n">
        <v>0</v>
      </c>
      <c r="Q625" s="38" t="n">
        <v>0</v>
      </c>
      <c r="R625" s="38" t="n">
        <v>72</v>
      </c>
      <c r="S625" s="37" t="n">
        <v>0</v>
      </c>
    </row>
    <row r="626" customFormat="false" ht="15" hidden="false" customHeight="false" outlineLevel="0" collapsed="false">
      <c r="A626" s="37" t="n">
        <v>0</v>
      </c>
      <c r="B626" s="37" t="n">
        <v>5</v>
      </c>
      <c r="C626" s="37" t="n">
        <v>10</v>
      </c>
      <c r="D626" s="37" t="n">
        <v>5</v>
      </c>
      <c r="E626" s="37" t="n">
        <v>0</v>
      </c>
      <c r="F626" s="37" t="n">
        <v>10</v>
      </c>
      <c r="G626" s="37" t="s">
        <v>192</v>
      </c>
      <c r="H626" s="38" t="n">
        <v>198.824509705695</v>
      </c>
      <c r="I626" s="38" t="n">
        <v>201.691958097162</v>
      </c>
      <c r="J626" s="38" t="n">
        <v>230.081895279117</v>
      </c>
      <c r="K626" s="38" t="n">
        <v>260.027959142053</v>
      </c>
      <c r="L626" s="38" t="n">
        <v>130.083588156496</v>
      </c>
      <c r="M626" s="38" t="n">
        <v>105.247272918646</v>
      </c>
      <c r="N626" s="38" t="n">
        <v>141.707839281911</v>
      </c>
      <c r="O626" s="38" t="n">
        <v>80.1345234687938</v>
      </c>
      <c r="P626" s="37" t="n">
        <v>0</v>
      </c>
      <c r="Q626" s="38" t="n">
        <v>0</v>
      </c>
      <c r="R626" s="38" t="n">
        <v>72</v>
      </c>
      <c r="S626" s="37" t="n">
        <v>1</v>
      </c>
    </row>
    <row r="627" customFormat="false" ht="15" hidden="false" customHeight="false" outlineLevel="0" collapsed="false">
      <c r="A627" s="37" t="n">
        <v>0</v>
      </c>
      <c r="B627" s="37" t="n">
        <v>5</v>
      </c>
      <c r="C627" s="37" t="n">
        <v>10</v>
      </c>
      <c r="D627" s="37" t="n">
        <v>5</v>
      </c>
      <c r="E627" s="37" t="n">
        <v>0</v>
      </c>
      <c r="F627" s="37" t="n">
        <v>10</v>
      </c>
      <c r="G627" s="37" t="s">
        <v>195</v>
      </c>
      <c r="H627" s="38" t="n">
        <v>198.824509705695</v>
      </c>
      <c r="I627" s="38" t="n">
        <v>201.841153988895</v>
      </c>
      <c r="J627" s="38" t="n">
        <v>220.71612750456</v>
      </c>
      <c r="K627" s="38" t="n">
        <v>252.821410468241</v>
      </c>
      <c r="L627" s="38" t="n">
        <v>135.80317624334</v>
      </c>
      <c r="M627" s="38" t="n">
        <v>108.018768953112</v>
      </c>
      <c r="N627" s="38" t="n">
        <v>134.7792485115</v>
      </c>
      <c r="O627" s="38" t="n">
        <v>77.3161745179723</v>
      </c>
      <c r="P627" s="37" t="n">
        <v>0</v>
      </c>
      <c r="Q627" s="38" t="n">
        <v>0</v>
      </c>
      <c r="R627" s="38" t="n">
        <v>70.5695297325297</v>
      </c>
      <c r="S627" s="37" t="n">
        <v>0</v>
      </c>
    </row>
    <row r="628" customFormat="false" ht="15" hidden="false" customHeight="false" outlineLevel="0" collapsed="false">
      <c r="A628" s="37" t="n">
        <v>0</v>
      </c>
      <c r="B628" s="37" t="n">
        <v>5</v>
      </c>
      <c r="C628" s="37" t="n">
        <v>10</v>
      </c>
      <c r="D628" s="37" t="n">
        <v>5</v>
      </c>
      <c r="E628" s="37" t="n">
        <v>0</v>
      </c>
      <c r="F628" s="37" t="n">
        <v>10</v>
      </c>
      <c r="G628" s="37" t="s">
        <v>197</v>
      </c>
      <c r="H628" s="38" t="n">
        <v>198.824509705695</v>
      </c>
      <c r="I628" s="38" t="n">
        <v>201.676069804014</v>
      </c>
      <c r="J628" s="38" t="n">
        <v>219.929374923422</v>
      </c>
      <c r="K628" s="38" t="n">
        <v>253.476210694186</v>
      </c>
      <c r="L628" s="38" t="n">
        <v>131.260925539609</v>
      </c>
      <c r="M628" s="38" t="n">
        <v>103.627327728875</v>
      </c>
      <c r="N628" s="38" t="n">
        <v>120.578973354832</v>
      </c>
      <c r="O628" s="38" t="n">
        <v>73.5881111106153</v>
      </c>
      <c r="P628" s="37" t="n">
        <v>0</v>
      </c>
      <c r="Q628" s="38" t="n">
        <v>0</v>
      </c>
      <c r="R628" s="38" t="n">
        <v>72</v>
      </c>
      <c r="S628" s="37" t="n">
        <v>0</v>
      </c>
    </row>
    <row r="629" customFormat="false" ht="15" hidden="false" customHeight="false" outlineLevel="0" collapsed="false">
      <c r="A629" s="37" t="n">
        <v>0</v>
      </c>
      <c r="B629" s="37" t="n">
        <v>5</v>
      </c>
      <c r="C629" s="37" t="n">
        <v>10</v>
      </c>
      <c r="D629" s="37" t="n">
        <v>5</v>
      </c>
      <c r="E629" s="37" t="n">
        <v>0</v>
      </c>
      <c r="F629" s="37" t="n">
        <v>10</v>
      </c>
      <c r="G629" s="37" t="s">
        <v>196</v>
      </c>
      <c r="H629" s="38" t="n">
        <v>198.824509705695</v>
      </c>
      <c r="I629" s="38" t="n">
        <v>201.687582747334</v>
      </c>
      <c r="J629" s="38" t="n">
        <v>220.672529702187</v>
      </c>
      <c r="K629" s="38" t="n">
        <v>254.565300531045</v>
      </c>
      <c r="L629" s="38" t="n">
        <v>138.521362754099</v>
      </c>
      <c r="M629" s="38" t="n">
        <v>106.333277863493</v>
      </c>
      <c r="N629" s="38" t="n">
        <v>131.272810989825</v>
      </c>
      <c r="O629" s="38" t="n">
        <v>76.3407819084767</v>
      </c>
      <c r="P629" s="37" t="n">
        <v>0</v>
      </c>
      <c r="Q629" s="38" t="n">
        <v>0</v>
      </c>
      <c r="R629" s="38" t="n">
        <v>71.1027882668661</v>
      </c>
      <c r="S629" s="37" t="n">
        <v>0</v>
      </c>
    </row>
    <row r="630" customFormat="false" ht="15" hidden="false" customHeight="false" outlineLevel="0" collapsed="false">
      <c r="A630" s="37" t="n">
        <v>0</v>
      </c>
      <c r="B630" s="37" t="n">
        <v>5</v>
      </c>
      <c r="C630" s="37" t="n">
        <v>10</v>
      </c>
      <c r="D630" s="37" t="n">
        <v>5</v>
      </c>
      <c r="E630" s="37" t="n">
        <v>5</v>
      </c>
      <c r="F630" s="37" t="n">
        <v>5</v>
      </c>
      <c r="G630" s="37" t="s">
        <v>188</v>
      </c>
      <c r="H630" s="38" t="n">
        <v>198.81678298166</v>
      </c>
      <c r="I630" s="38" t="n">
        <v>201.664519865494</v>
      </c>
      <c r="J630" s="38" t="n">
        <v>221.306711824826</v>
      </c>
      <c r="K630" s="38" t="n">
        <v>255.178090176836</v>
      </c>
      <c r="L630" s="38" t="n">
        <v>93.3975258502798</v>
      </c>
      <c r="M630" s="38" t="n">
        <v>106.759791120122</v>
      </c>
      <c r="N630" s="38" t="n">
        <v>136.042012096013</v>
      </c>
      <c r="O630" s="38" t="n">
        <v>75.3081193816502</v>
      </c>
      <c r="P630" s="37" t="n">
        <v>0</v>
      </c>
      <c r="Q630" s="38" t="n">
        <v>0</v>
      </c>
      <c r="R630" s="38" t="n">
        <v>72</v>
      </c>
      <c r="S630" s="37" t="n">
        <v>0</v>
      </c>
    </row>
    <row r="631" customFormat="false" ht="15" hidden="false" customHeight="false" outlineLevel="0" collapsed="false">
      <c r="A631" s="37" t="n">
        <v>0</v>
      </c>
      <c r="B631" s="37" t="n">
        <v>5</v>
      </c>
      <c r="C631" s="37" t="n">
        <v>10</v>
      </c>
      <c r="D631" s="37" t="n">
        <v>5</v>
      </c>
      <c r="E631" s="37" t="n">
        <v>5</v>
      </c>
      <c r="F631" s="37" t="n">
        <v>5</v>
      </c>
      <c r="G631" s="37" t="s">
        <v>192</v>
      </c>
      <c r="H631" s="38" t="n">
        <v>198.81678298166</v>
      </c>
      <c r="I631" s="38" t="n">
        <v>201.66172898233</v>
      </c>
      <c r="J631" s="38" t="n">
        <v>232.291880344792</v>
      </c>
      <c r="K631" s="38" t="n">
        <v>262.632456817825</v>
      </c>
      <c r="L631" s="38" t="n">
        <v>92.5213633617342</v>
      </c>
      <c r="M631" s="38" t="n">
        <v>105.795865921999</v>
      </c>
      <c r="N631" s="38" t="n">
        <v>147.238989698871</v>
      </c>
      <c r="O631" s="38" t="n">
        <v>79.743520201858</v>
      </c>
      <c r="P631" s="37" t="n">
        <v>0</v>
      </c>
      <c r="Q631" s="38" t="n">
        <v>0</v>
      </c>
      <c r="R631" s="38" t="n">
        <v>72</v>
      </c>
      <c r="S631" s="37" t="n">
        <v>1</v>
      </c>
    </row>
    <row r="632" customFormat="false" ht="15" hidden="false" customHeight="false" outlineLevel="0" collapsed="false">
      <c r="A632" s="37" t="n">
        <v>0</v>
      </c>
      <c r="B632" s="37" t="n">
        <v>5</v>
      </c>
      <c r="C632" s="37" t="n">
        <v>10</v>
      </c>
      <c r="D632" s="37" t="n">
        <v>5</v>
      </c>
      <c r="E632" s="37" t="n">
        <v>5</v>
      </c>
      <c r="F632" s="37" t="n">
        <v>5</v>
      </c>
      <c r="G632" s="37" t="s">
        <v>195</v>
      </c>
      <c r="H632" s="38" t="n">
        <v>198.81678298166</v>
      </c>
      <c r="I632" s="38" t="n">
        <v>201.818030869378</v>
      </c>
      <c r="J632" s="38" t="n">
        <v>222.98082594758</v>
      </c>
      <c r="K632" s="38" t="n">
        <v>255.570776010862</v>
      </c>
      <c r="L632" s="38" t="n">
        <v>98.5114050585202</v>
      </c>
      <c r="M632" s="38" t="n">
        <v>108.603712209053</v>
      </c>
      <c r="N632" s="38" t="n">
        <v>140.727371209288</v>
      </c>
      <c r="O632" s="38" t="n">
        <v>77.1182589365644</v>
      </c>
      <c r="P632" s="37" t="n">
        <v>0</v>
      </c>
      <c r="Q632" s="38" t="n">
        <v>0</v>
      </c>
      <c r="R632" s="38" t="n">
        <v>70.5571887142974</v>
      </c>
      <c r="S632" s="37" t="n">
        <v>0</v>
      </c>
    </row>
    <row r="633" customFormat="false" ht="15" hidden="false" customHeight="false" outlineLevel="0" collapsed="false">
      <c r="A633" s="37" t="n">
        <v>0</v>
      </c>
      <c r="B633" s="37" t="n">
        <v>5</v>
      </c>
      <c r="C633" s="37" t="n">
        <v>10</v>
      </c>
      <c r="D633" s="37" t="n">
        <v>5</v>
      </c>
      <c r="E633" s="37" t="n">
        <v>5</v>
      </c>
      <c r="F633" s="37" t="n">
        <v>5</v>
      </c>
      <c r="G633" s="37" t="s">
        <v>197</v>
      </c>
      <c r="H633" s="38" t="n">
        <v>198.81678298166</v>
      </c>
      <c r="I633" s="38" t="n">
        <v>201.658575553962</v>
      </c>
      <c r="J633" s="38" t="n">
        <v>222.759588319668</v>
      </c>
      <c r="K633" s="38" t="n">
        <v>257.042517662685</v>
      </c>
      <c r="L633" s="38" t="n">
        <v>95.3289643620998</v>
      </c>
      <c r="M633" s="38" t="n">
        <v>107.603584820938</v>
      </c>
      <c r="N633" s="38" t="n">
        <v>135.807156807273</v>
      </c>
      <c r="O633" s="38" t="n">
        <v>77.3566497546444</v>
      </c>
      <c r="P633" s="37" t="n">
        <v>0</v>
      </c>
      <c r="Q633" s="38" t="n">
        <v>0</v>
      </c>
      <c r="R633" s="38" t="n">
        <v>72</v>
      </c>
      <c r="S633" s="37" t="n">
        <v>0</v>
      </c>
    </row>
    <row r="634" customFormat="false" ht="15" hidden="false" customHeight="false" outlineLevel="0" collapsed="false">
      <c r="A634" s="37" t="n">
        <v>0</v>
      </c>
      <c r="B634" s="37" t="n">
        <v>5</v>
      </c>
      <c r="C634" s="37" t="n">
        <v>10</v>
      </c>
      <c r="D634" s="37" t="n">
        <v>5</v>
      </c>
      <c r="E634" s="37" t="n">
        <v>5</v>
      </c>
      <c r="F634" s="37" t="n">
        <v>5</v>
      </c>
      <c r="G634" s="37" t="s">
        <v>196</v>
      </c>
      <c r="H634" s="38" t="n">
        <v>198.81678298166</v>
      </c>
      <c r="I634" s="38" t="n">
        <v>201.659565464223</v>
      </c>
      <c r="J634" s="38" t="n">
        <v>222.563775364125</v>
      </c>
      <c r="K634" s="38" t="n">
        <v>256.833945157</v>
      </c>
      <c r="L634" s="38" t="n">
        <v>100.385968472402</v>
      </c>
      <c r="M634" s="38" t="n">
        <v>107.627874223445</v>
      </c>
      <c r="N634" s="38" t="n">
        <v>138.288163766931</v>
      </c>
      <c r="O634" s="38" t="n">
        <v>76.7669483743434</v>
      </c>
      <c r="P634" s="37" t="n">
        <v>0</v>
      </c>
      <c r="Q634" s="38" t="n">
        <v>0</v>
      </c>
      <c r="R634" s="38" t="n">
        <v>71.0058189290298</v>
      </c>
      <c r="S634" s="37" t="n">
        <v>0</v>
      </c>
    </row>
    <row r="635" customFormat="false" ht="15" hidden="false" customHeight="false" outlineLevel="0" collapsed="false">
      <c r="A635" s="37" t="n">
        <v>0</v>
      </c>
      <c r="B635" s="37" t="n">
        <v>5</v>
      </c>
      <c r="C635" s="37" t="n">
        <v>10</v>
      </c>
      <c r="D635" s="37" t="n">
        <v>5</v>
      </c>
      <c r="E635" s="37" t="n">
        <v>10</v>
      </c>
      <c r="F635" s="37" t="n">
        <v>0</v>
      </c>
      <c r="G635" s="37" t="s">
        <v>188</v>
      </c>
      <c r="H635" s="38" t="n">
        <v>198.810512688974</v>
      </c>
      <c r="I635" s="38" t="n">
        <v>201.637504614698</v>
      </c>
      <c r="J635" s="38" t="n">
        <v>222.855644033008</v>
      </c>
      <c r="K635" s="38" t="n">
        <v>256.957136886235</v>
      </c>
      <c r="L635" s="38" t="n">
        <v>55.293131806006</v>
      </c>
      <c r="M635" s="38" t="n">
        <v>107.243879182956</v>
      </c>
      <c r="N635" s="38" t="n">
        <v>140.301930488568</v>
      </c>
      <c r="O635" s="38" t="n">
        <v>74.6471429352255</v>
      </c>
      <c r="P635" s="37" t="n">
        <v>0</v>
      </c>
      <c r="Q635" s="38" t="n">
        <v>0</v>
      </c>
      <c r="R635" s="38" t="n">
        <v>72</v>
      </c>
      <c r="S635" s="37" t="n">
        <v>0</v>
      </c>
    </row>
    <row r="636" customFormat="false" ht="15" hidden="false" customHeight="false" outlineLevel="0" collapsed="false">
      <c r="A636" s="37" t="n">
        <v>0</v>
      </c>
      <c r="B636" s="37" t="n">
        <v>5</v>
      </c>
      <c r="C636" s="37" t="n">
        <v>10</v>
      </c>
      <c r="D636" s="37" t="n">
        <v>5</v>
      </c>
      <c r="E636" s="37" t="n">
        <v>10</v>
      </c>
      <c r="F636" s="37" t="n">
        <v>0</v>
      </c>
      <c r="G636" s="37" t="s">
        <v>192</v>
      </c>
      <c r="H636" s="38" t="n">
        <v>198.810512688974</v>
      </c>
      <c r="I636" s="38" t="n">
        <v>201.635811831156</v>
      </c>
      <c r="J636" s="38" t="n">
        <v>233.736331279707</v>
      </c>
      <c r="K636" s="38" t="n">
        <v>264.282524755579</v>
      </c>
      <c r="L636" s="38" t="n">
        <v>54.0125482890132</v>
      </c>
      <c r="M636" s="38" t="n">
        <v>106.213960394061</v>
      </c>
      <c r="N636" s="38" t="n">
        <v>151.14283037662</v>
      </c>
      <c r="O636" s="38" t="n">
        <v>79.0775982312726</v>
      </c>
      <c r="P636" s="37" t="n">
        <v>0</v>
      </c>
      <c r="Q636" s="38" t="n">
        <v>0</v>
      </c>
      <c r="R636" s="38" t="n">
        <v>72</v>
      </c>
      <c r="S636" s="37" t="n">
        <v>1</v>
      </c>
    </row>
    <row r="637" customFormat="false" ht="15" hidden="false" customHeight="false" outlineLevel="0" collapsed="false">
      <c r="A637" s="37" t="n">
        <v>0</v>
      </c>
      <c r="B637" s="37" t="n">
        <v>5</v>
      </c>
      <c r="C637" s="37" t="n">
        <v>10</v>
      </c>
      <c r="D637" s="37" t="n">
        <v>5</v>
      </c>
      <c r="E637" s="37" t="n">
        <v>10</v>
      </c>
      <c r="F637" s="37" t="n">
        <v>0</v>
      </c>
      <c r="G637" s="37" t="s">
        <v>195</v>
      </c>
      <c r="H637" s="38" t="n">
        <v>198.810512688974</v>
      </c>
      <c r="I637" s="38" t="n">
        <v>201.797142865307</v>
      </c>
      <c r="J637" s="38" t="n">
        <v>224.527256808124</v>
      </c>
      <c r="K637" s="38" t="n">
        <v>257.36561664064</v>
      </c>
      <c r="L637" s="38" t="n">
        <v>60.2219122973125</v>
      </c>
      <c r="M637" s="38" t="n">
        <v>109.055435584786</v>
      </c>
      <c r="N637" s="38" t="n">
        <v>144.983366880627</v>
      </c>
      <c r="O637" s="38" t="n">
        <v>76.5444164095974</v>
      </c>
      <c r="P637" s="37" t="n">
        <v>0</v>
      </c>
      <c r="Q637" s="38" t="n">
        <v>0</v>
      </c>
      <c r="R637" s="38" t="n">
        <v>70.5318886970019</v>
      </c>
      <c r="S637" s="37" t="n">
        <v>0</v>
      </c>
    </row>
    <row r="638" customFormat="false" ht="15" hidden="false" customHeight="false" outlineLevel="0" collapsed="false">
      <c r="A638" s="37" t="n">
        <v>0</v>
      </c>
      <c r="B638" s="37" t="n">
        <v>5</v>
      </c>
      <c r="C638" s="37" t="n">
        <v>10</v>
      </c>
      <c r="D638" s="37" t="n">
        <v>5</v>
      </c>
      <c r="E638" s="37" t="n">
        <v>10</v>
      </c>
      <c r="F638" s="37" t="n">
        <v>0</v>
      </c>
      <c r="G638" s="37" t="s">
        <v>197</v>
      </c>
      <c r="H638" s="38" t="n">
        <v>198.810512688974</v>
      </c>
      <c r="I638" s="38" t="n">
        <v>201.655071378031</v>
      </c>
      <c r="J638" s="38" t="n">
        <v>225.172500993388</v>
      </c>
      <c r="K638" s="38" t="n">
        <v>260.077772501095</v>
      </c>
      <c r="L638" s="38" t="n">
        <v>59.004982994208</v>
      </c>
      <c r="M638" s="38" t="n">
        <v>110.673398105075</v>
      </c>
      <c r="N638" s="38" t="n">
        <v>148.175473881896</v>
      </c>
      <c r="O638" s="38" t="n">
        <v>78.5711792224223</v>
      </c>
      <c r="P638" s="37" t="n">
        <v>0</v>
      </c>
      <c r="Q638" s="38" t="n">
        <v>0</v>
      </c>
      <c r="R638" s="38" t="n">
        <v>72</v>
      </c>
      <c r="S638" s="37" t="n">
        <v>0</v>
      </c>
    </row>
    <row r="639" customFormat="false" ht="15" hidden="false" customHeight="false" outlineLevel="0" collapsed="false">
      <c r="A639" s="37" t="n">
        <v>0</v>
      </c>
      <c r="B639" s="37" t="n">
        <v>5</v>
      </c>
      <c r="C639" s="37" t="n">
        <v>10</v>
      </c>
      <c r="D639" s="37" t="n">
        <v>5</v>
      </c>
      <c r="E639" s="37" t="n">
        <v>10</v>
      </c>
      <c r="F639" s="37" t="n">
        <v>0</v>
      </c>
      <c r="G639" s="37" t="s">
        <v>196</v>
      </c>
      <c r="H639" s="38" t="n">
        <v>198.810512688974</v>
      </c>
      <c r="I639" s="38" t="n">
        <v>201.637191726865</v>
      </c>
      <c r="J639" s="38" t="n">
        <v>223.995512058125</v>
      </c>
      <c r="K639" s="38" t="n">
        <v>258.517689200548</v>
      </c>
      <c r="L639" s="38" t="n">
        <v>62.0026493307721</v>
      </c>
      <c r="M639" s="38" t="n">
        <v>108.632962502803</v>
      </c>
      <c r="N639" s="38" t="n">
        <v>143.663499195489</v>
      </c>
      <c r="O639" s="38" t="n">
        <v>76.5829280152903</v>
      </c>
      <c r="P639" s="37" t="n">
        <v>0</v>
      </c>
      <c r="Q639" s="38" t="n">
        <v>0</v>
      </c>
      <c r="R639" s="38" t="n">
        <v>70.9897237645871</v>
      </c>
      <c r="S639" s="37" t="n">
        <v>0</v>
      </c>
    </row>
    <row r="640" customFormat="false" ht="15" hidden="false" customHeight="false" outlineLevel="0" collapsed="false">
      <c r="A640" s="37" t="n">
        <v>0</v>
      </c>
      <c r="B640" s="37" t="n">
        <v>5</v>
      </c>
      <c r="C640" s="37" t="n">
        <v>10</v>
      </c>
      <c r="D640" s="37" t="n">
        <v>10</v>
      </c>
      <c r="E640" s="37" t="n">
        <v>0</v>
      </c>
      <c r="F640" s="37" t="n">
        <v>5</v>
      </c>
      <c r="G640" s="37" t="s">
        <v>188</v>
      </c>
      <c r="H640" s="38" t="n">
        <v>199.058181405832</v>
      </c>
      <c r="I640" s="38" t="n">
        <v>203.064323261404</v>
      </c>
      <c r="J640" s="38" t="n">
        <v>225.139871137006</v>
      </c>
      <c r="K640" s="38" t="n">
        <v>257.889074240856</v>
      </c>
      <c r="L640" s="38" t="n">
        <v>96.6606380584107</v>
      </c>
      <c r="M640" s="38" t="n">
        <v>107.765359469887</v>
      </c>
      <c r="N640" s="38" t="n">
        <v>135.533310579752</v>
      </c>
      <c r="O640" s="38" t="n">
        <v>77.0048531747817</v>
      </c>
      <c r="P640" s="37" t="n">
        <v>0</v>
      </c>
      <c r="Q640" s="38" t="n">
        <v>0</v>
      </c>
      <c r="R640" s="38" t="n">
        <v>72</v>
      </c>
      <c r="S640" s="37" t="n">
        <v>0</v>
      </c>
    </row>
    <row r="641" customFormat="false" ht="15" hidden="false" customHeight="false" outlineLevel="0" collapsed="false">
      <c r="A641" s="37" t="n">
        <v>0</v>
      </c>
      <c r="B641" s="37" t="n">
        <v>5</v>
      </c>
      <c r="C641" s="37" t="n">
        <v>10</v>
      </c>
      <c r="D641" s="37" t="n">
        <v>10</v>
      </c>
      <c r="E641" s="37" t="n">
        <v>0</v>
      </c>
      <c r="F641" s="37" t="n">
        <v>5</v>
      </c>
      <c r="G641" s="37" t="s">
        <v>192</v>
      </c>
      <c r="H641" s="38" t="n">
        <v>199.058181405832</v>
      </c>
      <c r="I641" s="38" t="n">
        <v>203.055261517107</v>
      </c>
      <c r="J641" s="38" t="n">
        <v>235.935320645676</v>
      </c>
      <c r="K641" s="38" t="n">
        <v>265.039359775181</v>
      </c>
      <c r="L641" s="38" t="n">
        <v>95.9428871857016</v>
      </c>
      <c r="M641" s="38" t="n">
        <v>106.834195614968</v>
      </c>
      <c r="N641" s="38" t="n">
        <v>146.6846127903</v>
      </c>
      <c r="O641" s="38" t="n">
        <v>81.2958816264201</v>
      </c>
      <c r="P641" s="37" t="n">
        <v>0</v>
      </c>
      <c r="Q641" s="38" t="n">
        <v>0</v>
      </c>
      <c r="R641" s="38" t="n">
        <v>72</v>
      </c>
      <c r="S641" s="37" t="n">
        <v>1</v>
      </c>
    </row>
    <row r="642" customFormat="false" ht="15" hidden="false" customHeight="false" outlineLevel="0" collapsed="false">
      <c r="A642" s="37" t="n">
        <v>0</v>
      </c>
      <c r="B642" s="37" t="n">
        <v>5</v>
      </c>
      <c r="C642" s="37" t="n">
        <v>10</v>
      </c>
      <c r="D642" s="37" t="n">
        <v>10</v>
      </c>
      <c r="E642" s="37" t="n">
        <v>0</v>
      </c>
      <c r="F642" s="37" t="n">
        <v>5</v>
      </c>
      <c r="G642" s="37" t="s">
        <v>195</v>
      </c>
      <c r="H642" s="38" t="n">
        <v>199.058181405832</v>
      </c>
      <c r="I642" s="38" t="n">
        <v>203.32648181555</v>
      </c>
      <c r="J642" s="38" t="n">
        <v>228.200227190908</v>
      </c>
      <c r="K642" s="38" t="n">
        <v>263.051630271795</v>
      </c>
      <c r="L642" s="38" t="n">
        <v>109.801630271795</v>
      </c>
      <c r="M642" s="38" t="n">
        <v>111.05853904704</v>
      </c>
      <c r="N642" s="38" t="n">
        <v>145.970114739577</v>
      </c>
      <c r="O642" s="38" t="n">
        <v>80.3752986126232</v>
      </c>
      <c r="P642" s="37" t="n">
        <v>0</v>
      </c>
      <c r="Q642" s="38" t="n">
        <v>0</v>
      </c>
      <c r="R642" s="38" t="n">
        <v>67.7125601303101</v>
      </c>
      <c r="S642" s="37" t="n">
        <v>0</v>
      </c>
    </row>
    <row r="643" customFormat="false" ht="15" hidden="false" customHeight="false" outlineLevel="0" collapsed="false">
      <c r="A643" s="37" t="n">
        <v>0</v>
      </c>
      <c r="B643" s="37" t="n">
        <v>5</v>
      </c>
      <c r="C643" s="37" t="n">
        <v>10</v>
      </c>
      <c r="D643" s="37" t="n">
        <v>10</v>
      </c>
      <c r="E643" s="37" t="n">
        <v>0</v>
      </c>
      <c r="F643" s="37" t="n">
        <v>5</v>
      </c>
      <c r="G643" s="37" t="s">
        <v>197</v>
      </c>
      <c r="H643" s="38" t="n">
        <v>199.058181405832</v>
      </c>
      <c r="I643" s="38" t="n">
        <v>203.038676972786</v>
      </c>
      <c r="J643" s="38" t="n">
        <v>225.688977678304</v>
      </c>
      <c r="K643" s="38" t="n">
        <v>258.396945175372</v>
      </c>
      <c r="L643" s="38" t="n">
        <v>96.3855339003057</v>
      </c>
      <c r="M643" s="38" t="n">
        <v>105.272288912562</v>
      </c>
      <c r="N643" s="38" t="n">
        <v>125.61299938029</v>
      </c>
      <c r="O643" s="38" t="n">
        <v>74.8701660081936</v>
      </c>
      <c r="P643" s="37" t="n">
        <v>0</v>
      </c>
      <c r="Q643" s="38" t="n">
        <v>0</v>
      </c>
      <c r="R643" s="38" t="n">
        <v>72</v>
      </c>
      <c r="S643" s="37" t="n">
        <v>0</v>
      </c>
    </row>
    <row r="644" customFormat="false" ht="15" hidden="false" customHeight="false" outlineLevel="0" collapsed="false">
      <c r="A644" s="37" t="n">
        <v>0</v>
      </c>
      <c r="B644" s="37" t="n">
        <v>5</v>
      </c>
      <c r="C644" s="37" t="n">
        <v>10</v>
      </c>
      <c r="D644" s="37" t="n">
        <v>10</v>
      </c>
      <c r="E644" s="37" t="n">
        <v>0</v>
      </c>
      <c r="F644" s="37" t="n">
        <v>5</v>
      </c>
      <c r="G644" s="37" t="s">
        <v>196</v>
      </c>
      <c r="H644" s="38" t="n">
        <v>199.058181405832</v>
      </c>
      <c r="I644" s="38" t="n">
        <v>203.050825109105</v>
      </c>
      <c r="J644" s="38" t="n">
        <v>218.561351504979</v>
      </c>
      <c r="K644" s="38" t="n">
        <v>260.635841116503</v>
      </c>
      <c r="L644" s="38" t="n">
        <v>107.080285560947</v>
      </c>
      <c r="M644" s="38" t="n">
        <v>108.416930019311</v>
      </c>
      <c r="N644" s="38" t="n">
        <v>135.388971062076</v>
      </c>
      <c r="O644" s="38" t="n">
        <v>75.8604978852358</v>
      </c>
      <c r="P644" s="37" t="n">
        <v>0</v>
      </c>
      <c r="Q644" s="38" t="n">
        <v>0</v>
      </c>
      <c r="R644" s="38" t="n">
        <v>70.604</v>
      </c>
      <c r="S644" s="37" t="n">
        <v>0</v>
      </c>
    </row>
    <row r="645" customFormat="false" ht="15" hidden="false" customHeight="false" outlineLevel="0" collapsed="false">
      <c r="A645" s="37" t="n">
        <v>0</v>
      </c>
      <c r="B645" s="37" t="n">
        <v>5</v>
      </c>
      <c r="C645" s="37" t="n">
        <v>10</v>
      </c>
      <c r="D645" s="37" t="n">
        <v>10</v>
      </c>
      <c r="E645" s="37" t="n">
        <v>5</v>
      </c>
      <c r="F645" s="37" t="n">
        <v>0</v>
      </c>
      <c r="G645" s="37" t="s">
        <v>188</v>
      </c>
      <c r="H645" s="38" t="n">
        <v>199.030544200405</v>
      </c>
      <c r="I645" s="38" t="n">
        <v>202.878927217628</v>
      </c>
      <c r="J645" s="38" t="n">
        <v>227.183695868611</v>
      </c>
      <c r="K645" s="38" t="n">
        <v>259.687809262753</v>
      </c>
      <c r="L645" s="38" t="n">
        <v>58.5703870703659</v>
      </c>
      <c r="M645" s="38" t="n">
        <v>108.049589969609</v>
      </c>
      <c r="N645" s="38" t="n">
        <v>141.266424202622</v>
      </c>
      <c r="O645" s="38" t="n">
        <v>76.6787103569561</v>
      </c>
      <c r="P645" s="37" t="n">
        <v>0</v>
      </c>
      <c r="Q645" s="38" t="n">
        <v>0</v>
      </c>
      <c r="R645" s="38" t="n">
        <v>72</v>
      </c>
      <c r="S645" s="37" t="n">
        <v>0</v>
      </c>
    </row>
    <row r="646" customFormat="false" ht="15" hidden="false" customHeight="false" outlineLevel="0" collapsed="false">
      <c r="A646" s="37" t="n">
        <v>0</v>
      </c>
      <c r="B646" s="37" t="n">
        <v>5</v>
      </c>
      <c r="C646" s="37" t="n">
        <v>10</v>
      </c>
      <c r="D646" s="37" t="n">
        <v>10</v>
      </c>
      <c r="E646" s="37" t="n">
        <v>5</v>
      </c>
      <c r="F646" s="37" t="n">
        <v>0</v>
      </c>
      <c r="G646" s="37" t="s">
        <v>192</v>
      </c>
      <c r="H646" s="38" t="n">
        <v>199.030544200405</v>
      </c>
      <c r="I646" s="38" t="n">
        <v>202.872897075074</v>
      </c>
      <c r="J646" s="38" t="n">
        <v>237.974448144312</v>
      </c>
      <c r="K646" s="38" t="n">
        <v>266.838382622617</v>
      </c>
      <c r="L646" s="38" t="n">
        <v>57.4963266711145</v>
      </c>
      <c r="M646" s="38" t="n">
        <v>107.04185843833</v>
      </c>
      <c r="N646" s="38" t="n">
        <v>152.107549483868</v>
      </c>
      <c r="O646" s="38" t="n">
        <v>80.9696279360594</v>
      </c>
      <c r="P646" s="37" t="n">
        <v>0</v>
      </c>
      <c r="Q646" s="38" t="n">
        <v>0</v>
      </c>
      <c r="R646" s="38" t="n">
        <v>72</v>
      </c>
      <c r="S646" s="37" t="n">
        <v>1</v>
      </c>
    </row>
    <row r="647" customFormat="false" ht="15" hidden="false" customHeight="false" outlineLevel="0" collapsed="false">
      <c r="A647" s="37" t="n">
        <v>0</v>
      </c>
      <c r="B647" s="37" t="n">
        <v>5</v>
      </c>
      <c r="C647" s="37" t="n">
        <v>10</v>
      </c>
      <c r="D647" s="37" t="n">
        <v>10</v>
      </c>
      <c r="E647" s="37" t="n">
        <v>5</v>
      </c>
      <c r="F647" s="37" t="n">
        <v>0</v>
      </c>
      <c r="G647" s="37" t="s">
        <v>195</v>
      </c>
      <c r="H647" s="38" t="n">
        <v>199.030544200405</v>
      </c>
      <c r="I647" s="38" t="n">
        <v>203.150885621664</v>
      </c>
      <c r="J647" s="38" t="n">
        <v>230.476821317579</v>
      </c>
      <c r="K647" s="38" t="n">
        <v>265.279425437568</v>
      </c>
      <c r="L647" s="38" t="n">
        <v>72.0294254375679</v>
      </c>
      <c r="M647" s="38" t="n">
        <v>111.270471141041</v>
      </c>
      <c r="N647" s="38" t="n">
        <v>151.880365013387</v>
      </c>
      <c r="O647" s="38" t="n">
        <v>80.2916677839593</v>
      </c>
      <c r="P647" s="37" t="n">
        <v>0</v>
      </c>
      <c r="Q647" s="38" t="n">
        <v>0</v>
      </c>
      <c r="R647" s="38" t="n">
        <v>67.6859986689894</v>
      </c>
      <c r="S647" s="37" t="n">
        <v>0</v>
      </c>
    </row>
    <row r="648" customFormat="false" ht="15" hidden="false" customHeight="false" outlineLevel="0" collapsed="false">
      <c r="A648" s="37" t="n">
        <v>0</v>
      </c>
      <c r="B648" s="37" t="n">
        <v>5</v>
      </c>
      <c r="C648" s="37" t="n">
        <v>10</v>
      </c>
      <c r="D648" s="37" t="n">
        <v>10</v>
      </c>
      <c r="E648" s="37" t="n">
        <v>5</v>
      </c>
      <c r="F648" s="37" t="n">
        <v>0</v>
      </c>
      <c r="G648" s="37" t="s">
        <v>197</v>
      </c>
      <c r="H648" s="38" t="n">
        <v>199.030544200405</v>
      </c>
      <c r="I648" s="38" t="n">
        <v>202.869614248239</v>
      </c>
      <c r="J648" s="38" t="n">
        <v>228.383079617065</v>
      </c>
      <c r="K648" s="38" t="n">
        <v>261.198648632713</v>
      </c>
      <c r="L648" s="38" t="n">
        <v>59.6753108005878</v>
      </c>
      <c r="M648" s="38" t="n">
        <v>108.90309103597</v>
      </c>
      <c r="N648" s="38" t="n">
        <v>140.757876706394</v>
      </c>
      <c r="O648" s="38" t="n">
        <v>78.6985117014698</v>
      </c>
      <c r="P648" s="37" t="n">
        <v>0</v>
      </c>
      <c r="Q648" s="38" t="n">
        <v>0</v>
      </c>
      <c r="R648" s="38" t="n">
        <v>72</v>
      </c>
      <c r="S648" s="37" t="n">
        <v>0</v>
      </c>
    </row>
    <row r="649" customFormat="false" ht="15" hidden="false" customHeight="false" outlineLevel="0" collapsed="false">
      <c r="A649" s="37" t="n">
        <v>0</v>
      </c>
      <c r="B649" s="37" t="n">
        <v>5</v>
      </c>
      <c r="C649" s="37" t="n">
        <v>10</v>
      </c>
      <c r="D649" s="37" t="n">
        <v>10</v>
      </c>
      <c r="E649" s="37" t="n">
        <v>5</v>
      </c>
      <c r="F649" s="37" t="n">
        <v>0</v>
      </c>
      <c r="G649" s="37" t="s">
        <v>196</v>
      </c>
      <c r="H649" s="38" t="n">
        <v>199.030544200405</v>
      </c>
      <c r="I649" s="38" t="n">
        <v>202.870452031226</v>
      </c>
      <c r="J649" s="38" t="n">
        <v>228.275377660982</v>
      </c>
      <c r="K649" s="38" t="n">
        <v>261.080816480034</v>
      </c>
      <c r="L649" s="38" t="n">
        <v>64.9408279241309</v>
      </c>
      <c r="M649" s="38" t="n">
        <v>109.365200565036</v>
      </c>
      <c r="N649" s="38" t="n">
        <v>144.072353617752</v>
      </c>
      <c r="O649" s="38" t="n">
        <v>77.9010389272797</v>
      </c>
      <c r="P649" s="37" t="n">
        <v>0</v>
      </c>
      <c r="Q649" s="38" t="n">
        <v>0</v>
      </c>
      <c r="R649" s="38" t="n">
        <v>71.0797360799166</v>
      </c>
      <c r="S649" s="37" t="n">
        <v>0</v>
      </c>
    </row>
    <row r="650" customFormat="false" ht="15" hidden="false" customHeight="false" outlineLevel="0" collapsed="false">
      <c r="A650" s="37" t="n">
        <v>0</v>
      </c>
      <c r="B650" s="37" t="n">
        <v>5</v>
      </c>
      <c r="C650" s="37" t="n">
        <v>10</v>
      </c>
      <c r="D650" s="37" t="n">
        <v>15</v>
      </c>
      <c r="E650" s="37" t="n">
        <v>0</v>
      </c>
      <c r="F650" s="37" t="n">
        <v>0</v>
      </c>
      <c r="G650" s="37" t="s">
        <v>188</v>
      </c>
      <c r="H650" s="38" t="n">
        <v>199.233624410109</v>
      </c>
      <c r="I650" s="38" t="n">
        <v>203.98682118705</v>
      </c>
      <c r="J650" s="38" t="n">
        <v>228.980136661192</v>
      </c>
      <c r="K650" s="38" t="n">
        <v>258.260168736506</v>
      </c>
      <c r="L650" s="38" t="n">
        <v>57.4771153601794</v>
      </c>
      <c r="M650" s="38" t="n">
        <v>108.529708905422</v>
      </c>
      <c r="N650" s="38" t="n">
        <v>138.22346118497</v>
      </c>
      <c r="O650" s="38" t="n">
        <v>76.5072501386017</v>
      </c>
      <c r="P650" s="37" t="n">
        <v>0</v>
      </c>
      <c r="Q650" s="38" t="n">
        <v>0</v>
      </c>
      <c r="R650" s="38" t="n">
        <v>72</v>
      </c>
      <c r="S650" s="37" t="n">
        <v>0</v>
      </c>
    </row>
    <row r="651" customFormat="false" ht="15" hidden="false" customHeight="false" outlineLevel="0" collapsed="false">
      <c r="A651" s="37" t="n">
        <v>0</v>
      </c>
      <c r="B651" s="37" t="n">
        <v>5</v>
      </c>
      <c r="C651" s="37" t="n">
        <v>10</v>
      </c>
      <c r="D651" s="37" t="n">
        <v>15</v>
      </c>
      <c r="E651" s="37" t="n">
        <v>0</v>
      </c>
      <c r="F651" s="37" t="n">
        <v>0</v>
      </c>
      <c r="G651" s="37" t="s">
        <v>192</v>
      </c>
      <c r="H651" s="38" t="n">
        <v>199.233624410109</v>
      </c>
      <c r="I651" s="38" t="n">
        <v>203.975313451251</v>
      </c>
      <c r="J651" s="38" t="n">
        <v>239.640965981302</v>
      </c>
      <c r="K651" s="38" t="n">
        <v>265.196574489403</v>
      </c>
      <c r="L651" s="38" t="n">
        <v>56.5260949753267</v>
      </c>
      <c r="M651" s="38" t="n">
        <v>107.575460165578</v>
      </c>
      <c r="N651" s="38" t="n">
        <v>149.135926275293</v>
      </c>
      <c r="O651" s="38" t="n">
        <v>80.6149512827624</v>
      </c>
      <c r="P651" s="37" t="n">
        <v>0</v>
      </c>
      <c r="Q651" s="38" t="n">
        <v>0</v>
      </c>
      <c r="R651" s="38" t="n">
        <v>72</v>
      </c>
      <c r="S651" s="37" t="n">
        <v>1</v>
      </c>
    </row>
    <row r="652" customFormat="false" ht="15" hidden="false" customHeight="false" outlineLevel="0" collapsed="false">
      <c r="A652" s="37" t="n">
        <v>0</v>
      </c>
      <c r="B652" s="37" t="n">
        <v>5</v>
      </c>
      <c r="C652" s="37" t="n">
        <v>10</v>
      </c>
      <c r="D652" s="37" t="n">
        <v>15</v>
      </c>
      <c r="E652" s="37" t="n">
        <v>0</v>
      </c>
      <c r="F652" s="37" t="n">
        <v>0</v>
      </c>
      <c r="G652" s="37" t="s">
        <v>195</v>
      </c>
      <c r="H652" s="38" t="n">
        <v>199.233624410109</v>
      </c>
      <c r="I652" s="38" t="n">
        <v>204.349141264593</v>
      </c>
      <c r="J652" s="38" t="n">
        <v>230.398735191246</v>
      </c>
      <c r="K652" s="38" t="n">
        <v>261.67376809053</v>
      </c>
      <c r="L652" s="38" t="n">
        <v>70.4237680905301</v>
      </c>
      <c r="M652" s="38" t="n">
        <v>112.806992841104</v>
      </c>
      <c r="N652" s="38" t="n">
        <v>146.917653151671</v>
      </c>
      <c r="O652" s="38" t="n">
        <v>79.2605622160015</v>
      </c>
      <c r="P652" s="37" t="n">
        <v>0</v>
      </c>
      <c r="Q652" s="38" t="n">
        <v>0</v>
      </c>
      <c r="R652" s="38" t="n">
        <v>68.32</v>
      </c>
      <c r="S652" s="37" t="n">
        <v>0</v>
      </c>
    </row>
    <row r="653" customFormat="false" ht="15" hidden="false" customHeight="false" outlineLevel="0" collapsed="false">
      <c r="A653" s="37" t="n">
        <v>0</v>
      </c>
      <c r="B653" s="37" t="n">
        <v>5</v>
      </c>
      <c r="C653" s="37" t="n">
        <v>10</v>
      </c>
      <c r="D653" s="37" t="n">
        <v>15</v>
      </c>
      <c r="E653" s="37" t="n">
        <v>0</v>
      </c>
      <c r="F653" s="37" t="n">
        <v>0</v>
      </c>
      <c r="G653" s="37" t="s">
        <v>197</v>
      </c>
      <c r="H653" s="38" t="n">
        <v>199.233624410109</v>
      </c>
      <c r="I653" s="38" t="n">
        <v>203.959746163173</v>
      </c>
      <c r="J653" s="38" t="n">
        <v>229.352512777356</v>
      </c>
      <c r="K653" s="38" t="n">
        <v>258.513114530539</v>
      </c>
      <c r="L653" s="38" t="n">
        <v>56.5645309538627</v>
      </c>
      <c r="M653" s="38" t="n">
        <v>106.068115247892</v>
      </c>
      <c r="N653" s="38" t="n">
        <v>128.122599912905</v>
      </c>
      <c r="O653" s="38" t="n">
        <v>74.2819108307993</v>
      </c>
      <c r="P653" s="37" t="n">
        <v>0</v>
      </c>
      <c r="Q653" s="38" t="n">
        <v>0</v>
      </c>
      <c r="R653" s="38" t="n">
        <v>72</v>
      </c>
      <c r="S653" s="37" t="n">
        <v>0</v>
      </c>
    </row>
    <row r="654" customFormat="false" ht="15" hidden="false" customHeight="false" outlineLevel="0" collapsed="false">
      <c r="A654" s="37" t="n">
        <v>0</v>
      </c>
      <c r="B654" s="37" t="n">
        <v>5</v>
      </c>
      <c r="C654" s="37" t="n">
        <v>10</v>
      </c>
      <c r="D654" s="37" t="n">
        <v>15</v>
      </c>
      <c r="E654" s="37" t="n">
        <v>0</v>
      </c>
      <c r="F654" s="37" t="n">
        <v>0</v>
      </c>
      <c r="G654" s="37" t="s">
        <v>196</v>
      </c>
      <c r="H654" s="38" t="n">
        <v>199.233624410109</v>
      </c>
      <c r="I654" s="38" t="n">
        <v>203.970302935137</v>
      </c>
      <c r="J654" s="38" t="n">
        <v>222.090479245326</v>
      </c>
      <c r="K654" s="38" t="n">
        <v>260.559826678062</v>
      </c>
      <c r="L654" s="38" t="n">
        <v>67.0042711225068</v>
      </c>
      <c r="M654" s="38" t="n">
        <v>109.488057378695</v>
      </c>
      <c r="N654" s="38" t="n">
        <v>137.699299683702</v>
      </c>
      <c r="O654" s="38" t="n">
        <v>75.0812842591462</v>
      </c>
      <c r="P654" s="37" t="n">
        <v>0</v>
      </c>
      <c r="Q654" s="38" t="n">
        <v>0</v>
      </c>
      <c r="R654" s="38" t="n">
        <v>70.604</v>
      </c>
      <c r="S654" s="37" t="n">
        <v>0</v>
      </c>
    </row>
    <row r="655" customFormat="false" ht="15" hidden="false" customHeight="false" outlineLevel="0" collapsed="false">
      <c r="A655" s="37" t="n">
        <v>0</v>
      </c>
      <c r="B655" s="37" t="n">
        <v>5</v>
      </c>
      <c r="C655" s="37" t="n">
        <v>15</v>
      </c>
      <c r="D655" s="37" t="n">
        <v>0</v>
      </c>
      <c r="E655" s="37" t="n">
        <v>0</v>
      </c>
      <c r="F655" s="37" t="n">
        <v>10</v>
      </c>
      <c r="G655" s="37" t="s">
        <v>188</v>
      </c>
      <c r="H655" s="38" t="n">
        <v>198.891484910228</v>
      </c>
      <c r="I655" s="38" t="n">
        <v>201.86123683259</v>
      </c>
      <c r="J655" s="38" t="n">
        <v>214.908474069203</v>
      </c>
      <c r="K655" s="38" t="n">
        <v>253.543625940171</v>
      </c>
      <c r="L655" s="38" t="n">
        <v>131.083086658799</v>
      </c>
      <c r="M655" s="38" t="n">
        <v>107.645639076903</v>
      </c>
      <c r="N655" s="38" t="n">
        <v>126.525725074241</v>
      </c>
      <c r="O655" s="38" t="n">
        <v>71.051318403982</v>
      </c>
      <c r="P655" s="37" t="n">
        <v>0</v>
      </c>
      <c r="Q655" s="38" t="n">
        <v>0</v>
      </c>
      <c r="R655" s="38" t="n">
        <v>70.5</v>
      </c>
      <c r="S655" s="37" t="n">
        <v>0</v>
      </c>
    </row>
    <row r="656" customFormat="false" ht="15" hidden="false" customHeight="false" outlineLevel="0" collapsed="false">
      <c r="A656" s="37" t="n">
        <v>0</v>
      </c>
      <c r="B656" s="37" t="n">
        <v>5</v>
      </c>
      <c r="C656" s="37" t="n">
        <v>15</v>
      </c>
      <c r="D656" s="37" t="n">
        <v>0</v>
      </c>
      <c r="E656" s="37" t="n">
        <v>0</v>
      </c>
      <c r="F656" s="37" t="n">
        <v>10</v>
      </c>
      <c r="G656" s="37" t="s">
        <v>192</v>
      </c>
      <c r="H656" s="38" t="n">
        <v>198.891484910228</v>
      </c>
      <c r="I656" s="38" t="n">
        <v>201.8525937939</v>
      </c>
      <c r="J656" s="38" t="n">
        <v>225.829365511839</v>
      </c>
      <c r="K656" s="38" t="n">
        <v>260.903154206786</v>
      </c>
      <c r="L656" s="38" t="n">
        <v>130.414509802763</v>
      </c>
      <c r="M656" s="38" t="n">
        <v>106.734000863236</v>
      </c>
      <c r="N656" s="38" t="n">
        <v>137.823361682266</v>
      </c>
      <c r="O656" s="38" t="n">
        <v>75.590616022424</v>
      </c>
      <c r="P656" s="37" t="n">
        <v>0</v>
      </c>
      <c r="Q656" s="38" t="n">
        <v>0</v>
      </c>
      <c r="R656" s="38" t="n">
        <v>70.5</v>
      </c>
      <c r="S656" s="37" t="n">
        <v>1</v>
      </c>
    </row>
    <row r="657" customFormat="false" ht="15" hidden="false" customHeight="false" outlineLevel="0" collapsed="false">
      <c r="A657" s="37" t="n">
        <v>0</v>
      </c>
      <c r="B657" s="37" t="n">
        <v>5</v>
      </c>
      <c r="C657" s="37" t="n">
        <v>15</v>
      </c>
      <c r="D657" s="37" t="n">
        <v>0</v>
      </c>
      <c r="E657" s="37" t="n">
        <v>0</v>
      </c>
      <c r="F657" s="37" t="n">
        <v>10</v>
      </c>
      <c r="G657" s="37" t="s">
        <v>195</v>
      </c>
      <c r="H657" s="38" t="n">
        <v>198.891484910228</v>
      </c>
      <c r="I657" s="38" t="n">
        <v>201.909959735695</v>
      </c>
      <c r="J657" s="38" t="n">
        <v>213.172739618</v>
      </c>
      <c r="K657" s="38" t="n">
        <v>248.364323897642</v>
      </c>
      <c r="L657" s="38" t="n">
        <v>130.003733611703</v>
      </c>
      <c r="M657" s="38" t="n">
        <v>107.714555318105</v>
      </c>
      <c r="N657" s="38" t="n">
        <v>122.377163187366</v>
      </c>
      <c r="O657" s="38" t="n">
        <v>69.3362006343018</v>
      </c>
      <c r="P657" s="37" t="n">
        <v>0</v>
      </c>
      <c r="Q657" s="38" t="n">
        <v>0</v>
      </c>
      <c r="R657" s="38" t="n">
        <v>68.6668229142183</v>
      </c>
      <c r="S657" s="37" t="n">
        <v>0</v>
      </c>
    </row>
    <row r="658" customFormat="false" ht="15" hidden="false" customHeight="false" outlineLevel="0" collapsed="false">
      <c r="A658" s="37" t="n">
        <v>0</v>
      </c>
      <c r="B658" s="37" t="n">
        <v>5</v>
      </c>
      <c r="C658" s="37" t="n">
        <v>15</v>
      </c>
      <c r="D658" s="37" t="n">
        <v>0</v>
      </c>
      <c r="E658" s="37" t="n">
        <v>0</v>
      </c>
      <c r="F658" s="37" t="n">
        <v>10</v>
      </c>
      <c r="G658" s="37" t="s">
        <v>197</v>
      </c>
      <c r="H658" s="38" t="n">
        <v>198.891484910228</v>
      </c>
      <c r="I658" s="38" t="n">
        <v>201.842003196422</v>
      </c>
      <c r="J658" s="38" t="n">
        <v>215.693279361767</v>
      </c>
      <c r="K658" s="38" t="n">
        <v>254.338063917798</v>
      </c>
      <c r="L658" s="38" t="n">
        <v>131.935080516971</v>
      </c>
      <c r="M658" s="38" t="n">
        <v>103.833513219555</v>
      </c>
      <c r="N658" s="38" t="n">
        <v>116.164097635992</v>
      </c>
      <c r="O658" s="38" t="n">
        <v>68.8374358023</v>
      </c>
      <c r="P658" s="37" t="n">
        <v>0</v>
      </c>
      <c r="Q658" s="38" t="n">
        <v>0</v>
      </c>
      <c r="R658" s="38" t="n">
        <v>70.5</v>
      </c>
      <c r="S658" s="37" t="n">
        <v>0</v>
      </c>
    </row>
    <row r="659" customFormat="false" ht="15" hidden="false" customHeight="false" outlineLevel="0" collapsed="false">
      <c r="A659" s="37" t="n">
        <v>0</v>
      </c>
      <c r="B659" s="37" t="n">
        <v>5</v>
      </c>
      <c r="C659" s="37" t="n">
        <v>15</v>
      </c>
      <c r="D659" s="37" t="n">
        <v>0</v>
      </c>
      <c r="E659" s="37" t="n">
        <v>0</v>
      </c>
      <c r="F659" s="37" t="n">
        <v>10</v>
      </c>
      <c r="G659" s="37" t="s">
        <v>196</v>
      </c>
      <c r="H659" s="38" t="n">
        <v>198.891484910228</v>
      </c>
      <c r="I659" s="38" t="n">
        <v>201.847327530137</v>
      </c>
      <c r="J659" s="38" t="n">
        <v>216.226192252525</v>
      </c>
      <c r="K659" s="38" t="n">
        <v>255.187272210551</v>
      </c>
      <c r="L659" s="38" t="n">
        <v>139.050463988748</v>
      </c>
      <c r="M659" s="38" t="n">
        <v>106.410312472844</v>
      </c>
      <c r="N659" s="38" t="n">
        <v>125.419640366137</v>
      </c>
      <c r="O659" s="38" t="n">
        <v>71.8244300614588</v>
      </c>
      <c r="P659" s="37" t="n">
        <v>0</v>
      </c>
      <c r="Q659" s="38" t="n">
        <v>0</v>
      </c>
      <c r="R659" s="38" t="n">
        <v>69.5804993601005</v>
      </c>
      <c r="S659" s="37" t="n">
        <v>0</v>
      </c>
    </row>
    <row r="660" customFormat="false" ht="15" hidden="false" customHeight="false" outlineLevel="0" collapsed="false">
      <c r="A660" s="37" t="n">
        <v>0</v>
      </c>
      <c r="B660" s="37" t="n">
        <v>5</v>
      </c>
      <c r="C660" s="37" t="n">
        <v>15</v>
      </c>
      <c r="D660" s="37" t="n">
        <v>0</v>
      </c>
      <c r="E660" s="37" t="n">
        <v>5</v>
      </c>
      <c r="F660" s="37" t="n">
        <v>5</v>
      </c>
      <c r="G660" s="37" t="s">
        <v>188</v>
      </c>
      <c r="H660" s="38" t="n">
        <v>198.884292608162</v>
      </c>
      <c r="I660" s="38" t="n">
        <v>201.92910769672</v>
      </c>
      <c r="J660" s="38" t="n">
        <v>217.083071601869</v>
      </c>
      <c r="K660" s="38" t="n">
        <v>256.562673846444</v>
      </c>
      <c r="L660" s="38" t="n">
        <v>94.2562433686164</v>
      </c>
      <c r="M660" s="38" t="n">
        <v>108.472764968118</v>
      </c>
      <c r="N660" s="38" t="n">
        <v>132.505755645616</v>
      </c>
      <c r="O660" s="38" t="n">
        <v>70.8299679857924</v>
      </c>
      <c r="P660" s="37" t="n">
        <v>0</v>
      </c>
      <c r="Q660" s="38" t="n">
        <v>0</v>
      </c>
      <c r="R660" s="38" t="n">
        <v>70.5</v>
      </c>
      <c r="S660" s="37" t="n">
        <v>0</v>
      </c>
    </row>
    <row r="661" customFormat="false" ht="15" hidden="false" customHeight="false" outlineLevel="0" collapsed="false">
      <c r="A661" s="37" t="n">
        <v>0</v>
      </c>
      <c r="B661" s="37" t="n">
        <v>5</v>
      </c>
      <c r="C661" s="37" t="n">
        <v>15</v>
      </c>
      <c r="D661" s="37" t="n">
        <v>0</v>
      </c>
      <c r="E661" s="37" t="n">
        <v>5</v>
      </c>
      <c r="F661" s="37" t="n">
        <v>5</v>
      </c>
      <c r="G661" s="37" t="s">
        <v>192</v>
      </c>
      <c r="H661" s="38" t="n">
        <v>198.884292608162</v>
      </c>
      <c r="I661" s="38" t="n">
        <v>201.921599504992</v>
      </c>
      <c r="J661" s="38" t="n">
        <v>228.027597351807</v>
      </c>
      <c r="K661" s="38" t="n">
        <v>263.950991202627</v>
      </c>
      <c r="L661" s="38" t="n">
        <v>93.4027687949296</v>
      </c>
      <c r="M661" s="38" t="n">
        <v>107.507438771416</v>
      </c>
      <c r="N661" s="38" t="n">
        <v>143.552590365037</v>
      </c>
      <c r="O661" s="38" t="n">
        <v>75.3973703246678</v>
      </c>
      <c r="P661" s="37" t="n">
        <v>0</v>
      </c>
      <c r="Q661" s="38" t="n">
        <v>0</v>
      </c>
      <c r="R661" s="38" t="n">
        <v>70.5</v>
      </c>
      <c r="S661" s="37" t="n">
        <v>1</v>
      </c>
    </row>
    <row r="662" customFormat="false" ht="15" hidden="false" customHeight="false" outlineLevel="0" collapsed="false">
      <c r="A662" s="37" t="n">
        <v>0</v>
      </c>
      <c r="B662" s="37" t="n">
        <v>5</v>
      </c>
      <c r="C662" s="37" t="n">
        <v>15</v>
      </c>
      <c r="D662" s="37" t="n">
        <v>0</v>
      </c>
      <c r="E662" s="37" t="n">
        <v>5</v>
      </c>
      <c r="F662" s="37" t="n">
        <v>5</v>
      </c>
      <c r="G662" s="37" t="s">
        <v>195</v>
      </c>
      <c r="H662" s="38" t="n">
        <v>198.884292608162</v>
      </c>
      <c r="I662" s="38" t="n">
        <v>201.986038560128</v>
      </c>
      <c r="J662" s="38" t="n">
        <v>215.343085474578</v>
      </c>
      <c r="K662" s="38" t="n">
        <v>251.419074639364</v>
      </c>
      <c r="L662" s="38" t="n">
        <v>92.9777861030698</v>
      </c>
      <c r="M662" s="38" t="n">
        <v>108.562053348538</v>
      </c>
      <c r="N662" s="38" t="n">
        <v>128.436610507845</v>
      </c>
      <c r="O662" s="38" t="n">
        <v>69.3989892312322</v>
      </c>
      <c r="P662" s="37" t="n">
        <v>0</v>
      </c>
      <c r="Q662" s="38" t="n">
        <v>0</v>
      </c>
      <c r="R662" s="38" t="n">
        <v>68.6426134391118</v>
      </c>
      <c r="S662" s="37" t="n">
        <v>0</v>
      </c>
    </row>
    <row r="663" customFormat="false" ht="15" hidden="false" customHeight="false" outlineLevel="0" collapsed="false">
      <c r="A663" s="37" t="n">
        <v>0</v>
      </c>
      <c r="B663" s="37" t="n">
        <v>5</v>
      </c>
      <c r="C663" s="37" t="n">
        <v>15</v>
      </c>
      <c r="D663" s="37" t="n">
        <v>0</v>
      </c>
      <c r="E663" s="37" t="n">
        <v>5</v>
      </c>
      <c r="F663" s="37" t="n">
        <v>5</v>
      </c>
      <c r="G663" s="37" t="s">
        <v>197</v>
      </c>
      <c r="H663" s="38" t="n">
        <v>198.884292608162</v>
      </c>
      <c r="I663" s="38" t="n">
        <v>201.920923661862</v>
      </c>
      <c r="J663" s="38" t="n">
        <v>218.433521804283</v>
      </c>
      <c r="K663" s="38" t="n">
        <v>258.243413729221</v>
      </c>
      <c r="L663" s="38" t="n">
        <v>96.338843574379</v>
      </c>
      <c r="M663" s="38" t="n">
        <v>108.030631498415</v>
      </c>
      <c r="N663" s="38" t="n">
        <v>130.87672642814</v>
      </c>
      <c r="O663" s="38" t="n">
        <v>72.630086349361</v>
      </c>
      <c r="P663" s="37" t="n">
        <v>0</v>
      </c>
      <c r="Q663" s="38" t="n">
        <v>0</v>
      </c>
      <c r="R663" s="38" t="n">
        <v>70.5</v>
      </c>
      <c r="S663" s="37" t="n">
        <v>0</v>
      </c>
    </row>
    <row r="664" customFormat="false" ht="15" hidden="false" customHeight="false" outlineLevel="0" collapsed="false">
      <c r="A664" s="37" t="n">
        <v>0</v>
      </c>
      <c r="B664" s="37" t="n">
        <v>5</v>
      </c>
      <c r="C664" s="37" t="n">
        <v>15</v>
      </c>
      <c r="D664" s="37" t="n">
        <v>0</v>
      </c>
      <c r="E664" s="37" t="n">
        <v>5</v>
      </c>
      <c r="F664" s="37" t="n">
        <v>5</v>
      </c>
      <c r="G664" s="37" t="s">
        <v>196</v>
      </c>
      <c r="H664" s="38" t="n">
        <v>198.884292608162</v>
      </c>
      <c r="I664" s="38" t="n">
        <v>201.917947984379</v>
      </c>
      <c r="J664" s="38" t="n">
        <v>218.173898237842</v>
      </c>
      <c r="K664" s="38" t="n">
        <v>257.971969148637</v>
      </c>
      <c r="L664" s="38" t="n">
        <v>101.400560255252</v>
      </c>
      <c r="M664" s="38" t="n">
        <v>107.952135602607</v>
      </c>
      <c r="N664" s="38" t="n">
        <v>132.502684912587</v>
      </c>
      <c r="O664" s="38" t="n">
        <v>72.4440378565938</v>
      </c>
      <c r="P664" s="37" t="n">
        <v>0</v>
      </c>
      <c r="Q664" s="38" t="n">
        <v>0</v>
      </c>
      <c r="R664" s="38" t="n">
        <v>69.476195198921</v>
      </c>
      <c r="S664" s="37" t="n">
        <v>0</v>
      </c>
    </row>
    <row r="665" customFormat="false" ht="15" hidden="false" customHeight="false" outlineLevel="0" collapsed="false">
      <c r="A665" s="37" t="n">
        <v>0</v>
      </c>
      <c r="B665" s="37" t="n">
        <v>5</v>
      </c>
      <c r="C665" s="37" t="n">
        <v>15</v>
      </c>
      <c r="D665" s="37" t="n">
        <v>0</v>
      </c>
      <c r="E665" s="37" t="n">
        <v>10</v>
      </c>
      <c r="F665" s="37" t="n">
        <v>0</v>
      </c>
      <c r="G665" s="37" t="s">
        <v>188</v>
      </c>
      <c r="H665" s="38" t="n">
        <v>198.864596548877</v>
      </c>
      <c r="I665" s="38" t="n">
        <v>201.936785418142</v>
      </c>
      <c r="J665" s="38" t="n">
        <v>218.481737695016</v>
      </c>
      <c r="K665" s="38" t="n">
        <v>258.29290847371</v>
      </c>
      <c r="L665" s="38" t="n">
        <v>56.111771355988</v>
      </c>
      <c r="M665" s="38" t="n">
        <v>109.019699547004</v>
      </c>
      <c r="N665" s="38" t="n">
        <v>136.798361699842</v>
      </c>
      <c r="O665" s="38" t="n">
        <v>70.2737810549205</v>
      </c>
      <c r="P665" s="37" t="n">
        <v>0</v>
      </c>
      <c r="Q665" s="38" t="n">
        <v>0</v>
      </c>
      <c r="R665" s="38" t="n">
        <v>70.5</v>
      </c>
      <c r="S665" s="37" t="n">
        <v>0</v>
      </c>
    </row>
    <row r="666" customFormat="false" ht="15" hidden="false" customHeight="false" outlineLevel="0" collapsed="false">
      <c r="A666" s="37" t="n">
        <v>0</v>
      </c>
      <c r="B666" s="37" t="n">
        <v>5</v>
      </c>
      <c r="C666" s="37" t="n">
        <v>15</v>
      </c>
      <c r="D666" s="37" t="n">
        <v>0</v>
      </c>
      <c r="E666" s="37" t="n">
        <v>10</v>
      </c>
      <c r="F666" s="37" t="n">
        <v>0</v>
      </c>
      <c r="G666" s="37" t="s">
        <v>192</v>
      </c>
      <c r="H666" s="38" t="n">
        <v>198.864596548877</v>
      </c>
      <c r="I666" s="38" t="n">
        <v>201.930151512211</v>
      </c>
      <c r="J666" s="38" t="n">
        <v>229.336800339674</v>
      </c>
      <c r="K666" s="38" t="n">
        <v>265.560089817883</v>
      </c>
      <c r="L666" s="38" t="n">
        <v>54.9142728247832</v>
      </c>
      <c r="M666" s="38" t="n">
        <v>107.984222447997</v>
      </c>
      <c r="N666" s="38" t="n">
        <v>147.405706374671</v>
      </c>
      <c r="O666" s="38" t="n">
        <v>74.7916999952554</v>
      </c>
      <c r="P666" s="37" t="n">
        <v>0</v>
      </c>
      <c r="Q666" s="38" t="n">
        <v>0</v>
      </c>
      <c r="R666" s="38" t="n">
        <v>70.5</v>
      </c>
      <c r="S666" s="37" t="n">
        <v>1</v>
      </c>
    </row>
    <row r="667" customFormat="false" ht="15" hidden="false" customHeight="false" outlineLevel="0" collapsed="false">
      <c r="A667" s="37" t="n">
        <v>0</v>
      </c>
      <c r="B667" s="37" t="n">
        <v>5</v>
      </c>
      <c r="C667" s="37" t="n">
        <v>15</v>
      </c>
      <c r="D667" s="37" t="n">
        <v>0</v>
      </c>
      <c r="E667" s="37" t="n">
        <v>10</v>
      </c>
      <c r="F667" s="37" t="n">
        <v>0</v>
      </c>
      <c r="G667" s="37" t="s">
        <v>195</v>
      </c>
      <c r="H667" s="38" t="n">
        <v>198.864596548877</v>
      </c>
      <c r="I667" s="38" t="n">
        <v>201.998647707115</v>
      </c>
      <c r="J667" s="38" t="n">
        <v>216.70373425636</v>
      </c>
      <c r="K667" s="38" t="n">
        <v>253.099497681685</v>
      </c>
      <c r="L667" s="38" t="n">
        <v>54.5927524820383</v>
      </c>
      <c r="M667" s="38" t="n">
        <v>109.117030386633</v>
      </c>
      <c r="N667" s="38" t="n">
        <v>132.725926634656</v>
      </c>
      <c r="O667" s="38" t="n">
        <v>69.0554033860644</v>
      </c>
      <c r="P667" s="37" t="n">
        <v>0</v>
      </c>
      <c r="Q667" s="38" t="n">
        <v>0</v>
      </c>
      <c r="R667" s="38" t="n">
        <v>68.622976440106</v>
      </c>
      <c r="S667" s="37" t="n">
        <v>0</v>
      </c>
    </row>
    <row r="668" customFormat="false" ht="15" hidden="false" customHeight="false" outlineLevel="0" collapsed="false">
      <c r="A668" s="37" t="n">
        <v>0</v>
      </c>
      <c r="B668" s="37" t="n">
        <v>5</v>
      </c>
      <c r="C668" s="37" t="n">
        <v>15</v>
      </c>
      <c r="D668" s="37" t="n">
        <v>0</v>
      </c>
      <c r="E668" s="37" t="n">
        <v>10</v>
      </c>
      <c r="F668" s="37" t="n">
        <v>0</v>
      </c>
      <c r="G668" s="37" t="s">
        <v>197</v>
      </c>
      <c r="H668" s="38" t="n">
        <v>198.864596548877</v>
      </c>
      <c r="I668" s="38" t="n">
        <v>201.946536737302</v>
      </c>
      <c r="J668" s="38" t="n">
        <v>220.632981013059</v>
      </c>
      <c r="K668" s="38" t="n">
        <v>261.123295995885</v>
      </c>
      <c r="L668" s="38" t="n">
        <v>59.8469978044411</v>
      </c>
      <c r="M668" s="38" t="n">
        <v>111.190616168998</v>
      </c>
      <c r="N668" s="38" t="n">
        <v>142.590731713173</v>
      </c>
      <c r="O668" s="38" t="n">
        <v>73.9628656499812</v>
      </c>
      <c r="P668" s="37" t="n">
        <v>0</v>
      </c>
      <c r="Q668" s="38" t="n">
        <v>0</v>
      </c>
      <c r="R668" s="38" t="n">
        <v>70.5</v>
      </c>
      <c r="S668" s="37" t="n">
        <v>0</v>
      </c>
    </row>
    <row r="669" customFormat="false" ht="15" hidden="false" customHeight="false" outlineLevel="0" collapsed="false">
      <c r="A669" s="37" t="n">
        <v>0</v>
      </c>
      <c r="B669" s="37" t="n">
        <v>5</v>
      </c>
      <c r="C669" s="37" t="n">
        <v>15</v>
      </c>
      <c r="D669" s="37" t="n">
        <v>0</v>
      </c>
      <c r="E669" s="37" t="n">
        <v>10</v>
      </c>
      <c r="F669" s="37" t="n">
        <v>0</v>
      </c>
      <c r="G669" s="37" t="s">
        <v>196</v>
      </c>
      <c r="H669" s="38" t="n">
        <v>198.864596548877</v>
      </c>
      <c r="I669" s="38" t="n">
        <v>201.928307696925</v>
      </c>
      <c r="J669" s="38" t="n">
        <v>219.579368658109</v>
      </c>
      <c r="K669" s="38" t="n">
        <v>259.759902714611</v>
      </c>
      <c r="L669" s="38" t="n">
        <v>63.1228807043036</v>
      </c>
      <c r="M669" s="38" t="n">
        <v>109.064732335085</v>
      </c>
      <c r="N669" s="38" t="n">
        <v>137.854792203214</v>
      </c>
      <c r="O669" s="38" t="n">
        <v>72.3208776594395</v>
      </c>
      <c r="P669" s="37" t="n">
        <v>0</v>
      </c>
      <c r="Q669" s="38" t="n">
        <v>0</v>
      </c>
      <c r="R669" s="38" t="n">
        <v>69.4604480508597</v>
      </c>
      <c r="S669" s="37" t="n">
        <v>0</v>
      </c>
    </row>
    <row r="670" customFormat="false" ht="15" hidden="false" customHeight="false" outlineLevel="0" collapsed="false">
      <c r="A670" s="37" t="n">
        <v>0</v>
      </c>
      <c r="B670" s="37" t="n">
        <v>5</v>
      </c>
      <c r="C670" s="37" t="n">
        <v>15</v>
      </c>
      <c r="D670" s="37" t="n">
        <v>5</v>
      </c>
      <c r="E670" s="37" t="n">
        <v>0</v>
      </c>
      <c r="F670" s="37" t="n">
        <v>5</v>
      </c>
      <c r="G670" s="37" t="s">
        <v>188</v>
      </c>
      <c r="H670" s="38" t="n">
        <v>199.136604946257</v>
      </c>
      <c r="I670" s="38" t="n">
        <v>203.804713370505</v>
      </c>
      <c r="J670" s="38" t="n">
        <v>224.182292338128</v>
      </c>
      <c r="K670" s="38" t="n">
        <v>259.90670406425</v>
      </c>
      <c r="L670" s="38" t="n">
        <v>98.4973349698153</v>
      </c>
      <c r="M670" s="38" t="n">
        <v>110.319059966769</v>
      </c>
      <c r="N670" s="38" t="n">
        <v>134.352212582128</v>
      </c>
      <c r="O670" s="38" t="n">
        <v>75.7238594209931</v>
      </c>
      <c r="P670" s="37" t="n">
        <v>0</v>
      </c>
      <c r="Q670" s="38" t="n">
        <v>0</v>
      </c>
      <c r="R670" s="38" t="n">
        <v>72</v>
      </c>
      <c r="S670" s="37" t="n">
        <v>0</v>
      </c>
    </row>
    <row r="671" customFormat="false" ht="15" hidden="false" customHeight="false" outlineLevel="0" collapsed="false">
      <c r="A671" s="37" t="n">
        <v>0</v>
      </c>
      <c r="B671" s="37" t="n">
        <v>5</v>
      </c>
      <c r="C671" s="37" t="n">
        <v>15</v>
      </c>
      <c r="D671" s="37" t="n">
        <v>5</v>
      </c>
      <c r="E671" s="37" t="n">
        <v>0</v>
      </c>
      <c r="F671" s="37" t="n">
        <v>5</v>
      </c>
      <c r="G671" s="37" t="s">
        <v>192</v>
      </c>
      <c r="H671" s="38" t="n">
        <v>199.136604946257</v>
      </c>
      <c r="I671" s="38" t="n">
        <v>203.791552481793</v>
      </c>
      <c r="J671" s="38" t="n">
        <v>234.864556896195</v>
      </c>
      <c r="K671" s="38" t="n">
        <v>266.881791477594</v>
      </c>
      <c r="L671" s="38" t="n">
        <v>97.5638833457106</v>
      </c>
      <c r="M671" s="38" t="n">
        <v>109.358307094112</v>
      </c>
      <c r="N671" s="38" t="n">
        <v>145.119196977054</v>
      </c>
      <c r="O671" s="38" t="n">
        <v>79.9007466510503</v>
      </c>
      <c r="P671" s="37" t="n">
        <v>0</v>
      </c>
      <c r="Q671" s="38" t="n">
        <v>0</v>
      </c>
      <c r="R671" s="38" t="n">
        <v>72</v>
      </c>
      <c r="S671" s="37" t="n">
        <v>1</v>
      </c>
    </row>
    <row r="672" customFormat="false" ht="15" hidden="false" customHeight="false" outlineLevel="0" collapsed="false">
      <c r="A672" s="37" t="n">
        <v>0</v>
      </c>
      <c r="B672" s="37" t="n">
        <v>5</v>
      </c>
      <c r="C672" s="37" t="n">
        <v>15</v>
      </c>
      <c r="D672" s="37" t="n">
        <v>5</v>
      </c>
      <c r="E672" s="37" t="n">
        <v>0</v>
      </c>
      <c r="F672" s="37" t="n">
        <v>5</v>
      </c>
      <c r="G672" s="37" t="s">
        <v>195</v>
      </c>
      <c r="H672" s="38" t="n">
        <v>199.136604946257</v>
      </c>
      <c r="I672" s="38" t="n">
        <v>203.984073804486</v>
      </c>
      <c r="J672" s="38" t="n">
        <v>225.668843387429</v>
      </c>
      <c r="K672" s="38" t="n">
        <v>260.075939141952</v>
      </c>
      <c r="L672" s="38" t="n">
        <v>103.034480893233</v>
      </c>
      <c r="M672" s="38" t="n">
        <v>112.220736284684</v>
      </c>
      <c r="N672" s="38" t="n">
        <v>138.465898810017</v>
      </c>
      <c r="O672" s="38" t="n">
        <v>77.3573571922969</v>
      </c>
      <c r="P672" s="37" t="n">
        <v>0</v>
      </c>
      <c r="Q672" s="38" t="n">
        <v>0</v>
      </c>
      <c r="R672" s="38" t="n">
        <v>70.5625625253843</v>
      </c>
      <c r="S672" s="37" t="n">
        <v>0</v>
      </c>
    </row>
    <row r="673" customFormat="false" ht="15" hidden="false" customHeight="false" outlineLevel="0" collapsed="false">
      <c r="A673" s="37" t="n">
        <v>0</v>
      </c>
      <c r="B673" s="37" t="n">
        <v>5</v>
      </c>
      <c r="C673" s="37" t="n">
        <v>15</v>
      </c>
      <c r="D673" s="37" t="n">
        <v>5</v>
      </c>
      <c r="E673" s="37" t="n">
        <v>0</v>
      </c>
      <c r="F673" s="37" t="n">
        <v>5</v>
      </c>
      <c r="G673" s="37" t="s">
        <v>197</v>
      </c>
      <c r="H673" s="38" t="n">
        <v>199.136604946257</v>
      </c>
      <c r="I673" s="38" t="n">
        <v>203.77384807206</v>
      </c>
      <c r="J673" s="38" t="n">
        <v>224.561800521414</v>
      </c>
      <c r="K673" s="38" t="n">
        <v>260.11956411371</v>
      </c>
      <c r="L673" s="38" t="n">
        <v>97.9642495402622</v>
      </c>
      <c r="M673" s="38" t="n">
        <v>106.579369551731</v>
      </c>
      <c r="N673" s="38" t="n">
        <v>123.494928930403</v>
      </c>
      <c r="O673" s="38" t="n">
        <v>73.3168193137658</v>
      </c>
      <c r="P673" s="37" t="n">
        <v>0</v>
      </c>
      <c r="Q673" s="38" t="n">
        <v>0</v>
      </c>
      <c r="R673" s="38" t="n">
        <v>72</v>
      </c>
      <c r="S673" s="37" t="n">
        <v>0</v>
      </c>
    </row>
    <row r="674" customFormat="false" ht="15" hidden="false" customHeight="false" outlineLevel="0" collapsed="false">
      <c r="A674" s="37" t="n">
        <v>0</v>
      </c>
      <c r="B674" s="37" t="n">
        <v>5</v>
      </c>
      <c r="C674" s="37" t="n">
        <v>15</v>
      </c>
      <c r="D674" s="37" t="n">
        <v>5</v>
      </c>
      <c r="E674" s="37" t="n">
        <v>0</v>
      </c>
      <c r="F674" s="37" t="n">
        <v>5</v>
      </c>
      <c r="G674" s="37" t="s">
        <v>196</v>
      </c>
      <c r="H674" s="38" t="n">
        <v>199.136604946257</v>
      </c>
      <c r="I674" s="38" t="n">
        <v>203.783020305209</v>
      </c>
      <c r="J674" s="38" t="n">
        <v>225.240221305304</v>
      </c>
      <c r="K674" s="38" t="n">
        <v>261.102463098612</v>
      </c>
      <c r="L674" s="38" t="n">
        <v>105.007128382842</v>
      </c>
      <c r="M674" s="38" t="n">
        <v>109.721488537682</v>
      </c>
      <c r="N674" s="38" t="n">
        <v>134.206306119922</v>
      </c>
      <c r="O674" s="38" t="n">
        <v>76.029911212542</v>
      </c>
      <c r="P674" s="37" t="n">
        <v>0</v>
      </c>
      <c r="Q674" s="38" t="n">
        <v>0</v>
      </c>
      <c r="R674" s="38" t="n">
        <v>71.0904530015485</v>
      </c>
      <c r="S674" s="37" t="n">
        <v>0</v>
      </c>
    </row>
    <row r="675" customFormat="false" ht="15" hidden="false" customHeight="false" outlineLevel="0" collapsed="false">
      <c r="A675" s="37" t="n">
        <v>0</v>
      </c>
      <c r="B675" s="37" t="n">
        <v>5</v>
      </c>
      <c r="C675" s="37" t="n">
        <v>15</v>
      </c>
      <c r="D675" s="37" t="n">
        <v>5</v>
      </c>
      <c r="E675" s="37" t="n">
        <v>5</v>
      </c>
      <c r="F675" s="37" t="n">
        <v>0</v>
      </c>
      <c r="G675" s="37" t="s">
        <v>188</v>
      </c>
      <c r="H675" s="38" t="n">
        <v>199.061536529563</v>
      </c>
      <c r="I675" s="38" t="n">
        <v>203.4981072316</v>
      </c>
      <c r="J675" s="38" t="n">
        <v>225.845172693903</v>
      </c>
      <c r="K675" s="38" t="n">
        <v>260.806508748405</v>
      </c>
      <c r="L675" s="38" t="n">
        <v>59.5655200544676</v>
      </c>
      <c r="M675" s="38" t="n">
        <v>110.333262236782</v>
      </c>
      <c r="N675" s="38" t="n">
        <v>139.834151293929</v>
      </c>
      <c r="O675" s="38" t="n">
        <v>75.1484943761236</v>
      </c>
      <c r="P675" s="37" t="n">
        <v>0</v>
      </c>
      <c r="Q675" s="38" t="n">
        <v>0</v>
      </c>
      <c r="R675" s="38" t="n">
        <v>72</v>
      </c>
      <c r="S675" s="37" t="n">
        <v>0</v>
      </c>
    </row>
    <row r="676" customFormat="false" ht="15" hidden="false" customHeight="false" outlineLevel="0" collapsed="false">
      <c r="A676" s="37" t="n">
        <v>0</v>
      </c>
      <c r="B676" s="37" t="n">
        <v>5</v>
      </c>
      <c r="C676" s="37" t="n">
        <v>15</v>
      </c>
      <c r="D676" s="37" t="n">
        <v>5</v>
      </c>
      <c r="E676" s="37" t="n">
        <v>5</v>
      </c>
      <c r="F676" s="37" t="n">
        <v>0</v>
      </c>
      <c r="G676" s="37" t="s">
        <v>192</v>
      </c>
      <c r="H676" s="38" t="n">
        <v>199.061536529563</v>
      </c>
      <c r="I676" s="38" t="n">
        <v>203.487716995595</v>
      </c>
      <c r="J676" s="38" t="n">
        <v>236.517509573641</v>
      </c>
      <c r="K676" s="38" t="n">
        <v>267.78348168041</v>
      </c>
      <c r="L676" s="38" t="n">
        <v>58.3609988954229</v>
      </c>
      <c r="M676" s="38" t="n">
        <v>109.269077463442</v>
      </c>
      <c r="N676" s="38" t="n">
        <v>150.252820463657</v>
      </c>
      <c r="O676" s="38" t="n">
        <v>79.2870502031265</v>
      </c>
      <c r="P676" s="37" t="n">
        <v>0</v>
      </c>
      <c r="Q676" s="38" t="n">
        <v>0</v>
      </c>
      <c r="R676" s="38" t="n">
        <v>72</v>
      </c>
      <c r="S676" s="37" t="n">
        <v>1</v>
      </c>
    </row>
    <row r="677" customFormat="false" ht="15" hidden="false" customHeight="false" outlineLevel="0" collapsed="false">
      <c r="A677" s="37" t="n">
        <v>0</v>
      </c>
      <c r="B677" s="37" t="n">
        <v>5</v>
      </c>
      <c r="C677" s="37" t="n">
        <v>15</v>
      </c>
      <c r="D677" s="37" t="n">
        <v>5</v>
      </c>
      <c r="E677" s="37" t="n">
        <v>5</v>
      </c>
      <c r="F677" s="37" t="n">
        <v>0</v>
      </c>
      <c r="G677" s="37" t="s">
        <v>195</v>
      </c>
      <c r="H677" s="38" t="n">
        <v>199.061536529563</v>
      </c>
      <c r="I677" s="38" t="n">
        <v>203.68078762169</v>
      </c>
      <c r="J677" s="38" t="n">
        <v>227.354012227683</v>
      </c>
      <c r="K677" s="38" t="n">
        <v>261.032150551014</v>
      </c>
      <c r="L677" s="38" t="n">
        <v>63.8905367101191</v>
      </c>
      <c r="M677" s="38" t="n">
        <v>112.168088913937</v>
      </c>
      <c r="N677" s="38" t="n">
        <v>143.879740110874</v>
      </c>
      <c r="O677" s="38" t="n">
        <v>76.9228634412628</v>
      </c>
      <c r="P677" s="37" t="n">
        <v>0</v>
      </c>
      <c r="Q677" s="38" t="n">
        <v>0</v>
      </c>
      <c r="R677" s="38" t="n">
        <v>70.5325158477316</v>
      </c>
      <c r="S677" s="37" t="n">
        <v>0</v>
      </c>
    </row>
    <row r="678" customFormat="false" ht="15" hidden="false" customHeight="false" outlineLevel="0" collapsed="false">
      <c r="A678" s="37" t="n">
        <v>0</v>
      </c>
      <c r="B678" s="37" t="n">
        <v>5</v>
      </c>
      <c r="C678" s="37" t="n">
        <v>15</v>
      </c>
      <c r="D678" s="37" t="n">
        <v>5</v>
      </c>
      <c r="E678" s="37" t="n">
        <v>5</v>
      </c>
      <c r="F678" s="37" t="n">
        <v>0</v>
      </c>
      <c r="G678" s="37" t="s">
        <v>197</v>
      </c>
      <c r="H678" s="38" t="n">
        <v>199.061536529563</v>
      </c>
      <c r="I678" s="38" t="n">
        <v>203.481256087096</v>
      </c>
      <c r="J678" s="38" t="n">
        <v>226.767658147</v>
      </c>
      <c r="K678" s="38" t="n">
        <v>261.85304360612</v>
      </c>
      <c r="L678" s="38" t="n">
        <v>60.1527998089115</v>
      </c>
      <c r="M678" s="38" t="n">
        <v>109.968185132947</v>
      </c>
      <c r="N678" s="38" t="n">
        <v>137.511995561073</v>
      </c>
      <c r="O678" s="38" t="n">
        <v>76.6812671226081</v>
      </c>
      <c r="P678" s="37" t="n">
        <v>0</v>
      </c>
      <c r="Q678" s="38" t="n">
        <v>0</v>
      </c>
      <c r="R678" s="38" t="n">
        <v>72</v>
      </c>
      <c r="S678" s="37" t="n">
        <v>0</v>
      </c>
    </row>
    <row r="679" customFormat="false" ht="15" hidden="false" customHeight="false" outlineLevel="0" collapsed="false">
      <c r="A679" s="37" t="n">
        <v>0</v>
      </c>
      <c r="B679" s="37" t="n">
        <v>5</v>
      </c>
      <c r="C679" s="37" t="n">
        <v>15</v>
      </c>
      <c r="D679" s="37" t="n">
        <v>5</v>
      </c>
      <c r="E679" s="37" t="n">
        <v>5</v>
      </c>
      <c r="F679" s="37" t="n">
        <v>0</v>
      </c>
      <c r="G679" s="37" t="s">
        <v>196</v>
      </c>
      <c r="H679" s="38" t="n">
        <v>199.061536529563</v>
      </c>
      <c r="I679" s="38" t="n">
        <v>203.482610282297</v>
      </c>
      <c r="J679" s="38" t="n">
        <v>226.604516709605</v>
      </c>
      <c r="K679" s="38" t="n">
        <v>261.715263610119</v>
      </c>
      <c r="L679" s="38" t="n">
        <v>65.1641717982272</v>
      </c>
      <c r="M679" s="38" t="n">
        <v>110.460876660834</v>
      </c>
      <c r="N679" s="38" t="n">
        <v>140.54084317319</v>
      </c>
      <c r="O679" s="38" t="n">
        <v>76.2353154848636</v>
      </c>
      <c r="P679" s="37" t="n">
        <v>0</v>
      </c>
      <c r="Q679" s="38" t="n">
        <v>0</v>
      </c>
      <c r="R679" s="38" t="n">
        <v>70.9810712984792</v>
      </c>
      <c r="S679" s="37" t="n">
        <v>0</v>
      </c>
    </row>
    <row r="680" customFormat="false" ht="15" hidden="false" customHeight="false" outlineLevel="0" collapsed="false">
      <c r="A680" s="37" t="n">
        <v>0</v>
      </c>
      <c r="B680" s="37" t="n">
        <v>5</v>
      </c>
      <c r="C680" s="37" t="n">
        <v>15</v>
      </c>
      <c r="D680" s="37" t="n">
        <v>10</v>
      </c>
      <c r="E680" s="37" t="n">
        <v>0</v>
      </c>
      <c r="F680" s="37" t="n">
        <v>0</v>
      </c>
      <c r="G680" s="37" t="s">
        <v>188</v>
      </c>
      <c r="H680" s="38" t="n">
        <v>199.356777429011</v>
      </c>
      <c r="I680" s="38" t="n">
        <v>205.210063982455</v>
      </c>
      <c r="J680" s="38" t="n">
        <v>229.911976715802</v>
      </c>
      <c r="K680" s="38" t="n">
        <v>264.65051902406</v>
      </c>
      <c r="L680" s="38" t="n">
        <v>63.7549460137483</v>
      </c>
      <c r="M680" s="38" t="n">
        <v>111.962253859068</v>
      </c>
      <c r="N680" s="38" t="n">
        <v>139.257791829452</v>
      </c>
      <c r="O680" s="38" t="n">
        <v>76.9748232169834</v>
      </c>
      <c r="P680" s="37" t="n">
        <v>0</v>
      </c>
      <c r="Q680" s="38" t="n">
        <v>0</v>
      </c>
      <c r="R680" s="38" t="n">
        <v>72</v>
      </c>
      <c r="S680" s="37" t="n">
        <v>0</v>
      </c>
    </row>
    <row r="681" customFormat="false" ht="15" hidden="false" customHeight="false" outlineLevel="0" collapsed="false">
      <c r="A681" s="37" t="n">
        <v>0</v>
      </c>
      <c r="B681" s="37" t="n">
        <v>5</v>
      </c>
      <c r="C681" s="37" t="n">
        <v>15</v>
      </c>
      <c r="D681" s="37" t="n">
        <v>10</v>
      </c>
      <c r="E681" s="37" t="n">
        <v>0</v>
      </c>
      <c r="F681" s="37" t="n">
        <v>0</v>
      </c>
      <c r="G681" s="37" t="s">
        <v>192</v>
      </c>
      <c r="H681" s="38" t="n">
        <v>199.356777429011</v>
      </c>
      <c r="I681" s="38" t="n">
        <v>205.192055304922</v>
      </c>
      <c r="J681" s="38" t="n">
        <v>240.471821761952</v>
      </c>
      <c r="K681" s="38" t="n">
        <v>271.40820340437</v>
      </c>
      <c r="L681" s="38" t="n">
        <v>62.7364275285276</v>
      </c>
      <c r="M681" s="38" t="n">
        <v>110.962635453174</v>
      </c>
      <c r="N681" s="38" t="n">
        <v>149.783233461505</v>
      </c>
      <c r="O681" s="38" t="n">
        <v>80.9925756754168</v>
      </c>
      <c r="P681" s="37" t="n">
        <v>0</v>
      </c>
      <c r="Q681" s="38" t="n">
        <v>0</v>
      </c>
      <c r="R681" s="38" t="n">
        <v>72</v>
      </c>
      <c r="S681" s="37" t="n">
        <v>1</v>
      </c>
    </row>
    <row r="682" customFormat="false" ht="15" hidden="false" customHeight="false" outlineLevel="0" collapsed="false">
      <c r="A682" s="37" t="n">
        <v>0</v>
      </c>
      <c r="B682" s="37" t="n">
        <v>5</v>
      </c>
      <c r="C682" s="37" t="n">
        <v>15</v>
      </c>
      <c r="D682" s="37" t="n">
        <v>10</v>
      </c>
      <c r="E682" s="37" t="n">
        <v>0</v>
      </c>
      <c r="F682" s="37" t="n">
        <v>0</v>
      </c>
      <c r="G682" s="37" t="s">
        <v>195</v>
      </c>
      <c r="H682" s="38" t="n">
        <v>199.356777429011</v>
      </c>
      <c r="I682" s="38" t="n">
        <v>205.520383694948</v>
      </c>
      <c r="J682" s="38" t="n">
        <v>232.932853478561</v>
      </c>
      <c r="K682" s="38" t="n">
        <v>269.913390502529</v>
      </c>
      <c r="L682" s="38" t="n">
        <v>76.6633905025289</v>
      </c>
      <c r="M682" s="38" t="n">
        <v>115.28769334881</v>
      </c>
      <c r="N682" s="38" t="n">
        <v>149.224297490567</v>
      </c>
      <c r="O682" s="38" t="n">
        <v>80.3823293298656</v>
      </c>
      <c r="P682" s="37" t="n">
        <v>0</v>
      </c>
      <c r="Q682" s="38" t="n">
        <v>0</v>
      </c>
      <c r="R682" s="38" t="n">
        <v>67.6975279047112</v>
      </c>
      <c r="S682" s="37" t="n">
        <v>0</v>
      </c>
    </row>
    <row r="683" customFormat="false" ht="15" hidden="false" customHeight="false" outlineLevel="0" collapsed="false">
      <c r="A683" s="37" t="n">
        <v>0</v>
      </c>
      <c r="B683" s="37" t="n">
        <v>5</v>
      </c>
      <c r="C683" s="37" t="n">
        <v>15</v>
      </c>
      <c r="D683" s="37" t="n">
        <v>10</v>
      </c>
      <c r="E683" s="37" t="n">
        <v>0</v>
      </c>
      <c r="F683" s="37" t="n">
        <v>0</v>
      </c>
      <c r="G683" s="37" t="s">
        <v>197</v>
      </c>
      <c r="H683" s="38" t="n">
        <v>199.356777429011</v>
      </c>
      <c r="I683" s="38" t="n">
        <v>205.171669774502</v>
      </c>
      <c r="J683" s="38" t="n">
        <v>230.064804616757</v>
      </c>
      <c r="K683" s="38" t="n">
        <v>264.52115068385</v>
      </c>
      <c r="L683" s="38" t="n">
        <v>62.5633133026505</v>
      </c>
      <c r="M683" s="38" t="n">
        <v>108.275788583486</v>
      </c>
      <c r="N683" s="38" t="n">
        <v>128.210829150459</v>
      </c>
      <c r="O683" s="38" t="n">
        <v>74.5699583109047</v>
      </c>
      <c r="P683" s="37" t="n">
        <v>0</v>
      </c>
      <c r="Q683" s="38" t="n">
        <v>0</v>
      </c>
      <c r="R683" s="38" t="n">
        <v>72</v>
      </c>
      <c r="S683" s="37" t="n">
        <v>0</v>
      </c>
    </row>
    <row r="684" customFormat="false" ht="15" hidden="false" customHeight="false" outlineLevel="0" collapsed="false">
      <c r="A684" s="37" t="n">
        <v>0</v>
      </c>
      <c r="B684" s="37" t="n">
        <v>5</v>
      </c>
      <c r="C684" s="37" t="n">
        <v>15</v>
      </c>
      <c r="D684" s="37" t="n">
        <v>10</v>
      </c>
      <c r="E684" s="37" t="n">
        <v>0</v>
      </c>
      <c r="F684" s="37" t="n">
        <v>0</v>
      </c>
      <c r="G684" s="37" t="s">
        <v>196</v>
      </c>
      <c r="H684" s="38" t="n">
        <v>199.356777429011</v>
      </c>
      <c r="I684" s="38" t="n">
        <v>205.182192556081</v>
      </c>
      <c r="J684" s="38" t="n">
        <v>222.872780536798</v>
      </c>
      <c r="K684" s="38" t="n">
        <v>266.688814603563</v>
      </c>
      <c r="L684" s="38" t="n">
        <v>73.1332590480073</v>
      </c>
      <c r="M684" s="38" t="n">
        <v>111.829546637453</v>
      </c>
      <c r="N684" s="38" t="n">
        <v>138.04811238949</v>
      </c>
      <c r="O684" s="38" t="n">
        <v>75.5637880071058</v>
      </c>
      <c r="P684" s="37" t="n">
        <v>0</v>
      </c>
      <c r="Q684" s="38" t="n">
        <v>0</v>
      </c>
      <c r="R684" s="38" t="n">
        <v>70.604</v>
      </c>
      <c r="S684" s="37" t="n">
        <v>0</v>
      </c>
    </row>
    <row r="685" customFormat="false" ht="15" hidden="false" customHeight="false" outlineLevel="0" collapsed="false">
      <c r="A685" s="37" t="n">
        <v>0</v>
      </c>
      <c r="B685" s="37" t="n">
        <v>5</v>
      </c>
      <c r="C685" s="37" t="n">
        <v>20</v>
      </c>
      <c r="D685" s="37" t="n">
        <v>0</v>
      </c>
      <c r="E685" s="37" t="n">
        <v>0</v>
      </c>
      <c r="F685" s="37" t="n">
        <v>5</v>
      </c>
      <c r="G685" s="37" t="s">
        <v>188</v>
      </c>
      <c r="H685" s="38" t="n">
        <v>199.204000829615</v>
      </c>
      <c r="I685" s="38" t="n">
        <v>203.585199250234</v>
      </c>
      <c r="J685" s="38" t="n">
        <v>219.076584765263</v>
      </c>
      <c r="K685" s="38" t="n">
        <v>258.427833770958</v>
      </c>
      <c r="L685" s="38" t="n">
        <v>96.4412517351868</v>
      </c>
      <c r="M685" s="38" t="n">
        <v>110.920394641088</v>
      </c>
      <c r="N685" s="38" t="n">
        <v>129.236998608533</v>
      </c>
      <c r="O685" s="38" t="n">
        <v>70.7602699287703</v>
      </c>
      <c r="P685" s="37" t="n">
        <v>0</v>
      </c>
      <c r="Q685" s="38" t="n">
        <v>0</v>
      </c>
      <c r="R685" s="38" t="n">
        <v>70.5</v>
      </c>
      <c r="S685" s="37" t="n">
        <v>0</v>
      </c>
    </row>
    <row r="686" customFormat="false" ht="15" hidden="false" customHeight="false" outlineLevel="0" collapsed="false">
      <c r="A686" s="37" t="n">
        <v>0</v>
      </c>
      <c r="B686" s="37" t="n">
        <v>5</v>
      </c>
      <c r="C686" s="37" t="n">
        <v>20</v>
      </c>
      <c r="D686" s="37" t="n">
        <v>0</v>
      </c>
      <c r="E686" s="37" t="n">
        <v>0</v>
      </c>
      <c r="F686" s="37" t="n">
        <v>5</v>
      </c>
      <c r="G686" s="37" t="s">
        <v>192</v>
      </c>
      <c r="H686" s="38" t="n">
        <v>199.204000829615</v>
      </c>
      <c r="I686" s="38" t="n">
        <v>203.570481481868</v>
      </c>
      <c r="J686" s="38" t="n">
        <v>229.862179327399</v>
      </c>
      <c r="K686" s="38" t="n">
        <v>265.530404039708</v>
      </c>
      <c r="L686" s="38" t="n">
        <v>95.4065161487006</v>
      </c>
      <c r="M686" s="38" t="n">
        <v>109.949882976975</v>
      </c>
      <c r="N686" s="38" t="n">
        <v>140.117047311691</v>
      </c>
      <c r="O686" s="38" t="n">
        <v>75.0518872074261</v>
      </c>
      <c r="P686" s="37" t="n">
        <v>0</v>
      </c>
      <c r="Q686" s="38" t="n">
        <v>0</v>
      </c>
      <c r="R686" s="38" t="n">
        <v>70.5</v>
      </c>
      <c r="S686" s="37" t="n">
        <v>1</v>
      </c>
    </row>
    <row r="687" customFormat="false" ht="15" hidden="false" customHeight="false" outlineLevel="0" collapsed="false">
      <c r="A687" s="37" t="n">
        <v>0</v>
      </c>
      <c r="B687" s="37" t="n">
        <v>5</v>
      </c>
      <c r="C687" s="37" t="n">
        <v>20</v>
      </c>
      <c r="D687" s="37" t="n">
        <v>0</v>
      </c>
      <c r="E687" s="37" t="n">
        <v>0</v>
      </c>
      <c r="F687" s="37" t="n">
        <v>5</v>
      </c>
      <c r="G687" s="37" t="s">
        <v>195</v>
      </c>
      <c r="H687" s="38" t="n">
        <v>199.204000829615</v>
      </c>
      <c r="I687" s="38" t="n">
        <v>203.635953549826</v>
      </c>
      <c r="J687" s="38" t="n">
        <v>217.170589322101</v>
      </c>
      <c r="K687" s="38" t="n">
        <v>252.958548085849</v>
      </c>
      <c r="L687" s="38" t="n">
        <v>94.5415742690364</v>
      </c>
      <c r="M687" s="38" t="n">
        <v>110.982239753443</v>
      </c>
      <c r="N687" s="38" t="n">
        <v>124.940438094961</v>
      </c>
      <c r="O687" s="38" t="n">
        <v>69.0144556471442</v>
      </c>
      <c r="P687" s="37" t="n">
        <v>0</v>
      </c>
      <c r="Q687" s="38" t="n">
        <v>0</v>
      </c>
      <c r="R687" s="38" t="n">
        <v>68.6499078549561</v>
      </c>
      <c r="S687" s="37" t="n">
        <v>0</v>
      </c>
    </row>
    <row r="688" customFormat="false" ht="15" hidden="false" customHeight="false" outlineLevel="0" collapsed="false">
      <c r="A688" s="37" t="n">
        <v>0</v>
      </c>
      <c r="B688" s="37" t="n">
        <v>5</v>
      </c>
      <c r="C688" s="37" t="n">
        <v>20</v>
      </c>
      <c r="D688" s="37" t="n">
        <v>0</v>
      </c>
      <c r="E688" s="37" t="n">
        <v>0</v>
      </c>
      <c r="F688" s="37" t="n">
        <v>5</v>
      </c>
      <c r="G688" s="37" t="s">
        <v>197</v>
      </c>
      <c r="H688" s="38" t="n">
        <v>199.204000829615</v>
      </c>
      <c r="I688" s="38" t="n">
        <v>203.554144419699</v>
      </c>
      <c r="J688" s="38" t="n">
        <v>219.591121446293</v>
      </c>
      <c r="K688" s="38" t="n">
        <v>258.772273621462</v>
      </c>
      <c r="L688" s="38" t="n">
        <v>96.4305323413372</v>
      </c>
      <c r="M688" s="38" t="n">
        <v>105.924282789015</v>
      </c>
      <c r="N688" s="38" t="n">
        <v>118.504811206195</v>
      </c>
      <c r="O688" s="38" t="n">
        <v>68.41217145417</v>
      </c>
      <c r="P688" s="37" t="n">
        <v>0</v>
      </c>
      <c r="Q688" s="38" t="n">
        <v>0</v>
      </c>
      <c r="R688" s="38" t="n">
        <v>70.5</v>
      </c>
      <c r="S688" s="37" t="n">
        <v>0</v>
      </c>
    </row>
    <row r="689" customFormat="false" ht="15" hidden="false" customHeight="false" outlineLevel="0" collapsed="false">
      <c r="A689" s="37" t="n">
        <v>0</v>
      </c>
      <c r="B689" s="37" t="n">
        <v>5</v>
      </c>
      <c r="C689" s="37" t="n">
        <v>20</v>
      </c>
      <c r="D689" s="37" t="n">
        <v>0</v>
      </c>
      <c r="E689" s="37" t="n">
        <v>0</v>
      </c>
      <c r="F689" s="37" t="n">
        <v>5</v>
      </c>
      <c r="G689" s="37" t="s">
        <v>196</v>
      </c>
      <c r="H689" s="38" t="n">
        <v>199.204000829615</v>
      </c>
      <c r="I689" s="38" t="n">
        <v>203.561217812963</v>
      </c>
      <c r="J689" s="38" t="n">
        <v>220.03102849052</v>
      </c>
      <c r="K689" s="38" t="n">
        <v>259.489934240282</v>
      </c>
      <c r="L689" s="38" t="n">
        <v>103.238271708217</v>
      </c>
      <c r="M689" s="38" t="n">
        <v>108.944947132235</v>
      </c>
      <c r="N689" s="38" t="n">
        <v>127.556850512126</v>
      </c>
      <c r="O689" s="38" t="n">
        <v>71.2185795600412</v>
      </c>
      <c r="P689" s="37" t="n">
        <v>0</v>
      </c>
      <c r="Q689" s="38" t="n">
        <v>0</v>
      </c>
      <c r="R689" s="38" t="n">
        <v>69.5529343256378</v>
      </c>
      <c r="S689" s="37" t="n">
        <v>0</v>
      </c>
    </row>
    <row r="690" customFormat="false" ht="15" hidden="false" customHeight="false" outlineLevel="0" collapsed="false">
      <c r="A690" s="37" t="n">
        <v>0</v>
      </c>
      <c r="B690" s="37" t="n">
        <v>5</v>
      </c>
      <c r="C690" s="37" t="n">
        <v>20</v>
      </c>
      <c r="D690" s="37" t="n">
        <v>0</v>
      </c>
      <c r="E690" s="37" t="n">
        <v>5</v>
      </c>
      <c r="F690" s="37" t="n">
        <v>0</v>
      </c>
      <c r="G690" s="37" t="s">
        <v>188</v>
      </c>
      <c r="H690" s="38" t="n">
        <v>199.142365787154</v>
      </c>
      <c r="I690" s="38" t="n">
        <v>203.358509812026</v>
      </c>
      <c r="J690" s="38" t="n">
        <v>220.699905517631</v>
      </c>
      <c r="K690" s="38" t="n">
        <v>259.626818568055</v>
      </c>
      <c r="L690" s="38" t="n">
        <v>57.8155614948006</v>
      </c>
      <c r="M690" s="38" t="n">
        <v>111.040370832786</v>
      </c>
      <c r="N690" s="38" t="n">
        <v>134.519238822391</v>
      </c>
      <c r="O690" s="38" t="n">
        <v>70.3204692985846</v>
      </c>
      <c r="P690" s="37" t="n">
        <v>0</v>
      </c>
      <c r="Q690" s="38" t="n">
        <v>0</v>
      </c>
      <c r="R690" s="38" t="n">
        <v>70.5</v>
      </c>
      <c r="S690" s="37" t="n">
        <v>0</v>
      </c>
    </row>
    <row r="691" customFormat="false" ht="15" hidden="false" customHeight="false" outlineLevel="0" collapsed="false">
      <c r="A691" s="37" t="n">
        <v>0</v>
      </c>
      <c r="B691" s="37" t="n">
        <v>5</v>
      </c>
      <c r="C691" s="37" t="n">
        <v>20</v>
      </c>
      <c r="D691" s="37" t="n">
        <v>0</v>
      </c>
      <c r="E691" s="37" t="n">
        <v>5</v>
      </c>
      <c r="F691" s="37" t="n">
        <v>0</v>
      </c>
      <c r="G691" s="37" t="s">
        <v>192</v>
      </c>
      <c r="H691" s="38" t="n">
        <v>199.142365787154</v>
      </c>
      <c r="I691" s="38" t="n">
        <v>203.345819015451</v>
      </c>
      <c r="J691" s="38" t="n">
        <v>231.394756541587</v>
      </c>
      <c r="K691" s="38" t="n">
        <v>266.604851981179</v>
      </c>
      <c r="L691" s="38" t="n">
        <v>56.4027661601203</v>
      </c>
      <c r="M691" s="38" t="n">
        <v>109.975564064818</v>
      </c>
      <c r="N691" s="38" t="n">
        <v>144.915308862685</v>
      </c>
      <c r="O691" s="38" t="n">
        <v>74.5365500810912</v>
      </c>
      <c r="P691" s="37" t="n">
        <v>0</v>
      </c>
      <c r="Q691" s="38" t="n">
        <v>0</v>
      </c>
      <c r="R691" s="38" t="n">
        <v>70.5</v>
      </c>
      <c r="S691" s="37" t="n">
        <v>1</v>
      </c>
    </row>
    <row r="692" customFormat="false" ht="15" hidden="false" customHeight="false" outlineLevel="0" collapsed="false">
      <c r="A692" s="37" t="n">
        <v>0</v>
      </c>
      <c r="B692" s="37" t="n">
        <v>5</v>
      </c>
      <c r="C692" s="37" t="n">
        <v>20</v>
      </c>
      <c r="D692" s="37" t="n">
        <v>0</v>
      </c>
      <c r="E692" s="37" t="n">
        <v>5</v>
      </c>
      <c r="F692" s="37" t="n">
        <v>0</v>
      </c>
      <c r="G692" s="37" t="s">
        <v>195</v>
      </c>
      <c r="H692" s="38" t="n">
        <v>199.142365787154</v>
      </c>
      <c r="I692" s="38" t="n">
        <v>203.416090455393</v>
      </c>
      <c r="J692" s="38" t="n">
        <v>218.662914758977</v>
      </c>
      <c r="K692" s="38" t="n">
        <v>253.979532872067</v>
      </c>
      <c r="L692" s="38" t="n">
        <v>55.4828957350905</v>
      </c>
      <c r="M692" s="38" t="n">
        <v>111.11176064679</v>
      </c>
      <c r="N692" s="38" t="n">
        <v>130.094418874948</v>
      </c>
      <c r="O692" s="38" t="n">
        <v>68.7775727984745</v>
      </c>
      <c r="P692" s="37" t="n">
        <v>0</v>
      </c>
      <c r="Q692" s="38" t="n">
        <v>0</v>
      </c>
      <c r="R692" s="38" t="n">
        <v>68.6260088589069</v>
      </c>
      <c r="S692" s="37" t="n">
        <v>0</v>
      </c>
    </row>
    <row r="693" customFormat="false" ht="15" hidden="false" customHeight="false" outlineLevel="0" collapsed="false">
      <c r="A693" s="37" t="n">
        <v>0</v>
      </c>
      <c r="B693" s="37" t="n">
        <v>5</v>
      </c>
      <c r="C693" s="37" t="n">
        <v>20</v>
      </c>
      <c r="D693" s="37" t="n">
        <v>0</v>
      </c>
      <c r="E693" s="37" t="n">
        <v>5</v>
      </c>
      <c r="F693" s="37" t="n">
        <v>0</v>
      </c>
      <c r="G693" s="37" t="s">
        <v>197</v>
      </c>
      <c r="H693" s="38" t="n">
        <v>199.142365787154</v>
      </c>
      <c r="I693" s="38" t="n">
        <v>203.336469072382</v>
      </c>
      <c r="J693" s="38" t="n">
        <v>221.570480787847</v>
      </c>
      <c r="K693" s="38" t="n">
        <v>260.488532192904</v>
      </c>
      <c r="L693" s="38" t="n">
        <v>58.5906408479303</v>
      </c>
      <c r="M693" s="38" t="n">
        <v>109.433478140066</v>
      </c>
      <c r="N693" s="38" t="n">
        <v>131.728277665856</v>
      </c>
      <c r="O693" s="38" t="n">
        <v>71.6676628266537</v>
      </c>
      <c r="P693" s="37" t="n">
        <v>0</v>
      </c>
      <c r="Q693" s="38" t="n">
        <v>0</v>
      </c>
      <c r="R693" s="38" t="n">
        <v>70.5</v>
      </c>
      <c r="S693" s="37" t="n">
        <v>0</v>
      </c>
    </row>
    <row r="694" customFormat="false" ht="15" hidden="false" customHeight="false" outlineLevel="0" collapsed="false">
      <c r="A694" s="37" t="n">
        <v>0</v>
      </c>
      <c r="B694" s="37" t="n">
        <v>5</v>
      </c>
      <c r="C694" s="37" t="n">
        <v>20</v>
      </c>
      <c r="D694" s="37" t="n">
        <v>0</v>
      </c>
      <c r="E694" s="37" t="n">
        <v>5</v>
      </c>
      <c r="F694" s="37" t="n">
        <v>0</v>
      </c>
      <c r="G694" s="37" t="s">
        <v>196</v>
      </c>
      <c r="H694" s="38" t="n">
        <v>199.142365787154</v>
      </c>
      <c r="I694" s="38" t="n">
        <v>203.337756350305</v>
      </c>
      <c r="J694" s="38" t="n">
        <v>221.335552228615</v>
      </c>
      <c r="K694" s="38" t="n">
        <v>260.311854324136</v>
      </c>
      <c r="L694" s="38" t="n">
        <v>63.6231539315524</v>
      </c>
      <c r="M694" s="38" t="n">
        <v>109.837548362186</v>
      </c>
      <c r="N694" s="38" t="n">
        <v>133.689104885376</v>
      </c>
      <c r="O694" s="38" t="n">
        <v>71.365856063209</v>
      </c>
      <c r="P694" s="37" t="n">
        <v>0</v>
      </c>
      <c r="Q694" s="38" t="n">
        <v>0</v>
      </c>
      <c r="R694" s="38" t="n">
        <v>69.4480452391133</v>
      </c>
      <c r="S694" s="37" t="n">
        <v>0</v>
      </c>
    </row>
    <row r="695" customFormat="false" ht="15" hidden="false" customHeight="false" outlineLevel="0" collapsed="false">
      <c r="A695" s="37" t="n">
        <v>0</v>
      </c>
      <c r="B695" s="37" t="n">
        <v>5</v>
      </c>
      <c r="C695" s="37" t="n">
        <v>20</v>
      </c>
      <c r="D695" s="37" t="n">
        <v>5</v>
      </c>
      <c r="E695" s="37" t="n">
        <v>0</v>
      </c>
      <c r="F695" s="37" t="n">
        <v>0</v>
      </c>
      <c r="G695" s="37" t="s">
        <v>188</v>
      </c>
      <c r="H695" s="38" t="n">
        <v>199.418893124671</v>
      </c>
      <c r="I695" s="38" t="n">
        <v>205.397101282245</v>
      </c>
      <c r="J695" s="38" t="n">
        <v>227.400241018688</v>
      </c>
      <c r="K695" s="38" t="n">
        <v>262.346048683987</v>
      </c>
      <c r="L695" s="38" t="n">
        <v>61.0826975431857</v>
      </c>
      <c r="M695" s="38" t="n">
        <v>113.221002684107</v>
      </c>
      <c r="N695" s="38" t="n">
        <v>135.944101785541</v>
      </c>
      <c r="O695" s="38" t="n">
        <v>74.930260584937</v>
      </c>
      <c r="P695" s="37" t="n">
        <v>0</v>
      </c>
      <c r="Q695" s="38" t="n">
        <v>0</v>
      </c>
      <c r="R695" s="38" t="n">
        <v>72</v>
      </c>
      <c r="S695" s="37" t="n">
        <v>0</v>
      </c>
    </row>
    <row r="696" customFormat="false" ht="15" hidden="false" customHeight="false" outlineLevel="0" collapsed="false">
      <c r="A696" s="37" t="n">
        <v>0</v>
      </c>
      <c r="B696" s="37" t="n">
        <v>5</v>
      </c>
      <c r="C696" s="37" t="n">
        <v>20</v>
      </c>
      <c r="D696" s="37" t="n">
        <v>5</v>
      </c>
      <c r="E696" s="37" t="n">
        <v>0</v>
      </c>
      <c r="F696" s="37" t="n">
        <v>0</v>
      </c>
      <c r="G696" s="37" t="s">
        <v>192</v>
      </c>
      <c r="H696" s="38" t="n">
        <v>199.418893124671</v>
      </c>
      <c r="I696" s="38" t="n">
        <v>205.376569575371</v>
      </c>
      <c r="J696" s="38" t="n">
        <v>237.943991336976</v>
      </c>
      <c r="K696" s="38" t="n">
        <v>269.06956378013</v>
      </c>
      <c r="L696" s="38" t="n">
        <v>59.8757552633551</v>
      </c>
      <c r="M696" s="38" t="n">
        <v>112.172884775771</v>
      </c>
      <c r="N696" s="38" t="n">
        <v>146.344901912759</v>
      </c>
      <c r="O696" s="38" t="n">
        <v>78.9038246774791</v>
      </c>
      <c r="P696" s="37" t="n">
        <v>0</v>
      </c>
      <c r="Q696" s="38" t="n">
        <v>0</v>
      </c>
      <c r="R696" s="38" t="n">
        <v>72</v>
      </c>
      <c r="S696" s="37" t="n">
        <v>1</v>
      </c>
    </row>
    <row r="697" customFormat="false" ht="15" hidden="false" customHeight="false" outlineLevel="0" collapsed="false">
      <c r="A697" s="37" t="n">
        <v>0</v>
      </c>
      <c r="B697" s="37" t="n">
        <v>5</v>
      </c>
      <c r="C697" s="37" t="n">
        <v>20</v>
      </c>
      <c r="D697" s="37" t="n">
        <v>5</v>
      </c>
      <c r="E697" s="37" t="n">
        <v>0</v>
      </c>
      <c r="F697" s="37" t="n">
        <v>0</v>
      </c>
      <c r="G697" s="37" t="s">
        <v>195</v>
      </c>
      <c r="H697" s="38" t="n">
        <v>199.418893124671</v>
      </c>
      <c r="I697" s="38" t="n">
        <v>205.580991755514</v>
      </c>
      <c r="J697" s="38" t="n">
        <v>228.751140550965</v>
      </c>
      <c r="K697" s="38" t="n">
        <v>262.265130032677</v>
      </c>
      <c r="L697" s="38" t="n">
        <v>65.1711321441463</v>
      </c>
      <c r="M697" s="38" t="n">
        <v>115.06816269514</v>
      </c>
      <c r="N697" s="38" t="n">
        <v>139.828462245167</v>
      </c>
      <c r="O697" s="38" t="n">
        <v>76.5348099772681</v>
      </c>
      <c r="P697" s="37" t="n">
        <v>0</v>
      </c>
      <c r="Q697" s="38" t="n">
        <v>0</v>
      </c>
      <c r="R697" s="38" t="n">
        <v>70.5468006334409</v>
      </c>
      <c r="S697" s="37" t="n">
        <v>0</v>
      </c>
    </row>
    <row r="698" customFormat="false" ht="15" hidden="false" customHeight="false" outlineLevel="0" collapsed="false">
      <c r="A698" s="37" t="n">
        <v>0</v>
      </c>
      <c r="B698" s="37" t="n">
        <v>5</v>
      </c>
      <c r="C698" s="37" t="n">
        <v>20</v>
      </c>
      <c r="D698" s="37" t="n">
        <v>5</v>
      </c>
      <c r="E698" s="37" t="n">
        <v>0</v>
      </c>
      <c r="F698" s="37" t="n">
        <v>0</v>
      </c>
      <c r="G698" s="37" t="s">
        <v>197</v>
      </c>
      <c r="H698" s="38" t="n">
        <v>199.418893124671</v>
      </c>
      <c r="I698" s="38" t="n">
        <v>205.350674632214</v>
      </c>
      <c r="J698" s="38" t="n">
        <v>227.489962324411</v>
      </c>
      <c r="K698" s="38" t="n">
        <v>262.037026484588</v>
      </c>
      <c r="L698" s="38" t="n">
        <v>59.9294055428254</v>
      </c>
      <c r="M698" s="38" t="n">
        <v>108.397634637032</v>
      </c>
      <c r="N698" s="38" t="n">
        <v>124.741485148548</v>
      </c>
      <c r="O698" s="38" t="n">
        <v>72.3799418232783</v>
      </c>
      <c r="P698" s="37" t="n">
        <v>0</v>
      </c>
      <c r="Q698" s="38" t="n">
        <v>0</v>
      </c>
      <c r="R698" s="38" t="n">
        <v>72</v>
      </c>
      <c r="S698" s="37" t="n">
        <v>0</v>
      </c>
    </row>
    <row r="699" customFormat="false" ht="15" hidden="false" customHeight="false" outlineLevel="0" collapsed="false">
      <c r="A699" s="37" t="n">
        <v>0</v>
      </c>
      <c r="B699" s="37" t="n">
        <v>5</v>
      </c>
      <c r="C699" s="37" t="n">
        <v>20</v>
      </c>
      <c r="D699" s="37" t="n">
        <v>5</v>
      </c>
      <c r="E699" s="37" t="n">
        <v>0</v>
      </c>
      <c r="F699" s="37" t="n">
        <v>0</v>
      </c>
      <c r="G699" s="37" t="s">
        <v>196</v>
      </c>
      <c r="H699" s="38" t="n">
        <v>199.418893124671</v>
      </c>
      <c r="I699" s="38" t="n">
        <v>205.362263416242</v>
      </c>
      <c r="J699" s="38" t="n">
        <v>228.121143017056</v>
      </c>
      <c r="K699" s="38" t="n">
        <v>262.979417809028</v>
      </c>
      <c r="L699" s="38" t="n">
        <v>66.7759223142505</v>
      </c>
      <c r="M699" s="38" t="n">
        <v>111.909743520692</v>
      </c>
      <c r="N699" s="38" t="n">
        <v>135.248371959654</v>
      </c>
      <c r="O699" s="38" t="n">
        <v>74.9689066049534</v>
      </c>
      <c r="P699" s="37" t="n">
        <v>0</v>
      </c>
      <c r="Q699" s="38" t="n">
        <v>0</v>
      </c>
      <c r="R699" s="38" t="n">
        <v>71.0644944145868</v>
      </c>
      <c r="S699" s="37" t="n">
        <v>0</v>
      </c>
    </row>
    <row r="700" customFormat="false" ht="15" hidden="false" customHeight="false" outlineLevel="0" collapsed="false">
      <c r="A700" s="37" t="n">
        <v>0</v>
      </c>
      <c r="B700" s="37" t="n">
        <v>5</v>
      </c>
      <c r="C700" s="37" t="n">
        <v>25</v>
      </c>
      <c r="D700" s="37" t="n">
        <v>0</v>
      </c>
      <c r="E700" s="37" t="n">
        <v>0</v>
      </c>
      <c r="F700" s="37" t="n">
        <v>0</v>
      </c>
      <c r="G700" s="37" t="s">
        <v>188</v>
      </c>
      <c r="H700" s="38" t="n">
        <v>199.403113116506</v>
      </c>
      <c r="I700" s="38" t="n">
        <v>204.616211276809</v>
      </c>
      <c r="J700" s="38" t="n">
        <v>221.063308253886</v>
      </c>
      <c r="K700" s="38" t="n">
        <v>257.114138507676</v>
      </c>
      <c r="L700" s="38" t="n">
        <v>55.2345485803232</v>
      </c>
      <c r="M700" s="38" t="n">
        <v>112.52763098922</v>
      </c>
      <c r="N700" s="38" t="n">
        <v>129.663430867134</v>
      </c>
      <c r="O700" s="38" t="n">
        <v>69.6399369020694</v>
      </c>
      <c r="P700" s="37" t="n">
        <v>0</v>
      </c>
      <c r="Q700" s="38" t="n">
        <v>0</v>
      </c>
      <c r="R700" s="38" t="n">
        <v>70.5</v>
      </c>
      <c r="S700" s="37" t="n">
        <v>0</v>
      </c>
    </row>
    <row r="701" customFormat="false" ht="15" hidden="false" customHeight="false" outlineLevel="0" collapsed="false">
      <c r="A701" s="37" t="n">
        <v>0</v>
      </c>
      <c r="B701" s="37" t="n">
        <v>5</v>
      </c>
      <c r="C701" s="37" t="n">
        <v>25</v>
      </c>
      <c r="D701" s="37" t="n">
        <v>0</v>
      </c>
      <c r="E701" s="37" t="n">
        <v>0</v>
      </c>
      <c r="F701" s="37" t="n">
        <v>0</v>
      </c>
      <c r="G701" s="37" t="s">
        <v>192</v>
      </c>
      <c r="H701" s="38" t="n">
        <v>199.403113116506</v>
      </c>
      <c r="I701" s="38" t="n">
        <v>204.598358539083</v>
      </c>
      <c r="J701" s="38" t="n">
        <v>231.750919988787</v>
      </c>
      <c r="K701" s="38" t="n">
        <v>264.06481285416</v>
      </c>
      <c r="L701" s="38" t="n">
        <v>53.9964381446735</v>
      </c>
      <c r="M701" s="38" t="n">
        <v>111.475303739435</v>
      </c>
      <c r="N701" s="38" t="n">
        <v>140.215946884239</v>
      </c>
      <c r="O701" s="38" t="n">
        <v>73.7209995154668</v>
      </c>
      <c r="P701" s="37" t="n">
        <v>0</v>
      </c>
      <c r="Q701" s="38" t="n">
        <v>0</v>
      </c>
      <c r="R701" s="38" t="n">
        <v>70.5</v>
      </c>
      <c r="S701" s="37" t="n">
        <v>1</v>
      </c>
    </row>
    <row r="702" customFormat="false" ht="15" hidden="false" customHeight="false" outlineLevel="0" collapsed="false">
      <c r="A702" s="37" t="n">
        <v>0</v>
      </c>
      <c r="B702" s="37" t="n">
        <v>5</v>
      </c>
      <c r="C702" s="37" t="n">
        <v>25</v>
      </c>
      <c r="D702" s="37" t="n">
        <v>0</v>
      </c>
      <c r="E702" s="37" t="n">
        <v>0</v>
      </c>
      <c r="F702" s="37" t="n">
        <v>0</v>
      </c>
      <c r="G702" s="37" t="s">
        <v>195</v>
      </c>
      <c r="H702" s="38" t="n">
        <v>199.403113116506</v>
      </c>
      <c r="I702" s="38" t="n">
        <v>204.667029035079</v>
      </c>
      <c r="J702" s="38" t="n">
        <v>219.084304576187</v>
      </c>
      <c r="K702" s="38" t="n">
        <v>251.480099285228</v>
      </c>
      <c r="L702" s="38" t="n">
        <v>53.0115617622913</v>
      </c>
      <c r="M702" s="38" t="n">
        <v>112.58106101289</v>
      </c>
      <c r="N702" s="38" t="n">
        <v>125.32251613531</v>
      </c>
      <c r="O702" s="38" t="n">
        <v>67.8821094231092</v>
      </c>
      <c r="P702" s="37" t="n">
        <v>0</v>
      </c>
      <c r="Q702" s="38" t="n">
        <v>0</v>
      </c>
      <c r="R702" s="38" t="n">
        <v>68.6344387431191</v>
      </c>
      <c r="S702" s="37" t="n">
        <v>0</v>
      </c>
    </row>
    <row r="703" customFormat="false" ht="15" hidden="false" customHeight="false" outlineLevel="0" collapsed="false">
      <c r="A703" s="37" t="n">
        <v>0</v>
      </c>
      <c r="B703" s="37" t="n">
        <v>5</v>
      </c>
      <c r="C703" s="37" t="n">
        <v>25</v>
      </c>
      <c r="D703" s="37" t="n">
        <v>0</v>
      </c>
      <c r="E703" s="37" t="n">
        <v>0</v>
      </c>
      <c r="F703" s="37" t="n">
        <v>0</v>
      </c>
      <c r="G703" s="37" t="s">
        <v>197</v>
      </c>
      <c r="H703" s="38" t="n">
        <v>199.403113116506</v>
      </c>
      <c r="I703" s="38" t="n">
        <v>204.575128367888</v>
      </c>
      <c r="J703" s="38" t="n">
        <v>221.389681798834</v>
      </c>
      <c r="K703" s="38" t="n">
        <v>257.109373978689</v>
      </c>
      <c r="L703" s="38" t="n">
        <v>54.7959015594143</v>
      </c>
      <c r="M703" s="38" t="n">
        <v>106.819107407682</v>
      </c>
      <c r="N703" s="38" t="n">
        <v>118.684171024285</v>
      </c>
      <c r="O703" s="38" t="n">
        <v>67.2044966648256</v>
      </c>
      <c r="P703" s="37" t="n">
        <v>0</v>
      </c>
      <c r="Q703" s="38" t="n">
        <v>0</v>
      </c>
      <c r="R703" s="38" t="n">
        <v>70.5</v>
      </c>
      <c r="S703" s="37" t="n">
        <v>0</v>
      </c>
    </row>
    <row r="704" customFormat="false" ht="15" hidden="false" customHeight="false" outlineLevel="0" collapsed="false">
      <c r="A704" s="37" t="n">
        <v>0</v>
      </c>
      <c r="B704" s="37" t="n">
        <v>5</v>
      </c>
      <c r="C704" s="37" t="n">
        <v>25</v>
      </c>
      <c r="D704" s="37" t="n">
        <v>0</v>
      </c>
      <c r="E704" s="37" t="n">
        <v>0</v>
      </c>
      <c r="F704" s="37" t="n">
        <v>0</v>
      </c>
      <c r="G704" s="37" t="s">
        <v>196</v>
      </c>
      <c r="H704" s="38" t="n">
        <v>199.403113116506</v>
      </c>
      <c r="I704" s="38" t="n">
        <v>204.585930089954</v>
      </c>
      <c r="J704" s="38" t="n">
        <v>221.840186069576</v>
      </c>
      <c r="K704" s="38" t="n">
        <v>257.876149611728</v>
      </c>
      <c r="L704" s="38" t="n">
        <v>61.5205345578143</v>
      </c>
      <c r="M704" s="38" t="n">
        <v>110.092644262269</v>
      </c>
      <c r="N704" s="38" t="n">
        <v>127.672865546145</v>
      </c>
      <c r="O704" s="38" t="n">
        <v>69.9004310159868</v>
      </c>
      <c r="P704" s="37" t="n">
        <v>0</v>
      </c>
      <c r="Q704" s="38" t="n">
        <v>0</v>
      </c>
      <c r="R704" s="38" t="n">
        <v>69.527985720394</v>
      </c>
      <c r="S704" s="37" t="n">
        <v>0</v>
      </c>
    </row>
    <row r="705" customFormat="false" ht="15" hidden="false" customHeight="false" outlineLevel="0" collapsed="false">
      <c r="A705" s="37" t="n">
        <v>0</v>
      </c>
      <c r="B705" s="37" t="n">
        <v>10</v>
      </c>
      <c r="C705" s="37" t="n">
        <v>0</v>
      </c>
      <c r="D705" s="37" t="n">
        <v>0</v>
      </c>
      <c r="E705" s="37" t="n">
        <v>0</v>
      </c>
      <c r="F705" s="37" t="n">
        <v>20</v>
      </c>
      <c r="G705" s="37" t="s">
        <v>188</v>
      </c>
      <c r="H705" s="38" t="n">
        <v>198.236040811251</v>
      </c>
      <c r="I705" s="38" t="n">
        <v>194.814226585071</v>
      </c>
      <c r="J705" s="38" t="n">
        <v>180.676741311703</v>
      </c>
      <c r="K705" s="38" t="n">
        <v>189.962851762219</v>
      </c>
      <c r="L705" s="38" t="n">
        <v>155.825840570445</v>
      </c>
      <c r="M705" s="38" t="n">
        <v>90.5231995228852</v>
      </c>
      <c r="N705" s="38" t="n">
        <v>70.4862916128378</v>
      </c>
      <c r="O705" s="38" t="n">
        <v>50.8462560949225</v>
      </c>
      <c r="P705" s="37" t="n">
        <v>0</v>
      </c>
      <c r="Q705" s="38" t="n">
        <v>0</v>
      </c>
      <c r="R705" s="38" t="n">
        <v>70.5</v>
      </c>
      <c r="S705" s="37" t="n">
        <v>0</v>
      </c>
    </row>
    <row r="706" customFormat="false" ht="15" hidden="false" customHeight="false" outlineLevel="0" collapsed="false">
      <c r="A706" s="37" t="n">
        <v>0</v>
      </c>
      <c r="B706" s="37" t="n">
        <v>10</v>
      </c>
      <c r="C706" s="37" t="n">
        <v>0</v>
      </c>
      <c r="D706" s="37" t="n">
        <v>0</v>
      </c>
      <c r="E706" s="37" t="n">
        <v>0</v>
      </c>
      <c r="F706" s="37" t="n">
        <v>20</v>
      </c>
      <c r="G706" s="37" t="s">
        <v>192</v>
      </c>
      <c r="H706" s="38" t="n">
        <v>198.236040811251</v>
      </c>
      <c r="I706" s="38" t="n">
        <v>194.816210278034</v>
      </c>
      <c r="J706" s="38" t="n">
        <v>192.972697134697</v>
      </c>
      <c r="K706" s="38" t="n">
        <v>200.062148064218</v>
      </c>
      <c r="L706" s="38" t="n">
        <v>145.367901829553</v>
      </c>
      <c r="M706" s="38" t="n">
        <v>91.484772288925</v>
      </c>
      <c r="N706" s="38" t="n">
        <v>90.369918794177</v>
      </c>
      <c r="O706" s="38" t="n">
        <v>62.2988807095728</v>
      </c>
      <c r="P706" s="37" t="n">
        <v>0</v>
      </c>
      <c r="Q706" s="38" t="n">
        <v>0</v>
      </c>
      <c r="R706" s="38" t="n">
        <v>70.5</v>
      </c>
      <c r="S706" s="37" t="n">
        <v>1</v>
      </c>
    </row>
    <row r="707" customFormat="false" ht="15" hidden="false" customHeight="false" outlineLevel="0" collapsed="false">
      <c r="A707" s="37" t="n">
        <v>0</v>
      </c>
      <c r="B707" s="37" t="n">
        <v>10</v>
      </c>
      <c r="C707" s="37" t="n">
        <v>0</v>
      </c>
      <c r="D707" s="37" t="n">
        <v>0</v>
      </c>
      <c r="E707" s="37" t="n">
        <v>0</v>
      </c>
      <c r="F707" s="37" t="n">
        <v>20</v>
      </c>
      <c r="G707" s="37" t="s">
        <v>195</v>
      </c>
      <c r="H707" s="38" t="n">
        <v>198.236040811251</v>
      </c>
      <c r="I707" s="38" t="n">
        <v>194.815712512099</v>
      </c>
      <c r="J707" s="38" t="n">
        <v>180.54530453727</v>
      </c>
      <c r="K707" s="38" t="n">
        <v>186.100068959975</v>
      </c>
      <c r="L707" s="38" t="n">
        <v>158.319783245689</v>
      </c>
      <c r="M707" s="38" t="n">
        <v>90.5254330619797</v>
      </c>
      <c r="N707" s="38" t="n">
        <v>68.3527346732048</v>
      </c>
      <c r="O707" s="38" t="n">
        <v>50.0105076824542</v>
      </c>
      <c r="P707" s="37" t="n">
        <v>0</v>
      </c>
      <c r="Q707" s="38" t="n">
        <v>0</v>
      </c>
      <c r="R707" s="38" t="n">
        <v>68.4659142857143</v>
      </c>
      <c r="S707" s="37" t="n">
        <v>0</v>
      </c>
    </row>
    <row r="708" customFormat="false" ht="15" hidden="false" customHeight="false" outlineLevel="0" collapsed="false">
      <c r="A708" s="37" t="n">
        <v>0</v>
      </c>
      <c r="B708" s="37" t="n">
        <v>10</v>
      </c>
      <c r="C708" s="37" t="n">
        <v>0</v>
      </c>
      <c r="D708" s="37" t="n">
        <v>0</v>
      </c>
      <c r="E708" s="37" t="n">
        <v>0</v>
      </c>
      <c r="F708" s="37" t="n">
        <v>20</v>
      </c>
      <c r="G708" s="37" t="s">
        <v>197</v>
      </c>
      <c r="H708" s="38" t="n">
        <v>198.236040811251</v>
      </c>
      <c r="I708" s="38" t="n">
        <v>194.815786366306</v>
      </c>
      <c r="J708" s="38" t="n">
        <v>183.939533492209</v>
      </c>
      <c r="K708" s="38" t="n">
        <v>194.22557161445</v>
      </c>
      <c r="L708" s="38" t="n">
        <v>151.494675169463</v>
      </c>
      <c r="M708" s="38" t="n">
        <v>92.325700130448</v>
      </c>
      <c r="N708" s="38" t="n">
        <v>75.7040773718418</v>
      </c>
      <c r="O708" s="38" t="n">
        <v>55.6017292255813</v>
      </c>
      <c r="P708" s="37" t="n">
        <v>0</v>
      </c>
      <c r="Q708" s="38" t="n">
        <v>0</v>
      </c>
      <c r="R708" s="38" t="n">
        <v>70.5</v>
      </c>
      <c r="S708" s="37" t="n">
        <v>0</v>
      </c>
    </row>
    <row r="709" customFormat="false" ht="15" hidden="false" customHeight="false" outlineLevel="0" collapsed="false">
      <c r="A709" s="37" t="n">
        <v>0</v>
      </c>
      <c r="B709" s="37" t="n">
        <v>10</v>
      </c>
      <c r="C709" s="37" t="n">
        <v>0</v>
      </c>
      <c r="D709" s="37" t="n">
        <v>0</v>
      </c>
      <c r="E709" s="37" t="n">
        <v>0</v>
      </c>
      <c r="F709" s="37" t="n">
        <v>20</v>
      </c>
      <c r="G709" s="37" t="s">
        <v>196</v>
      </c>
      <c r="H709" s="38" t="n">
        <v>198.236040811251</v>
      </c>
      <c r="I709" s="38" t="n">
        <v>194.816029346647</v>
      </c>
      <c r="J709" s="38" t="n">
        <v>184.95450845534</v>
      </c>
      <c r="K709" s="38" t="n">
        <v>195.646236118966</v>
      </c>
      <c r="L709" s="38" t="n">
        <v>159.607585325315</v>
      </c>
      <c r="M709" s="38" t="n">
        <v>93.4020982690567</v>
      </c>
      <c r="N709" s="38" t="n">
        <v>83.0400167211538</v>
      </c>
      <c r="O709" s="38" t="n">
        <v>57.5609663421744</v>
      </c>
      <c r="P709" s="37" t="n">
        <v>0</v>
      </c>
      <c r="Q709" s="38" t="n">
        <v>0</v>
      </c>
      <c r="R709" s="38" t="n">
        <v>69.6040571428571</v>
      </c>
      <c r="S709" s="37" t="n">
        <v>0</v>
      </c>
    </row>
    <row r="710" customFormat="false" ht="15" hidden="false" customHeight="false" outlineLevel="0" collapsed="false">
      <c r="A710" s="37" t="n">
        <v>0</v>
      </c>
      <c r="B710" s="37" t="n">
        <v>10</v>
      </c>
      <c r="C710" s="37" t="n">
        <v>0</v>
      </c>
      <c r="D710" s="37" t="n">
        <v>0</v>
      </c>
      <c r="E710" s="37" t="n">
        <v>5</v>
      </c>
      <c r="F710" s="37" t="n">
        <v>15</v>
      </c>
      <c r="G710" s="37" t="s">
        <v>188</v>
      </c>
      <c r="H710" s="38" t="n">
        <v>198.269970888365</v>
      </c>
      <c r="I710" s="38" t="n">
        <v>195.111045406152</v>
      </c>
      <c r="J710" s="38" t="n">
        <v>183.604470014656</v>
      </c>
      <c r="K710" s="38" t="n">
        <v>195.183429263551</v>
      </c>
      <c r="L710" s="38" t="n">
        <v>109.973885291058</v>
      </c>
      <c r="M710" s="38" t="n">
        <v>91.9700305013392</v>
      </c>
      <c r="N710" s="38" t="n">
        <v>78.7720594593719</v>
      </c>
      <c r="O710" s="38" t="n">
        <v>54.0866036899874</v>
      </c>
      <c r="P710" s="37" t="n">
        <v>0</v>
      </c>
      <c r="Q710" s="38" t="n">
        <v>0</v>
      </c>
      <c r="R710" s="38" t="n">
        <v>70.5</v>
      </c>
      <c r="S710" s="37" t="n">
        <v>0</v>
      </c>
    </row>
    <row r="711" customFormat="false" ht="15" hidden="false" customHeight="false" outlineLevel="0" collapsed="false">
      <c r="A711" s="37" t="n">
        <v>0</v>
      </c>
      <c r="B711" s="37" t="n">
        <v>10</v>
      </c>
      <c r="C711" s="37" t="n">
        <v>0</v>
      </c>
      <c r="D711" s="37" t="n">
        <v>0</v>
      </c>
      <c r="E711" s="37" t="n">
        <v>5</v>
      </c>
      <c r="F711" s="37" t="n">
        <v>15</v>
      </c>
      <c r="G711" s="37" t="s">
        <v>192</v>
      </c>
      <c r="H711" s="38" t="n">
        <v>198.269970888365</v>
      </c>
      <c r="I711" s="38" t="n">
        <v>195.11311099106</v>
      </c>
      <c r="J711" s="38" t="n">
        <v>195.930102502115</v>
      </c>
      <c r="K711" s="38" t="n">
        <v>205.326500556847</v>
      </c>
      <c r="L711" s="38" t="n">
        <v>110.677809975088</v>
      </c>
      <c r="M711" s="38" t="n">
        <v>92.9285832855463</v>
      </c>
      <c r="N711" s="38" t="n">
        <v>97.9173858725103</v>
      </c>
      <c r="O711" s="38" t="n">
        <v>62.5810791167652</v>
      </c>
      <c r="P711" s="37" t="n">
        <v>0</v>
      </c>
      <c r="Q711" s="38" t="n">
        <v>0</v>
      </c>
      <c r="R711" s="38" t="n">
        <v>70.5</v>
      </c>
      <c r="S711" s="37" t="n">
        <v>1</v>
      </c>
    </row>
    <row r="712" customFormat="false" ht="15" hidden="false" customHeight="false" outlineLevel="0" collapsed="false">
      <c r="A712" s="37" t="n">
        <v>0</v>
      </c>
      <c r="B712" s="37" t="n">
        <v>10</v>
      </c>
      <c r="C712" s="37" t="n">
        <v>0</v>
      </c>
      <c r="D712" s="37" t="n">
        <v>0</v>
      </c>
      <c r="E712" s="37" t="n">
        <v>5</v>
      </c>
      <c r="F712" s="37" t="n">
        <v>15</v>
      </c>
      <c r="G712" s="37" t="s">
        <v>195</v>
      </c>
      <c r="H712" s="38" t="n">
        <v>198.269970888365</v>
      </c>
      <c r="I712" s="38" t="n">
        <v>195.112871012728</v>
      </c>
      <c r="J712" s="38" t="n">
        <v>183.305133915738</v>
      </c>
      <c r="K712" s="38" t="n">
        <v>191.201272193113</v>
      </c>
      <c r="L712" s="38" t="n">
        <v>123.412975396032</v>
      </c>
      <c r="M712" s="38" t="n">
        <v>91.9730080102012</v>
      </c>
      <c r="N712" s="38" t="n">
        <v>76.0071441579895</v>
      </c>
      <c r="O712" s="38" t="n">
        <v>50.7020833406914</v>
      </c>
      <c r="P712" s="37" t="n">
        <v>0</v>
      </c>
      <c r="Q712" s="38" t="n">
        <v>0</v>
      </c>
      <c r="R712" s="38" t="n">
        <v>68.4635109608755</v>
      </c>
      <c r="S712" s="37" t="n">
        <v>0</v>
      </c>
    </row>
    <row r="713" customFormat="false" ht="15" hidden="false" customHeight="false" outlineLevel="0" collapsed="false">
      <c r="A713" s="37" t="n">
        <v>0</v>
      </c>
      <c r="B713" s="37" t="n">
        <v>10</v>
      </c>
      <c r="C713" s="37" t="n">
        <v>0</v>
      </c>
      <c r="D713" s="37" t="n">
        <v>0</v>
      </c>
      <c r="E713" s="37" t="n">
        <v>5</v>
      </c>
      <c r="F713" s="37" t="n">
        <v>15</v>
      </c>
      <c r="G713" s="37" t="s">
        <v>197</v>
      </c>
      <c r="H713" s="38" t="n">
        <v>198.269970888365</v>
      </c>
      <c r="I713" s="38" t="n">
        <v>195.120493373014</v>
      </c>
      <c r="J713" s="38" t="n">
        <v>187.295673809584</v>
      </c>
      <c r="K713" s="38" t="n">
        <v>200.207786497927</v>
      </c>
      <c r="L713" s="38" t="n">
        <v>118.050398304551</v>
      </c>
      <c r="M713" s="38" t="n">
        <v>97.1659131222616</v>
      </c>
      <c r="N713" s="38" t="n">
        <v>92.8951278037112</v>
      </c>
      <c r="O713" s="38" t="n">
        <v>60.1008553302497</v>
      </c>
      <c r="P713" s="37" t="n">
        <v>0</v>
      </c>
      <c r="Q713" s="38" t="n">
        <v>0</v>
      </c>
      <c r="R713" s="38" t="n">
        <v>70.5</v>
      </c>
      <c r="S713" s="37" t="n">
        <v>0</v>
      </c>
    </row>
    <row r="714" customFormat="false" ht="15" hidden="false" customHeight="false" outlineLevel="0" collapsed="false">
      <c r="A714" s="37" t="n">
        <v>0</v>
      </c>
      <c r="B714" s="37" t="n">
        <v>10</v>
      </c>
      <c r="C714" s="37" t="n">
        <v>0</v>
      </c>
      <c r="D714" s="37" t="n">
        <v>0</v>
      </c>
      <c r="E714" s="37" t="n">
        <v>5</v>
      </c>
      <c r="F714" s="37" t="n">
        <v>15</v>
      </c>
      <c r="G714" s="37" t="s">
        <v>196</v>
      </c>
      <c r="H714" s="38" t="n">
        <v>198.269970888365</v>
      </c>
      <c r="I714" s="38" t="n">
        <v>195.113091923541</v>
      </c>
      <c r="J714" s="38" t="n">
        <v>187.715542776542</v>
      </c>
      <c r="K714" s="38" t="n">
        <v>200.719859225433</v>
      </c>
      <c r="L714" s="38" t="n">
        <v>124.681208431782</v>
      </c>
      <c r="M714" s="38" t="n">
        <v>95.5192247982319</v>
      </c>
      <c r="N714" s="38" t="n">
        <v>92.1562629640022</v>
      </c>
      <c r="O714" s="38" t="n">
        <v>59.5247750793405</v>
      </c>
      <c r="P714" s="37" t="n">
        <v>0</v>
      </c>
      <c r="Q714" s="38" t="n">
        <v>0</v>
      </c>
      <c r="R714" s="38" t="n">
        <v>69.6040571428571</v>
      </c>
      <c r="S714" s="37" t="n">
        <v>0</v>
      </c>
    </row>
    <row r="715" customFormat="false" ht="15" hidden="false" customHeight="false" outlineLevel="0" collapsed="false">
      <c r="A715" s="37" t="n">
        <v>0</v>
      </c>
      <c r="B715" s="37" t="n">
        <v>10</v>
      </c>
      <c r="C715" s="37" t="n">
        <v>0</v>
      </c>
      <c r="D715" s="37" t="n">
        <v>0</v>
      </c>
      <c r="E715" s="37" t="n">
        <v>10</v>
      </c>
      <c r="F715" s="37" t="n">
        <v>10</v>
      </c>
      <c r="G715" s="37" t="s">
        <v>188</v>
      </c>
      <c r="H715" s="38" t="n">
        <v>198.302122806711</v>
      </c>
      <c r="I715" s="38" t="n">
        <v>195.424439715054</v>
      </c>
      <c r="J715" s="38" t="n">
        <v>185.937332921752</v>
      </c>
      <c r="K715" s="38" t="n">
        <v>199.705624040589</v>
      </c>
      <c r="L715" s="38" t="n">
        <v>74.6688111773743</v>
      </c>
      <c r="M715" s="38" t="n">
        <v>93.3494096096789</v>
      </c>
      <c r="N715" s="38" t="n">
        <v>84.9292297167811</v>
      </c>
      <c r="O715" s="38" t="n">
        <v>53.9232776380545</v>
      </c>
      <c r="P715" s="37" t="n">
        <v>0</v>
      </c>
      <c r="Q715" s="38" t="n">
        <v>0</v>
      </c>
      <c r="R715" s="38" t="n">
        <v>70.5</v>
      </c>
      <c r="S715" s="37" t="n">
        <v>0</v>
      </c>
    </row>
    <row r="716" customFormat="false" ht="15" hidden="false" customHeight="false" outlineLevel="0" collapsed="false">
      <c r="A716" s="37" t="n">
        <v>0</v>
      </c>
      <c r="B716" s="37" t="n">
        <v>10</v>
      </c>
      <c r="C716" s="37" t="n">
        <v>0</v>
      </c>
      <c r="D716" s="37" t="n">
        <v>0</v>
      </c>
      <c r="E716" s="37" t="n">
        <v>10</v>
      </c>
      <c r="F716" s="37" t="n">
        <v>10</v>
      </c>
      <c r="G716" s="37" t="s">
        <v>192</v>
      </c>
      <c r="H716" s="38" t="n">
        <v>198.302122806711</v>
      </c>
      <c r="I716" s="38" t="n">
        <v>195.427036308143</v>
      </c>
      <c r="J716" s="38" t="n">
        <v>198.430103761576</v>
      </c>
      <c r="K716" s="38" t="n">
        <v>210.004167544852</v>
      </c>
      <c r="L716" s="38" t="n">
        <v>75.4024202120137</v>
      </c>
      <c r="M716" s="38" t="n">
        <v>94.2935559375888</v>
      </c>
      <c r="N716" s="38" t="n">
        <v>104.107213561054</v>
      </c>
      <c r="O716" s="38" t="n">
        <v>62.6002764437305</v>
      </c>
      <c r="P716" s="37" t="n">
        <v>0</v>
      </c>
      <c r="Q716" s="38" t="n">
        <v>0</v>
      </c>
      <c r="R716" s="38" t="n">
        <v>70.5</v>
      </c>
      <c r="S716" s="37" t="n">
        <v>0</v>
      </c>
    </row>
    <row r="717" customFormat="false" ht="15" hidden="false" customHeight="false" outlineLevel="0" collapsed="false">
      <c r="A717" s="37" t="n">
        <v>0</v>
      </c>
      <c r="B717" s="37" t="n">
        <v>10</v>
      </c>
      <c r="C717" s="37" t="n">
        <v>0</v>
      </c>
      <c r="D717" s="37" t="n">
        <v>0</v>
      </c>
      <c r="E717" s="37" t="n">
        <v>10</v>
      </c>
      <c r="F717" s="37" t="n">
        <v>10</v>
      </c>
      <c r="G717" s="37" t="s">
        <v>195</v>
      </c>
      <c r="H717" s="38" t="n">
        <v>198.302122806711</v>
      </c>
      <c r="I717" s="38" t="n">
        <v>195.427156996361</v>
      </c>
      <c r="J717" s="38" t="n">
        <v>185.670442705068</v>
      </c>
      <c r="K717" s="38" t="n">
        <v>195.732287367191</v>
      </c>
      <c r="L717" s="38" t="n">
        <v>76.6417030331239</v>
      </c>
      <c r="M717" s="38" t="n">
        <v>93.3543646594307</v>
      </c>
      <c r="N717" s="38" t="n">
        <v>82.809571504021</v>
      </c>
      <c r="O717" s="38" t="n">
        <v>53.5977280966606</v>
      </c>
      <c r="P717" s="37" t="n">
        <v>0</v>
      </c>
      <c r="Q717" s="38" t="n">
        <v>0</v>
      </c>
      <c r="R717" s="38" t="n">
        <v>68.4478246997799</v>
      </c>
      <c r="S717" s="37" t="n">
        <v>0</v>
      </c>
    </row>
    <row r="718" customFormat="false" ht="15" hidden="false" customHeight="false" outlineLevel="0" collapsed="false">
      <c r="A718" s="37" t="n">
        <v>0</v>
      </c>
      <c r="B718" s="37" t="n">
        <v>10</v>
      </c>
      <c r="C718" s="37" t="n">
        <v>0</v>
      </c>
      <c r="D718" s="37" t="n">
        <v>0</v>
      </c>
      <c r="E718" s="37" t="n">
        <v>10</v>
      </c>
      <c r="F718" s="37" t="n">
        <v>10</v>
      </c>
      <c r="G718" s="37" t="s">
        <v>197</v>
      </c>
      <c r="H718" s="38" t="n">
        <v>198.302122806711</v>
      </c>
      <c r="I718" s="38" t="n">
        <v>195.452129890863</v>
      </c>
      <c r="J718" s="38" t="n">
        <v>190.508594616007</v>
      </c>
      <c r="K718" s="38" t="n">
        <v>206.011114260412</v>
      </c>
      <c r="L718" s="38" t="n">
        <v>84.587027736665</v>
      </c>
      <c r="M718" s="38" t="n">
        <v>101.29563123628</v>
      </c>
      <c r="N718" s="38" t="n">
        <v>107.502844152115</v>
      </c>
      <c r="O718" s="38" t="n">
        <v>61.6892278119625</v>
      </c>
      <c r="P718" s="37" t="n">
        <v>0</v>
      </c>
      <c r="Q718" s="38" t="n">
        <v>0</v>
      </c>
      <c r="R718" s="38" t="n">
        <v>70.5</v>
      </c>
      <c r="S718" s="37" t="n">
        <v>1</v>
      </c>
    </row>
    <row r="719" customFormat="false" ht="15" hidden="false" customHeight="false" outlineLevel="0" collapsed="false">
      <c r="A719" s="37" t="n">
        <v>0</v>
      </c>
      <c r="B719" s="37" t="n">
        <v>10</v>
      </c>
      <c r="C719" s="37" t="n">
        <v>0</v>
      </c>
      <c r="D719" s="37" t="n">
        <v>0</v>
      </c>
      <c r="E719" s="37" t="n">
        <v>10</v>
      </c>
      <c r="F719" s="37" t="n">
        <v>10</v>
      </c>
      <c r="G719" s="37" t="s">
        <v>196</v>
      </c>
      <c r="H719" s="38" t="n">
        <v>198.302122806711</v>
      </c>
      <c r="I719" s="38" t="n">
        <v>195.427206519163</v>
      </c>
      <c r="J719" s="38" t="n">
        <v>190.055414463004</v>
      </c>
      <c r="K719" s="38" t="n">
        <v>205.252193573076</v>
      </c>
      <c r="L719" s="38" t="n">
        <v>89.2135427794247</v>
      </c>
      <c r="M719" s="38" t="n">
        <v>97.4265305890479</v>
      </c>
      <c r="N719" s="38" t="n">
        <v>99.6083516582501</v>
      </c>
      <c r="O719" s="38" t="n">
        <v>60.0183717368185</v>
      </c>
      <c r="P719" s="37" t="n">
        <v>0</v>
      </c>
      <c r="Q719" s="38" t="n">
        <v>0</v>
      </c>
      <c r="R719" s="38" t="n">
        <v>69.6040571428571</v>
      </c>
      <c r="S719" s="37" t="n">
        <v>0</v>
      </c>
    </row>
    <row r="720" customFormat="false" ht="15" hidden="false" customHeight="false" outlineLevel="0" collapsed="false">
      <c r="A720" s="37" t="n">
        <v>0</v>
      </c>
      <c r="B720" s="37" t="n">
        <v>10</v>
      </c>
      <c r="C720" s="37" t="n">
        <v>0</v>
      </c>
      <c r="D720" s="37" t="n">
        <v>0</v>
      </c>
      <c r="E720" s="37" t="n">
        <v>15</v>
      </c>
      <c r="F720" s="37" t="n">
        <v>5</v>
      </c>
      <c r="G720" s="37" t="s">
        <v>188</v>
      </c>
      <c r="H720" s="38" t="n">
        <v>198.330809049026</v>
      </c>
      <c r="I720" s="38" t="n">
        <v>195.658253928083</v>
      </c>
      <c r="J720" s="38" t="n">
        <v>187.579828520311</v>
      </c>
      <c r="K720" s="38" t="n">
        <v>202.958995950635</v>
      </c>
      <c r="L720" s="38" t="n">
        <v>38.0987599261749</v>
      </c>
      <c r="M720" s="38" t="n">
        <v>94.4008025133571</v>
      </c>
      <c r="N720" s="38" t="n">
        <v>87.5696123550582</v>
      </c>
      <c r="O720" s="38" t="n">
        <v>53.4709088242669</v>
      </c>
      <c r="P720" s="37" t="n">
        <v>0</v>
      </c>
      <c r="Q720" s="38" t="n">
        <v>0</v>
      </c>
      <c r="R720" s="38" t="n">
        <v>70.5</v>
      </c>
      <c r="S720" s="37" t="n">
        <v>0</v>
      </c>
    </row>
    <row r="721" customFormat="false" ht="15" hidden="false" customHeight="false" outlineLevel="0" collapsed="false">
      <c r="A721" s="37" t="n">
        <v>0</v>
      </c>
      <c r="B721" s="37" t="n">
        <v>10</v>
      </c>
      <c r="C721" s="37" t="n">
        <v>0</v>
      </c>
      <c r="D721" s="37" t="n">
        <v>0</v>
      </c>
      <c r="E721" s="37" t="n">
        <v>15</v>
      </c>
      <c r="F721" s="37" t="n">
        <v>5</v>
      </c>
      <c r="G721" s="37" t="s">
        <v>192</v>
      </c>
      <c r="H721" s="38" t="n">
        <v>198.330809049026</v>
      </c>
      <c r="I721" s="38" t="n">
        <v>195.661107498619</v>
      </c>
      <c r="J721" s="38" t="n">
        <v>200.079092278562</v>
      </c>
      <c r="K721" s="38" t="n">
        <v>213.251838210811</v>
      </c>
      <c r="L721" s="38" t="n">
        <v>38.7047570450772</v>
      </c>
      <c r="M721" s="38" t="n">
        <v>95.2868223724498</v>
      </c>
      <c r="N721" s="38" t="n">
        <v>107.170346178585</v>
      </c>
      <c r="O721" s="38" t="n">
        <v>62.2920734599739</v>
      </c>
      <c r="P721" s="37" t="n">
        <v>0</v>
      </c>
      <c r="Q721" s="38" t="n">
        <v>0</v>
      </c>
      <c r="R721" s="38" t="n">
        <v>70.5</v>
      </c>
      <c r="S721" s="37" t="n">
        <v>0</v>
      </c>
    </row>
    <row r="722" customFormat="false" ht="15" hidden="false" customHeight="false" outlineLevel="0" collapsed="false">
      <c r="A722" s="37" t="n">
        <v>0</v>
      </c>
      <c r="B722" s="37" t="n">
        <v>10</v>
      </c>
      <c r="C722" s="37" t="n">
        <v>0</v>
      </c>
      <c r="D722" s="37" t="n">
        <v>0</v>
      </c>
      <c r="E722" s="37" t="n">
        <v>15</v>
      </c>
      <c r="F722" s="37" t="n">
        <v>5</v>
      </c>
      <c r="G722" s="37" t="s">
        <v>195</v>
      </c>
      <c r="H722" s="38" t="n">
        <v>198.330809049026</v>
      </c>
      <c r="I722" s="38" t="n">
        <v>195.662506295158</v>
      </c>
      <c r="J722" s="38" t="n">
        <v>187.337193883019</v>
      </c>
      <c r="K722" s="38" t="n">
        <v>199.009703848776</v>
      </c>
      <c r="L722" s="38" t="n">
        <v>39.8735757222715</v>
      </c>
      <c r="M722" s="38" t="n">
        <v>94.409733295034</v>
      </c>
      <c r="N722" s="38" t="n">
        <v>87.0909751996728</v>
      </c>
      <c r="O722" s="38" t="n">
        <v>53.3899754430442</v>
      </c>
      <c r="P722" s="37" t="n">
        <v>0</v>
      </c>
      <c r="Q722" s="38" t="n">
        <v>0</v>
      </c>
      <c r="R722" s="38" t="n">
        <v>68.4341615620488</v>
      </c>
      <c r="S722" s="37" t="n">
        <v>0</v>
      </c>
    </row>
    <row r="723" customFormat="false" ht="15" hidden="false" customHeight="false" outlineLevel="0" collapsed="false">
      <c r="A723" s="37" t="n">
        <v>0</v>
      </c>
      <c r="B723" s="37" t="n">
        <v>10</v>
      </c>
      <c r="C723" s="37" t="n">
        <v>0</v>
      </c>
      <c r="D723" s="37" t="n">
        <v>0</v>
      </c>
      <c r="E723" s="37" t="n">
        <v>15</v>
      </c>
      <c r="F723" s="37" t="n">
        <v>5</v>
      </c>
      <c r="G723" s="37" t="s">
        <v>197</v>
      </c>
      <c r="H723" s="38" t="n">
        <v>198.330809049026</v>
      </c>
      <c r="I723" s="38" t="n">
        <v>195.701529065411</v>
      </c>
      <c r="J723" s="38" t="n">
        <v>192.789237528677</v>
      </c>
      <c r="K723" s="38" t="n">
        <v>210.195916681835</v>
      </c>
      <c r="L723" s="38" t="n">
        <v>49.2560212263415</v>
      </c>
      <c r="M723" s="38" t="n">
        <v>103.990253340266</v>
      </c>
      <c r="N723" s="38" t="n">
        <v>113.807843948699</v>
      </c>
      <c r="O723" s="38" t="n">
        <v>61.7953005002677</v>
      </c>
      <c r="P723" s="37" t="n">
        <v>0</v>
      </c>
      <c r="Q723" s="38" t="n">
        <v>0</v>
      </c>
      <c r="R723" s="38" t="n">
        <v>70.5</v>
      </c>
      <c r="S723" s="37" t="n">
        <v>1</v>
      </c>
    </row>
    <row r="724" customFormat="false" ht="15" hidden="false" customHeight="false" outlineLevel="0" collapsed="false">
      <c r="A724" s="37" t="n">
        <v>0</v>
      </c>
      <c r="B724" s="37" t="n">
        <v>10</v>
      </c>
      <c r="C724" s="37" t="n">
        <v>0</v>
      </c>
      <c r="D724" s="37" t="n">
        <v>0</v>
      </c>
      <c r="E724" s="37" t="n">
        <v>15</v>
      </c>
      <c r="F724" s="37" t="n">
        <v>5</v>
      </c>
      <c r="G724" s="37" t="s">
        <v>196</v>
      </c>
      <c r="H724" s="38" t="n">
        <v>198.330809049026</v>
      </c>
      <c r="I724" s="38" t="n">
        <v>195.66181159714</v>
      </c>
      <c r="J724" s="38" t="n">
        <v>191.677518475296</v>
      </c>
      <c r="K724" s="38" t="n">
        <v>208.486311773266</v>
      </c>
      <c r="L724" s="38" t="n">
        <v>52.4166855196847</v>
      </c>
      <c r="M724" s="38" t="n">
        <v>98.771924161304</v>
      </c>
      <c r="N724" s="38" t="n">
        <v>103.858244804108</v>
      </c>
      <c r="O724" s="38" t="n">
        <v>59.5599097531699</v>
      </c>
      <c r="P724" s="37" t="n">
        <v>0</v>
      </c>
      <c r="Q724" s="38" t="n">
        <v>0</v>
      </c>
      <c r="R724" s="38" t="n">
        <v>69.5966230324739</v>
      </c>
      <c r="S724" s="37" t="n">
        <v>0</v>
      </c>
    </row>
    <row r="725" customFormat="false" ht="15" hidden="false" customHeight="false" outlineLevel="0" collapsed="false">
      <c r="A725" s="37" t="n">
        <v>0</v>
      </c>
      <c r="B725" s="37" t="n">
        <v>10</v>
      </c>
      <c r="C725" s="37" t="n">
        <v>0</v>
      </c>
      <c r="D725" s="37" t="n">
        <v>0</v>
      </c>
      <c r="E725" s="37" t="n">
        <v>20</v>
      </c>
      <c r="F725" s="37" t="n">
        <v>0</v>
      </c>
      <c r="G725" s="37" t="s">
        <v>188</v>
      </c>
      <c r="H725" s="38" t="n">
        <v>198.358437342991</v>
      </c>
      <c r="I725" s="38" t="n">
        <v>195.879320635612</v>
      </c>
      <c r="J725" s="38" t="n">
        <v>188.940510678606</v>
      </c>
      <c r="K725" s="38" t="n">
        <v>205.936519556864</v>
      </c>
      <c r="L725" s="38" t="n">
        <v>24.9875555881295</v>
      </c>
      <c r="M725" s="38" t="n">
        <v>95.4069030011495</v>
      </c>
      <c r="N725" s="38" t="n">
        <v>79.1617883364039</v>
      </c>
      <c r="O725" s="38" t="n">
        <v>50.4596942434773</v>
      </c>
      <c r="P725" s="37" t="n">
        <v>0</v>
      </c>
      <c r="Q725" s="38" t="n">
        <v>0.0124444118705434</v>
      </c>
      <c r="R725" s="38" t="n">
        <v>70.5</v>
      </c>
      <c r="S725" s="37" t="n">
        <v>0</v>
      </c>
    </row>
    <row r="726" customFormat="false" ht="15" hidden="false" customHeight="false" outlineLevel="0" collapsed="false">
      <c r="A726" s="37" t="n">
        <v>0</v>
      </c>
      <c r="B726" s="37" t="n">
        <v>10</v>
      </c>
      <c r="C726" s="37" t="n">
        <v>0</v>
      </c>
      <c r="D726" s="37" t="n">
        <v>0</v>
      </c>
      <c r="E726" s="37" t="n">
        <v>20</v>
      </c>
      <c r="F726" s="37" t="n">
        <v>0</v>
      </c>
      <c r="G726" s="37" t="s">
        <v>192</v>
      </c>
      <c r="H726" s="38" t="n">
        <v>198.358437342991</v>
      </c>
      <c r="I726" s="38" t="n">
        <v>195.882346964695</v>
      </c>
      <c r="J726" s="38" t="n">
        <v>199.820298079969</v>
      </c>
      <c r="K726" s="38" t="n">
        <v>229.548486956315</v>
      </c>
      <c r="L726" s="38" t="n">
        <v>29.0752111722856</v>
      </c>
      <c r="M726" s="38" t="n">
        <v>96.2333441420979</v>
      </c>
      <c r="N726" s="38" t="n">
        <v>103.592014429717</v>
      </c>
      <c r="O726" s="38" t="n">
        <v>56.5635973290511</v>
      </c>
      <c r="P726" s="37" t="n">
        <v>0</v>
      </c>
      <c r="Q726" s="38" t="n">
        <v>0</v>
      </c>
      <c r="R726" s="38" t="n">
        <v>61.5</v>
      </c>
      <c r="S726" s="37" t="n">
        <v>0</v>
      </c>
    </row>
    <row r="727" customFormat="false" ht="15" hidden="false" customHeight="false" outlineLevel="0" collapsed="false">
      <c r="A727" s="37" t="n">
        <v>0</v>
      </c>
      <c r="B727" s="37" t="n">
        <v>10</v>
      </c>
      <c r="C727" s="37" t="n">
        <v>0</v>
      </c>
      <c r="D727" s="37" t="n">
        <v>0</v>
      </c>
      <c r="E727" s="37" t="n">
        <v>20</v>
      </c>
      <c r="F727" s="37" t="n">
        <v>0</v>
      </c>
      <c r="G727" s="37" t="s">
        <v>195</v>
      </c>
      <c r="H727" s="38" t="n">
        <v>198.358437342991</v>
      </c>
      <c r="I727" s="38" t="n">
        <v>195.885597360603</v>
      </c>
      <c r="J727" s="38" t="n">
        <v>188.797554645891</v>
      </c>
      <c r="K727" s="38" t="n">
        <v>202.014850095184</v>
      </c>
      <c r="L727" s="38" t="n">
        <v>24.9874965161231</v>
      </c>
      <c r="M727" s="38" t="n">
        <v>95.4211634454316</v>
      </c>
      <c r="N727" s="38" t="n">
        <v>77.4565622512907</v>
      </c>
      <c r="O727" s="38" t="n">
        <v>50.6944481088852</v>
      </c>
      <c r="P727" s="37" t="n">
        <v>0</v>
      </c>
      <c r="Q727" s="38" t="n">
        <v>0.0125034838769125</v>
      </c>
      <c r="R727" s="38" t="n">
        <v>68.4204768744365</v>
      </c>
      <c r="S727" s="37" t="n">
        <v>0</v>
      </c>
    </row>
    <row r="728" customFormat="false" ht="15" hidden="false" customHeight="false" outlineLevel="0" collapsed="false">
      <c r="A728" s="37" t="n">
        <v>0</v>
      </c>
      <c r="B728" s="37" t="n">
        <v>10</v>
      </c>
      <c r="C728" s="37" t="n">
        <v>0</v>
      </c>
      <c r="D728" s="37" t="n">
        <v>0</v>
      </c>
      <c r="E728" s="37" t="n">
        <v>20</v>
      </c>
      <c r="F728" s="37" t="n">
        <v>0</v>
      </c>
      <c r="G728" s="37" t="s">
        <v>197</v>
      </c>
      <c r="H728" s="38" t="n">
        <v>198.358437342991</v>
      </c>
      <c r="I728" s="38" t="n">
        <v>195.940439847716</v>
      </c>
      <c r="J728" s="38" t="n">
        <v>194.787806420812</v>
      </c>
      <c r="K728" s="38" t="n">
        <v>214.021082428183</v>
      </c>
      <c r="L728" s="38" t="n">
        <v>28.2564547828887</v>
      </c>
      <c r="M728" s="38" t="n">
        <v>106.602839570012</v>
      </c>
      <c r="N728" s="38" t="n">
        <v>108.822062235893</v>
      </c>
      <c r="O728" s="38" t="n">
        <v>59.4772865464421</v>
      </c>
      <c r="P728" s="37" t="n">
        <v>0</v>
      </c>
      <c r="Q728" s="38" t="n">
        <v>0</v>
      </c>
      <c r="R728" s="38" t="n">
        <v>70.5</v>
      </c>
      <c r="S728" s="37" t="n">
        <v>1</v>
      </c>
    </row>
    <row r="729" customFormat="false" ht="15" hidden="false" customHeight="false" outlineLevel="0" collapsed="false">
      <c r="A729" s="37" t="n">
        <v>0</v>
      </c>
      <c r="B729" s="37" t="n">
        <v>10</v>
      </c>
      <c r="C729" s="37" t="n">
        <v>0</v>
      </c>
      <c r="D729" s="37" t="n">
        <v>0</v>
      </c>
      <c r="E729" s="37" t="n">
        <v>20</v>
      </c>
      <c r="F729" s="37" t="n">
        <v>0</v>
      </c>
      <c r="G729" s="37" t="s">
        <v>196</v>
      </c>
      <c r="H729" s="38" t="n">
        <v>198.358437342991</v>
      </c>
      <c r="I729" s="38" t="n">
        <v>195.883117399</v>
      </c>
      <c r="J729" s="38" t="n">
        <v>193.007366054188</v>
      </c>
      <c r="K729" s="38" t="n">
        <v>211.345727447213</v>
      </c>
      <c r="L729" s="38" t="n">
        <v>25.7507723631596</v>
      </c>
      <c r="M729" s="38" t="n">
        <v>100.05504910503</v>
      </c>
      <c r="N729" s="38" t="n">
        <v>94.7195857349366</v>
      </c>
      <c r="O729" s="38" t="n">
        <v>56.3137114860322</v>
      </c>
      <c r="P729" s="37" t="n">
        <v>0</v>
      </c>
      <c r="Q729" s="38" t="n">
        <v>0</v>
      </c>
      <c r="R729" s="38" t="n">
        <v>69.5772107798272</v>
      </c>
      <c r="S729" s="37" t="n">
        <v>0</v>
      </c>
    </row>
    <row r="730" customFormat="false" ht="15" hidden="false" customHeight="false" outlineLevel="0" collapsed="false">
      <c r="A730" s="37" t="n">
        <v>0</v>
      </c>
      <c r="B730" s="37" t="n">
        <v>10</v>
      </c>
      <c r="C730" s="37" t="n">
        <v>0</v>
      </c>
      <c r="D730" s="37" t="n">
        <v>5</v>
      </c>
      <c r="E730" s="37" t="n">
        <v>0</v>
      </c>
      <c r="F730" s="37" t="n">
        <v>15</v>
      </c>
      <c r="G730" s="37" t="s">
        <v>188</v>
      </c>
      <c r="H730" s="38" t="n">
        <v>198.410742425434</v>
      </c>
      <c r="I730" s="38" t="n">
        <v>195.839297979225</v>
      </c>
      <c r="J730" s="38" t="n">
        <v>185.116908255333</v>
      </c>
      <c r="K730" s="38" t="n">
        <v>186.649927377719</v>
      </c>
      <c r="L730" s="38" t="n">
        <v>113.004091771008</v>
      </c>
      <c r="M730" s="38" t="n">
        <v>91.595909869558</v>
      </c>
      <c r="N730" s="38" t="n">
        <v>73.583381118415</v>
      </c>
      <c r="O730" s="38" t="n">
        <v>54.243286560449</v>
      </c>
      <c r="P730" s="37" t="n">
        <v>0</v>
      </c>
      <c r="Q730" s="38" t="n">
        <v>0</v>
      </c>
      <c r="R730" s="38" t="n">
        <v>72</v>
      </c>
      <c r="S730" s="37" t="n">
        <v>0</v>
      </c>
    </row>
    <row r="731" customFormat="false" ht="15" hidden="false" customHeight="false" outlineLevel="0" collapsed="false">
      <c r="A731" s="37" t="n">
        <v>0</v>
      </c>
      <c r="B731" s="37" t="n">
        <v>10</v>
      </c>
      <c r="C731" s="37" t="n">
        <v>0</v>
      </c>
      <c r="D731" s="37" t="n">
        <v>5</v>
      </c>
      <c r="E731" s="37" t="n">
        <v>0</v>
      </c>
      <c r="F731" s="37" t="n">
        <v>15</v>
      </c>
      <c r="G731" s="37" t="s">
        <v>192</v>
      </c>
      <c r="H731" s="38" t="n">
        <v>198.410742425434</v>
      </c>
      <c r="I731" s="38" t="n">
        <v>195.842423125259</v>
      </c>
      <c r="J731" s="38" t="n">
        <v>197.865252452397</v>
      </c>
      <c r="K731" s="38" t="n">
        <v>197.180270412774</v>
      </c>
      <c r="L731" s="38" t="n">
        <v>103.424923331021</v>
      </c>
      <c r="M731" s="38" t="n">
        <v>92.557756811854</v>
      </c>
      <c r="N731" s="38" t="n">
        <v>94.090964352469</v>
      </c>
      <c r="O731" s="38" t="n">
        <v>65.3221905490194</v>
      </c>
      <c r="P731" s="37" t="n">
        <v>0</v>
      </c>
      <c r="Q731" s="38" t="n">
        <v>0</v>
      </c>
      <c r="R731" s="38" t="n">
        <v>72</v>
      </c>
      <c r="S731" s="37" t="n">
        <v>1</v>
      </c>
    </row>
    <row r="732" customFormat="false" ht="15" hidden="false" customHeight="false" outlineLevel="0" collapsed="false">
      <c r="A732" s="37" t="n">
        <v>0</v>
      </c>
      <c r="B732" s="37" t="n">
        <v>10</v>
      </c>
      <c r="C732" s="37" t="n">
        <v>0</v>
      </c>
      <c r="D732" s="37" t="n">
        <v>5</v>
      </c>
      <c r="E732" s="37" t="n">
        <v>0</v>
      </c>
      <c r="F732" s="37" t="n">
        <v>15</v>
      </c>
      <c r="G732" s="37" t="s">
        <v>195</v>
      </c>
      <c r="H732" s="38" t="n">
        <v>198.410742425434</v>
      </c>
      <c r="I732" s="38" t="n">
        <v>195.8685349198</v>
      </c>
      <c r="J732" s="38" t="n">
        <v>186.652587375463</v>
      </c>
      <c r="K732" s="38" t="n">
        <v>185.860606236358</v>
      </c>
      <c r="L732" s="38" t="n">
        <v>119.397109309721</v>
      </c>
      <c r="M732" s="38" t="n">
        <v>93.2674024386825</v>
      </c>
      <c r="N732" s="38" t="n">
        <v>78.4669883529656</v>
      </c>
      <c r="O732" s="38" t="n">
        <v>56.3434167161152</v>
      </c>
      <c r="P732" s="37" t="n">
        <v>0</v>
      </c>
      <c r="Q732" s="38" t="n">
        <v>0</v>
      </c>
      <c r="R732" s="38" t="n">
        <v>70.3609509220088</v>
      </c>
      <c r="S732" s="37" t="n">
        <v>0</v>
      </c>
    </row>
    <row r="733" customFormat="false" ht="15" hidden="false" customHeight="false" outlineLevel="0" collapsed="false">
      <c r="A733" s="37" t="n">
        <v>0</v>
      </c>
      <c r="B733" s="37" t="n">
        <v>10</v>
      </c>
      <c r="C733" s="37" t="n">
        <v>0</v>
      </c>
      <c r="D733" s="37" t="n">
        <v>5</v>
      </c>
      <c r="E733" s="37" t="n">
        <v>0</v>
      </c>
      <c r="F733" s="37" t="n">
        <v>15</v>
      </c>
      <c r="G733" s="37" t="s">
        <v>197</v>
      </c>
      <c r="H733" s="38" t="n">
        <v>198.410742425434</v>
      </c>
      <c r="I733" s="38" t="n">
        <v>195.841281864137</v>
      </c>
      <c r="J733" s="38" t="n">
        <v>188.400829871227</v>
      </c>
      <c r="K733" s="38" t="n">
        <v>190.933433344345</v>
      </c>
      <c r="L733" s="38" t="n">
        <v>123.463506788673</v>
      </c>
      <c r="M733" s="38" t="n">
        <v>93.3990314045341</v>
      </c>
      <c r="N733" s="38" t="n">
        <v>78.4099500830343</v>
      </c>
      <c r="O733" s="38" t="n">
        <v>56.3033543030161</v>
      </c>
      <c r="P733" s="37" t="n">
        <v>0</v>
      </c>
      <c r="Q733" s="38" t="n">
        <v>0</v>
      </c>
      <c r="R733" s="38" t="n">
        <v>72</v>
      </c>
      <c r="S733" s="37" t="n">
        <v>0</v>
      </c>
    </row>
    <row r="734" customFormat="false" ht="15" hidden="false" customHeight="false" outlineLevel="0" collapsed="false">
      <c r="A734" s="37" t="n">
        <v>0</v>
      </c>
      <c r="B734" s="37" t="n">
        <v>10</v>
      </c>
      <c r="C734" s="37" t="n">
        <v>0</v>
      </c>
      <c r="D734" s="37" t="n">
        <v>5</v>
      </c>
      <c r="E734" s="37" t="n">
        <v>0</v>
      </c>
      <c r="F734" s="37" t="n">
        <v>15</v>
      </c>
      <c r="G734" s="37" t="s">
        <v>196</v>
      </c>
      <c r="H734" s="38" t="n">
        <v>198.410742425434</v>
      </c>
      <c r="I734" s="38" t="n">
        <v>195.841972703743</v>
      </c>
      <c r="J734" s="38" t="n">
        <v>182.456327647591</v>
      </c>
      <c r="K734" s="38" t="n">
        <v>194.249039668218</v>
      </c>
      <c r="L734" s="38" t="n">
        <v>120.693484112663</v>
      </c>
      <c r="M734" s="38" t="n">
        <v>95.1168919743288</v>
      </c>
      <c r="N734" s="38" t="n">
        <v>86.4591506272719</v>
      </c>
      <c r="O734" s="38" t="n">
        <v>59.453377292441</v>
      </c>
      <c r="P734" s="37" t="n">
        <v>0</v>
      </c>
      <c r="Q734" s="38" t="n">
        <v>0</v>
      </c>
      <c r="R734" s="38" t="n">
        <v>70.6408061134936</v>
      </c>
      <c r="S734" s="37" t="n">
        <v>0</v>
      </c>
    </row>
    <row r="735" customFormat="false" ht="15" hidden="false" customHeight="false" outlineLevel="0" collapsed="false">
      <c r="A735" s="37" t="n">
        <v>0</v>
      </c>
      <c r="B735" s="37" t="n">
        <v>10</v>
      </c>
      <c r="C735" s="37" t="n">
        <v>0</v>
      </c>
      <c r="D735" s="37" t="n">
        <v>5</v>
      </c>
      <c r="E735" s="37" t="n">
        <v>5</v>
      </c>
      <c r="F735" s="37" t="n">
        <v>10</v>
      </c>
      <c r="G735" s="37" t="s">
        <v>188</v>
      </c>
      <c r="H735" s="38" t="n">
        <v>198.442607552769</v>
      </c>
      <c r="I735" s="38" t="n">
        <v>196.143560434435</v>
      </c>
      <c r="J735" s="38" t="n">
        <v>188.231055531898</v>
      </c>
      <c r="K735" s="38" t="n">
        <v>192.194676517923</v>
      </c>
      <c r="L735" s="38" t="n">
        <v>78.7701019699647</v>
      </c>
      <c r="M735" s="38" t="n">
        <v>93.0490198394221</v>
      </c>
      <c r="N735" s="38" t="n">
        <v>81.6988859752337</v>
      </c>
      <c r="O735" s="38" t="n">
        <v>54.3997441259808</v>
      </c>
      <c r="P735" s="37" t="n">
        <v>0</v>
      </c>
      <c r="Q735" s="38" t="n">
        <v>0</v>
      </c>
      <c r="R735" s="38" t="n">
        <v>72</v>
      </c>
      <c r="S735" s="37" t="n">
        <v>0</v>
      </c>
    </row>
    <row r="736" customFormat="false" ht="15" hidden="false" customHeight="false" outlineLevel="0" collapsed="false">
      <c r="A736" s="37" t="n">
        <v>0</v>
      </c>
      <c r="B736" s="37" t="n">
        <v>10</v>
      </c>
      <c r="C736" s="37" t="n">
        <v>0</v>
      </c>
      <c r="D736" s="37" t="n">
        <v>5</v>
      </c>
      <c r="E736" s="37" t="n">
        <v>5</v>
      </c>
      <c r="F736" s="37" t="n">
        <v>10</v>
      </c>
      <c r="G736" s="37" t="s">
        <v>192</v>
      </c>
      <c r="H736" s="38" t="n">
        <v>198.442607552769</v>
      </c>
      <c r="I736" s="38" t="n">
        <v>196.146829342426</v>
      </c>
      <c r="J736" s="38" t="n">
        <v>201.018482168873</v>
      </c>
      <c r="K736" s="38" t="n">
        <v>202.750337064298</v>
      </c>
      <c r="L736" s="38" t="n">
        <v>69.0463252222175</v>
      </c>
      <c r="M736" s="38" t="n">
        <v>93.98428093878</v>
      </c>
      <c r="N736" s="38" t="n">
        <v>101.998906941683</v>
      </c>
      <c r="O736" s="38" t="n">
        <v>65.6304364701802</v>
      </c>
      <c r="P736" s="37" t="n">
        <v>0</v>
      </c>
      <c r="Q736" s="38" t="n">
        <v>0</v>
      </c>
      <c r="R736" s="38" t="n">
        <v>72</v>
      </c>
      <c r="S736" s="37" t="n">
        <v>1</v>
      </c>
    </row>
    <row r="737" customFormat="false" ht="15" hidden="false" customHeight="false" outlineLevel="0" collapsed="false">
      <c r="A737" s="37" t="n">
        <v>0</v>
      </c>
      <c r="B737" s="37" t="n">
        <v>10</v>
      </c>
      <c r="C737" s="37" t="n">
        <v>0</v>
      </c>
      <c r="D737" s="37" t="n">
        <v>5</v>
      </c>
      <c r="E737" s="37" t="n">
        <v>5</v>
      </c>
      <c r="F737" s="37" t="n">
        <v>10</v>
      </c>
      <c r="G737" s="37" t="s">
        <v>195</v>
      </c>
      <c r="H737" s="38" t="n">
        <v>198.442607552769</v>
      </c>
      <c r="I737" s="38" t="n">
        <v>196.180035646247</v>
      </c>
      <c r="J737" s="38" t="n">
        <v>189.783266340786</v>
      </c>
      <c r="K737" s="38" t="n">
        <v>191.504794574592</v>
      </c>
      <c r="L737" s="38" t="n">
        <v>85.0260301639479</v>
      </c>
      <c r="M737" s="38" t="n">
        <v>94.7252207747726</v>
      </c>
      <c r="N737" s="38" t="n">
        <v>86.6262235056391</v>
      </c>
      <c r="O737" s="38" t="n">
        <v>56.8512727155497</v>
      </c>
      <c r="P737" s="37" t="n">
        <v>0</v>
      </c>
      <c r="Q737" s="38" t="n">
        <v>0</v>
      </c>
      <c r="R737" s="38" t="n">
        <v>70.3563706768068</v>
      </c>
      <c r="S737" s="37" t="n">
        <v>0</v>
      </c>
    </row>
    <row r="738" customFormat="false" ht="15" hidden="false" customHeight="false" outlineLevel="0" collapsed="false">
      <c r="A738" s="37" t="n">
        <v>0</v>
      </c>
      <c r="B738" s="37" t="n">
        <v>10</v>
      </c>
      <c r="C738" s="37" t="n">
        <v>0</v>
      </c>
      <c r="D738" s="37" t="n">
        <v>5</v>
      </c>
      <c r="E738" s="37" t="n">
        <v>5</v>
      </c>
      <c r="F738" s="37" t="n">
        <v>10</v>
      </c>
      <c r="G738" s="37" t="s">
        <v>197</v>
      </c>
      <c r="H738" s="38" t="n">
        <v>198.442607552769</v>
      </c>
      <c r="I738" s="38" t="n">
        <v>196.154878477111</v>
      </c>
      <c r="J738" s="38" t="n">
        <v>192.09389700661</v>
      </c>
      <c r="K738" s="38" t="n">
        <v>197.368429105938</v>
      </c>
      <c r="L738" s="38" t="n">
        <v>75.4656207097328</v>
      </c>
      <c r="M738" s="38" t="n">
        <v>98.2300459034531</v>
      </c>
      <c r="N738" s="38" t="n">
        <v>96.7899443662598</v>
      </c>
      <c r="O738" s="38" t="n">
        <v>63.3528360190912</v>
      </c>
      <c r="P738" s="37" t="n">
        <v>0</v>
      </c>
      <c r="Q738" s="38" t="n">
        <v>0</v>
      </c>
      <c r="R738" s="38" t="n">
        <v>72</v>
      </c>
      <c r="S738" s="37" t="n">
        <v>0</v>
      </c>
    </row>
    <row r="739" customFormat="false" ht="15" hidden="false" customHeight="false" outlineLevel="0" collapsed="false">
      <c r="A739" s="37" t="n">
        <v>0</v>
      </c>
      <c r="B739" s="37" t="n">
        <v>10</v>
      </c>
      <c r="C739" s="37" t="n">
        <v>0</v>
      </c>
      <c r="D739" s="37" t="n">
        <v>5</v>
      </c>
      <c r="E739" s="37" t="n">
        <v>5</v>
      </c>
      <c r="F739" s="37" t="n">
        <v>10</v>
      </c>
      <c r="G739" s="37" t="s">
        <v>196</v>
      </c>
      <c r="H739" s="38" t="n">
        <v>198.442607552769</v>
      </c>
      <c r="I739" s="38" t="n">
        <v>196.146901359138</v>
      </c>
      <c r="J739" s="38" t="n">
        <v>192.372256653195</v>
      </c>
      <c r="K739" s="38" t="n">
        <v>197.689179963213</v>
      </c>
      <c r="L739" s="38" t="n">
        <v>81.6494850993055</v>
      </c>
      <c r="M739" s="38" t="n">
        <v>97.2227389030927</v>
      </c>
      <c r="N739" s="38" t="n">
        <v>97.1043082967024</v>
      </c>
      <c r="O739" s="38" t="n">
        <v>62.2964072682375</v>
      </c>
      <c r="P739" s="37" t="n">
        <v>0</v>
      </c>
      <c r="Q739" s="38" t="n">
        <v>0</v>
      </c>
      <c r="R739" s="38" t="n">
        <v>71.1038065659956</v>
      </c>
      <c r="S739" s="37" t="n">
        <v>0</v>
      </c>
    </row>
    <row r="740" customFormat="false" ht="15" hidden="false" customHeight="false" outlineLevel="0" collapsed="false">
      <c r="A740" s="37" t="n">
        <v>0</v>
      </c>
      <c r="B740" s="37" t="n">
        <v>10</v>
      </c>
      <c r="C740" s="37" t="n">
        <v>0</v>
      </c>
      <c r="D740" s="37" t="n">
        <v>5</v>
      </c>
      <c r="E740" s="37" t="n">
        <v>10</v>
      </c>
      <c r="F740" s="37" t="n">
        <v>5</v>
      </c>
      <c r="G740" s="37" t="s">
        <v>188</v>
      </c>
      <c r="H740" s="38" t="n">
        <v>198.468785129017</v>
      </c>
      <c r="I740" s="38" t="n">
        <v>196.43835131952</v>
      </c>
      <c r="J740" s="38" t="n">
        <v>190.670137288159</v>
      </c>
      <c r="K740" s="38" t="n">
        <v>196.766646313986</v>
      </c>
      <c r="L740" s="38" t="n">
        <v>43.5770655903097</v>
      </c>
      <c r="M740" s="38" t="n">
        <v>94.3641642047701</v>
      </c>
      <c r="N740" s="38" t="n">
        <v>88.0119054068253</v>
      </c>
      <c r="O740" s="38" t="n">
        <v>54.2115553865474</v>
      </c>
      <c r="P740" s="37" t="n">
        <v>0</v>
      </c>
      <c r="Q740" s="38" t="n">
        <v>0</v>
      </c>
      <c r="R740" s="38" t="n">
        <v>72</v>
      </c>
      <c r="S740" s="37" t="n">
        <v>0</v>
      </c>
    </row>
    <row r="741" customFormat="false" ht="15" hidden="false" customHeight="false" outlineLevel="0" collapsed="false">
      <c r="A741" s="37" t="n">
        <v>0</v>
      </c>
      <c r="B741" s="37" t="n">
        <v>10</v>
      </c>
      <c r="C741" s="37" t="n">
        <v>0</v>
      </c>
      <c r="D741" s="37" t="n">
        <v>5</v>
      </c>
      <c r="E741" s="37" t="n">
        <v>10</v>
      </c>
      <c r="F741" s="37" t="n">
        <v>5</v>
      </c>
      <c r="G741" s="37" t="s">
        <v>192</v>
      </c>
      <c r="H741" s="38" t="n">
        <v>198.468785129017</v>
      </c>
      <c r="I741" s="38" t="n">
        <v>196.442893070569</v>
      </c>
      <c r="J741" s="38" t="n">
        <v>203.456399888072</v>
      </c>
      <c r="K741" s="38" t="n">
        <v>207.309086694871</v>
      </c>
      <c r="L741" s="38" t="n">
        <v>33.6485869488027</v>
      </c>
      <c r="M741" s="38" t="n">
        <v>95.2408421784841</v>
      </c>
      <c r="N741" s="38" t="n">
        <v>102.61671255903</v>
      </c>
      <c r="O741" s="38" t="n">
        <v>65.5763820708494</v>
      </c>
      <c r="P741" s="37" t="n">
        <v>0</v>
      </c>
      <c r="Q741" s="38" t="n">
        <v>0</v>
      </c>
      <c r="R741" s="38" t="n">
        <v>72</v>
      </c>
      <c r="S741" s="37" t="n">
        <v>0</v>
      </c>
    </row>
    <row r="742" customFormat="false" ht="15" hidden="false" customHeight="false" outlineLevel="0" collapsed="false">
      <c r="A742" s="37" t="n">
        <v>0</v>
      </c>
      <c r="B742" s="37" t="n">
        <v>10</v>
      </c>
      <c r="C742" s="37" t="n">
        <v>0</v>
      </c>
      <c r="D742" s="37" t="n">
        <v>5</v>
      </c>
      <c r="E742" s="37" t="n">
        <v>10</v>
      </c>
      <c r="F742" s="37" t="n">
        <v>5</v>
      </c>
      <c r="G742" s="37" t="s">
        <v>195</v>
      </c>
      <c r="H742" s="38" t="n">
        <v>198.468785129017</v>
      </c>
      <c r="I742" s="38" t="n">
        <v>196.481864936493</v>
      </c>
      <c r="J742" s="38" t="n">
        <v>192.387886905389</v>
      </c>
      <c r="K742" s="38" t="n">
        <v>196.29151069718</v>
      </c>
      <c r="L742" s="38" t="n">
        <v>38.540612058331</v>
      </c>
      <c r="M742" s="38" t="n">
        <v>96.0301609786942</v>
      </c>
      <c r="N742" s="38" t="n">
        <v>92.392799027575</v>
      </c>
      <c r="O742" s="38" t="n">
        <v>59.7647638923959</v>
      </c>
      <c r="P742" s="37" t="n">
        <v>0</v>
      </c>
      <c r="Q742" s="38" t="n">
        <v>0</v>
      </c>
      <c r="R742" s="38" t="n">
        <v>70.3497304083452</v>
      </c>
      <c r="S742" s="37" t="n">
        <v>0</v>
      </c>
    </row>
    <row r="743" customFormat="false" ht="15" hidden="false" customHeight="false" outlineLevel="0" collapsed="false">
      <c r="A743" s="37" t="n">
        <v>0</v>
      </c>
      <c r="B743" s="37" t="n">
        <v>10</v>
      </c>
      <c r="C743" s="37" t="n">
        <v>0</v>
      </c>
      <c r="D743" s="37" t="n">
        <v>5</v>
      </c>
      <c r="E743" s="37" t="n">
        <v>10</v>
      </c>
      <c r="F743" s="37" t="n">
        <v>5</v>
      </c>
      <c r="G743" s="37" t="s">
        <v>197</v>
      </c>
      <c r="H743" s="38" t="n">
        <v>198.468785129017</v>
      </c>
      <c r="I743" s="38" t="n">
        <v>196.469845548632</v>
      </c>
      <c r="J743" s="38" t="n">
        <v>195.41156755961</v>
      </c>
      <c r="K743" s="38" t="n">
        <v>203.232324291954</v>
      </c>
      <c r="L743" s="38" t="n">
        <v>42.0440046126289</v>
      </c>
      <c r="M743" s="38" t="n">
        <v>102.215269191394</v>
      </c>
      <c r="N743" s="38" t="n">
        <v>111.454865183844</v>
      </c>
      <c r="O743" s="38" t="n">
        <v>64.9094112217717</v>
      </c>
      <c r="P743" s="37" t="n">
        <v>0</v>
      </c>
      <c r="Q743" s="38" t="n">
        <v>0</v>
      </c>
      <c r="R743" s="38" t="n">
        <v>72</v>
      </c>
      <c r="S743" s="37" t="n">
        <v>1</v>
      </c>
    </row>
    <row r="744" customFormat="false" ht="15" hidden="false" customHeight="false" outlineLevel="0" collapsed="false">
      <c r="A744" s="37" t="n">
        <v>0</v>
      </c>
      <c r="B744" s="37" t="n">
        <v>10</v>
      </c>
      <c r="C744" s="37" t="n">
        <v>0</v>
      </c>
      <c r="D744" s="37" t="n">
        <v>5</v>
      </c>
      <c r="E744" s="37" t="n">
        <v>10</v>
      </c>
      <c r="F744" s="37" t="n">
        <v>5</v>
      </c>
      <c r="G744" s="37" t="s">
        <v>196</v>
      </c>
      <c r="H744" s="38" t="n">
        <v>198.468785129017</v>
      </c>
      <c r="I744" s="38" t="n">
        <v>196.443855235339</v>
      </c>
      <c r="J744" s="38" t="n">
        <v>194.761616745741</v>
      </c>
      <c r="K744" s="38" t="n">
        <v>202.220816538781</v>
      </c>
      <c r="L744" s="38" t="n">
        <v>46.1773825201448</v>
      </c>
      <c r="M744" s="38" t="n">
        <v>99.0251721527873</v>
      </c>
      <c r="N744" s="38" t="n">
        <v>104.526603839391</v>
      </c>
      <c r="O744" s="38" t="n">
        <v>62.7395621686201</v>
      </c>
      <c r="P744" s="37" t="n">
        <v>0</v>
      </c>
      <c r="Q744" s="38" t="n">
        <v>0</v>
      </c>
      <c r="R744" s="38" t="n">
        <v>71.1029091688608</v>
      </c>
      <c r="S744" s="37" t="n">
        <v>0</v>
      </c>
    </row>
    <row r="745" customFormat="false" ht="15" hidden="false" customHeight="false" outlineLevel="0" collapsed="false">
      <c r="A745" s="37" t="n">
        <v>0</v>
      </c>
      <c r="B745" s="37" t="n">
        <v>10</v>
      </c>
      <c r="C745" s="37" t="n">
        <v>0</v>
      </c>
      <c r="D745" s="37" t="n">
        <v>5</v>
      </c>
      <c r="E745" s="37" t="n">
        <v>15</v>
      </c>
      <c r="F745" s="37" t="n">
        <v>0</v>
      </c>
      <c r="G745" s="37" t="s">
        <v>188</v>
      </c>
      <c r="H745" s="38" t="n">
        <v>198.493752802596</v>
      </c>
      <c r="I745" s="38" t="n">
        <v>196.665458032547</v>
      </c>
      <c r="J745" s="38" t="n">
        <v>192.312497557787</v>
      </c>
      <c r="K745" s="38" t="n">
        <v>200.20845824397</v>
      </c>
      <c r="L745" s="38" t="n">
        <v>24.9588370045334</v>
      </c>
      <c r="M745" s="38" t="n">
        <v>95.3946581683659</v>
      </c>
      <c r="N745" s="38" t="n">
        <v>79.3398431536802</v>
      </c>
      <c r="O745" s="38" t="n">
        <v>54.1006715838604</v>
      </c>
      <c r="P745" s="37" t="n">
        <v>0</v>
      </c>
      <c r="Q745" s="38" t="n">
        <v>0.0411629954665749</v>
      </c>
      <c r="R745" s="38" t="n">
        <v>72</v>
      </c>
      <c r="S745" s="37" t="n">
        <v>0</v>
      </c>
    </row>
    <row r="746" customFormat="false" ht="15" hidden="false" customHeight="false" outlineLevel="0" collapsed="false">
      <c r="A746" s="37" t="n">
        <v>0</v>
      </c>
      <c r="B746" s="37" t="n">
        <v>10</v>
      </c>
      <c r="C746" s="37" t="n">
        <v>0</v>
      </c>
      <c r="D746" s="37" t="n">
        <v>5</v>
      </c>
      <c r="E746" s="37" t="n">
        <v>15</v>
      </c>
      <c r="F746" s="37" t="n">
        <v>0</v>
      </c>
      <c r="G746" s="37" t="s">
        <v>192</v>
      </c>
      <c r="H746" s="38" t="n">
        <v>198.493752802596</v>
      </c>
      <c r="I746" s="38" t="n">
        <v>196.670200398891</v>
      </c>
      <c r="J746" s="38" t="n">
        <v>203.211798026072</v>
      </c>
      <c r="K746" s="38" t="n">
        <v>223.851557527537</v>
      </c>
      <c r="L746" s="38" t="n">
        <v>25.7174548611182</v>
      </c>
      <c r="M746" s="38" t="n">
        <v>96.2136744591301</v>
      </c>
      <c r="N746" s="38" t="n">
        <v>100.714778243153</v>
      </c>
      <c r="O746" s="38" t="n">
        <v>60.5704548861907</v>
      </c>
      <c r="P746" s="37" t="n">
        <v>0</v>
      </c>
      <c r="Q746" s="38" t="n">
        <v>0.00348850988046934</v>
      </c>
      <c r="R746" s="38" t="n">
        <v>63</v>
      </c>
      <c r="S746" s="37" t="n">
        <v>0</v>
      </c>
    </row>
    <row r="747" customFormat="false" ht="15" hidden="false" customHeight="false" outlineLevel="0" collapsed="false">
      <c r="A747" s="37" t="n">
        <v>0</v>
      </c>
      <c r="B747" s="37" t="n">
        <v>10</v>
      </c>
      <c r="C747" s="37" t="n">
        <v>0</v>
      </c>
      <c r="D747" s="37" t="n">
        <v>5</v>
      </c>
      <c r="E747" s="37" t="n">
        <v>15</v>
      </c>
      <c r="F747" s="37" t="n">
        <v>0</v>
      </c>
      <c r="G747" s="37" t="s">
        <v>195</v>
      </c>
      <c r="H747" s="38" t="n">
        <v>198.493752802596</v>
      </c>
      <c r="I747" s="38" t="n">
        <v>196.715862016046</v>
      </c>
      <c r="J747" s="38" t="n">
        <v>194.029406789944</v>
      </c>
      <c r="K747" s="38" t="n">
        <v>199.618095340059</v>
      </c>
      <c r="L747" s="38" t="n">
        <v>24.9851820409449</v>
      </c>
      <c r="M747" s="38" t="n">
        <v>97.052807939545</v>
      </c>
      <c r="N747" s="38" t="n">
        <v>84.4298099134967</v>
      </c>
      <c r="O747" s="38" t="n">
        <v>57.0670057165543</v>
      </c>
      <c r="P747" s="37" t="n">
        <v>0</v>
      </c>
      <c r="Q747" s="38" t="n">
        <v>0.0148179590551365</v>
      </c>
      <c r="R747" s="38" t="n">
        <v>70.3317630118427</v>
      </c>
      <c r="S747" s="37" t="n">
        <v>0</v>
      </c>
    </row>
    <row r="748" customFormat="false" ht="15" hidden="false" customHeight="false" outlineLevel="0" collapsed="false">
      <c r="A748" s="37" t="n">
        <v>0</v>
      </c>
      <c r="B748" s="37" t="n">
        <v>10</v>
      </c>
      <c r="C748" s="37" t="n">
        <v>0</v>
      </c>
      <c r="D748" s="37" t="n">
        <v>5</v>
      </c>
      <c r="E748" s="37" t="n">
        <v>15</v>
      </c>
      <c r="F748" s="37" t="n">
        <v>0</v>
      </c>
      <c r="G748" s="37" t="s">
        <v>197</v>
      </c>
      <c r="H748" s="38" t="n">
        <v>198.493752802596</v>
      </c>
      <c r="I748" s="38" t="n">
        <v>196.713257918121</v>
      </c>
      <c r="J748" s="38" t="n">
        <v>197.773796232955</v>
      </c>
      <c r="K748" s="38" t="n">
        <v>207.511396226041</v>
      </c>
      <c r="L748" s="38" t="n">
        <v>24.9872882818613</v>
      </c>
      <c r="M748" s="38" t="n">
        <v>104.85981083064</v>
      </c>
      <c r="N748" s="38" t="n">
        <v>104.758530388496</v>
      </c>
      <c r="O748" s="38" t="n">
        <v>62.7909185136149</v>
      </c>
      <c r="P748" s="37" t="n">
        <v>0</v>
      </c>
      <c r="Q748" s="38" t="n">
        <v>0.0127117181386893</v>
      </c>
      <c r="R748" s="38" t="n">
        <v>72</v>
      </c>
      <c r="S748" s="37" t="n">
        <v>1</v>
      </c>
    </row>
    <row r="749" customFormat="false" ht="15" hidden="false" customHeight="false" outlineLevel="0" collapsed="false">
      <c r="A749" s="37" t="n">
        <v>0</v>
      </c>
      <c r="B749" s="37" t="n">
        <v>10</v>
      </c>
      <c r="C749" s="37" t="n">
        <v>0</v>
      </c>
      <c r="D749" s="37" t="n">
        <v>5</v>
      </c>
      <c r="E749" s="37" t="n">
        <v>15</v>
      </c>
      <c r="F749" s="37" t="n">
        <v>0</v>
      </c>
      <c r="G749" s="37" t="s">
        <v>196</v>
      </c>
      <c r="H749" s="38" t="n">
        <v>198.493752802596</v>
      </c>
      <c r="I749" s="38" t="n">
        <v>196.672044069518</v>
      </c>
      <c r="J749" s="38" t="n">
        <v>196.35263866348</v>
      </c>
      <c r="K749" s="38" t="n">
        <v>205.450808754849</v>
      </c>
      <c r="L749" s="38" t="n">
        <v>24.9882633484388</v>
      </c>
      <c r="M749" s="38" t="n">
        <v>100.333342697987</v>
      </c>
      <c r="N749" s="38" t="n">
        <v>95.4762140151649</v>
      </c>
      <c r="O749" s="38" t="n">
        <v>59.7042616800695</v>
      </c>
      <c r="P749" s="37" t="n">
        <v>0</v>
      </c>
      <c r="Q749" s="38" t="n">
        <v>0.011736651561165</v>
      </c>
      <c r="R749" s="38" t="n">
        <v>71.1019466654655</v>
      </c>
      <c r="S749" s="37" t="n">
        <v>0</v>
      </c>
    </row>
    <row r="750" customFormat="false" ht="15" hidden="false" customHeight="false" outlineLevel="0" collapsed="false">
      <c r="A750" s="37" t="n">
        <v>0</v>
      </c>
      <c r="B750" s="37" t="n">
        <v>10</v>
      </c>
      <c r="C750" s="37" t="n">
        <v>0</v>
      </c>
      <c r="D750" s="37" t="n">
        <v>10</v>
      </c>
      <c r="E750" s="37" t="n">
        <v>0</v>
      </c>
      <c r="F750" s="37" t="n">
        <v>10</v>
      </c>
      <c r="G750" s="37" t="s">
        <v>188</v>
      </c>
      <c r="H750" s="38" t="n">
        <v>198.63959949805</v>
      </c>
      <c r="I750" s="38" t="n">
        <v>196.75433425029</v>
      </c>
      <c r="J750" s="38" t="n">
        <v>188.421719328186</v>
      </c>
      <c r="K750" s="38" t="n">
        <v>186.435630583579</v>
      </c>
      <c r="L750" s="38" t="n">
        <v>73.2596204609101</v>
      </c>
      <c r="M750" s="38" t="n">
        <v>92.3813340449747</v>
      </c>
      <c r="N750" s="38" t="n">
        <v>76.5918534137108</v>
      </c>
      <c r="O750" s="38" t="n">
        <v>54.6655770947238</v>
      </c>
      <c r="P750" s="37" t="n">
        <v>0</v>
      </c>
      <c r="Q750" s="38" t="n">
        <v>0</v>
      </c>
      <c r="R750" s="38" t="n">
        <v>72</v>
      </c>
      <c r="S750" s="37" t="n">
        <v>0</v>
      </c>
    </row>
    <row r="751" customFormat="false" ht="15" hidden="false" customHeight="false" outlineLevel="0" collapsed="false">
      <c r="A751" s="37" t="n">
        <v>0</v>
      </c>
      <c r="B751" s="37" t="n">
        <v>10</v>
      </c>
      <c r="C751" s="37" t="n">
        <v>0</v>
      </c>
      <c r="D751" s="37" t="n">
        <v>10</v>
      </c>
      <c r="E751" s="37" t="n">
        <v>0</v>
      </c>
      <c r="F751" s="37" t="n">
        <v>10</v>
      </c>
      <c r="G751" s="37" t="s">
        <v>192</v>
      </c>
      <c r="H751" s="38" t="n">
        <v>198.63959949805</v>
      </c>
      <c r="I751" s="38" t="n">
        <v>196.757774640773</v>
      </c>
      <c r="J751" s="38" t="n">
        <v>201.348935601398</v>
      </c>
      <c r="K751" s="38" t="n">
        <v>197.131674621435</v>
      </c>
      <c r="L751" s="38" t="n">
        <v>64.1914348156362</v>
      </c>
      <c r="M751" s="38" t="n">
        <v>93.3432346989191</v>
      </c>
      <c r="N751" s="38" t="n">
        <v>97.2357265604978</v>
      </c>
      <c r="O751" s="38" t="n">
        <v>65.6194390774791</v>
      </c>
      <c r="P751" s="37" t="n">
        <v>0</v>
      </c>
      <c r="Q751" s="38" t="n">
        <v>0</v>
      </c>
      <c r="R751" s="38" t="n">
        <v>72</v>
      </c>
      <c r="S751" s="37" t="n">
        <v>1</v>
      </c>
    </row>
    <row r="752" customFormat="false" ht="15" hidden="false" customHeight="false" outlineLevel="0" collapsed="false">
      <c r="A752" s="37" t="n">
        <v>0</v>
      </c>
      <c r="B752" s="37" t="n">
        <v>10</v>
      </c>
      <c r="C752" s="37" t="n">
        <v>0</v>
      </c>
      <c r="D752" s="37" t="n">
        <v>10</v>
      </c>
      <c r="E752" s="37" t="n">
        <v>0</v>
      </c>
      <c r="F752" s="37" t="n">
        <v>10</v>
      </c>
      <c r="G752" s="37" t="s">
        <v>195</v>
      </c>
      <c r="H752" s="38" t="n">
        <v>198.63959949805</v>
      </c>
      <c r="I752" s="38" t="n">
        <v>196.839127237217</v>
      </c>
      <c r="J752" s="38" t="n">
        <v>190.423912056453</v>
      </c>
      <c r="K752" s="38" t="n">
        <v>189.412359845153</v>
      </c>
      <c r="L752" s="38" t="n">
        <v>87.4123598451528</v>
      </c>
      <c r="M752" s="38" t="n">
        <v>95.3915276733748</v>
      </c>
      <c r="N752" s="38" t="n">
        <v>86.6348444066196</v>
      </c>
      <c r="O752" s="38" t="n">
        <v>58.3271395907346</v>
      </c>
      <c r="P752" s="37" t="n">
        <v>0</v>
      </c>
      <c r="Q752" s="38" t="n">
        <v>0</v>
      </c>
      <c r="R752" s="38" t="n">
        <v>67.3002113577524</v>
      </c>
      <c r="S752" s="37" t="n">
        <v>0</v>
      </c>
    </row>
    <row r="753" customFormat="false" ht="15" hidden="false" customHeight="false" outlineLevel="0" collapsed="false">
      <c r="A753" s="37" t="n">
        <v>0</v>
      </c>
      <c r="B753" s="37" t="n">
        <v>10</v>
      </c>
      <c r="C753" s="37" t="n">
        <v>0</v>
      </c>
      <c r="D753" s="37" t="n">
        <v>10</v>
      </c>
      <c r="E753" s="37" t="n">
        <v>0</v>
      </c>
      <c r="F753" s="37" t="n">
        <v>10</v>
      </c>
      <c r="G753" s="37" t="s">
        <v>197</v>
      </c>
      <c r="H753" s="38" t="n">
        <v>198.63959949805</v>
      </c>
      <c r="I753" s="38" t="n">
        <v>196.756464175672</v>
      </c>
      <c r="J753" s="38" t="n">
        <v>191.700967583009</v>
      </c>
      <c r="K753" s="38" t="n">
        <v>190.698149191463</v>
      </c>
      <c r="L753" s="38" t="n">
        <v>83.4373725296573</v>
      </c>
      <c r="M753" s="38" t="n">
        <v>94.1846422161222</v>
      </c>
      <c r="N753" s="38" t="n">
        <v>81.4447997830392</v>
      </c>
      <c r="O753" s="38" t="n">
        <v>56.7288356388596</v>
      </c>
      <c r="P753" s="37" t="n">
        <v>0</v>
      </c>
      <c r="Q753" s="38" t="n">
        <v>0</v>
      </c>
      <c r="R753" s="38" t="n">
        <v>72</v>
      </c>
      <c r="S753" s="37" t="n">
        <v>0</v>
      </c>
    </row>
    <row r="754" customFormat="false" ht="15" hidden="false" customHeight="false" outlineLevel="0" collapsed="false">
      <c r="A754" s="37" t="n">
        <v>0</v>
      </c>
      <c r="B754" s="37" t="n">
        <v>10</v>
      </c>
      <c r="C754" s="37" t="n">
        <v>0</v>
      </c>
      <c r="D754" s="37" t="n">
        <v>10</v>
      </c>
      <c r="E754" s="37" t="n">
        <v>0</v>
      </c>
      <c r="F754" s="37" t="n">
        <v>10</v>
      </c>
      <c r="G754" s="37" t="s">
        <v>196</v>
      </c>
      <c r="H754" s="38" t="n">
        <v>198.63959949805</v>
      </c>
      <c r="I754" s="38" t="n">
        <v>196.757220556441</v>
      </c>
      <c r="J754" s="38" t="n">
        <v>185.716795116382</v>
      </c>
      <c r="K754" s="38" t="n">
        <v>193.928692430396</v>
      </c>
      <c r="L754" s="38" t="n">
        <v>80.3731368748407</v>
      </c>
      <c r="M754" s="38" t="n">
        <v>96.3831913087508</v>
      </c>
      <c r="N754" s="38" t="n">
        <v>90.1279051237837</v>
      </c>
      <c r="O754" s="38" t="n">
        <v>59.7745704862291</v>
      </c>
      <c r="P754" s="37" t="n">
        <v>0</v>
      </c>
      <c r="Q754" s="38" t="n">
        <v>0</v>
      </c>
      <c r="R754" s="38" t="n">
        <v>70.7373333333333</v>
      </c>
      <c r="S754" s="37" t="n">
        <v>0</v>
      </c>
    </row>
    <row r="755" customFormat="false" ht="15" hidden="false" customHeight="false" outlineLevel="0" collapsed="false">
      <c r="A755" s="37" t="n">
        <v>0</v>
      </c>
      <c r="B755" s="37" t="n">
        <v>10</v>
      </c>
      <c r="C755" s="37" t="n">
        <v>0</v>
      </c>
      <c r="D755" s="37" t="n">
        <v>10</v>
      </c>
      <c r="E755" s="37" t="n">
        <v>5</v>
      </c>
      <c r="F755" s="37" t="n">
        <v>5</v>
      </c>
      <c r="G755" s="37" t="s">
        <v>188</v>
      </c>
      <c r="H755" s="38" t="n">
        <v>198.663789399033</v>
      </c>
      <c r="I755" s="38" t="n">
        <v>197.040844176186</v>
      </c>
      <c r="J755" s="38" t="n">
        <v>191.646924868919</v>
      </c>
      <c r="K755" s="38" t="n">
        <v>192.04923926246</v>
      </c>
      <c r="L755" s="38" t="n">
        <v>39.1275553262162</v>
      </c>
      <c r="M755" s="38" t="n">
        <v>93.7916784382985</v>
      </c>
      <c r="N755" s="38" t="n">
        <v>84.0996841335032</v>
      </c>
      <c r="O755" s="38" t="n">
        <v>54.8965801239113</v>
      </c>
      <c r="P755" s="37" t="n">
        <v>0</v>
      </c>
      <c r="Q755" s="38" t="n">
        <v>0</v>
      </c>
      <c r="R755" s="38" t="n">
        <v>72</v>
      </c>
      <c r="S755" s="37" t="n">
        <v>0</v>
      </c>
    </row>
    <row r="756" customFormat="false" ht="15" hidden="false" customHeight="false" outlineLevel="0" collapsed="false">
      <c r="A756" s="37" t="n">
        <v>0</v>
      </c>
      <c r="B756" s="37" t="n">
        <v>10</v>
      </c>
      <c r="C756" s="37" t="n">
        <v>0</v>
      </c>
      <c r="D756" s="37" t="n">
        <v>10</v>
      </c>
      <c r="E756" s="37" t="n">
        <v>5</v>
      </c>
      <c r="F756" s="37" t="n">
        <v>5</v>
      </c>
      <c r="G756" s="37" t="s">
        <v>192</v>
      </c>
      <c r="H756" s="38" t="n">
        <v>198.663789399033</v>
      </c>
      <c r="I756" s="38" t="n">
        <v>197.04435649581</v>
      </c>
      <c r="J756" s="38" t="n">
        <v>204.58181941304</v>
      </c>
      <c r="K756" s="38" t="n">
        <v>202.668702624187</v>
      </c>
      <c r="L756" s="38" t="n">
        <v>29.778698421044</v>
      </c>
      <c r="M756" s="38" t="n">
        <v>94.6901904432708</v>
      </c>
      <c r="N756" s="38" t="n">
        <v>96.4054360181694</v>
      </c>
      <c r="O756" s="38" t="n">
        <v>65.9913478976219</v>
      </c>
      <c r="P756" s="37" t="n">
        <v>0</v>
      </c>
      <c r="Q756" s="38" t="n">
        <v>0</v>
      </c>
      <c r="R756" s="38" t="n">
        <v>72</v>
      </c>
      <c r="S756" s="37" t="n">
        <v>0</v>
      </c>
    </row>
    <row r="757" customFormat="false" ht="15" hidden="false" customHeight="false" outlineLevel="0" collapsed="false">
      <c r="A757" s="37" t="n">
        <v>0</v>
      </c>
      <c r="B757" s="37" t="n">
        <v>10</v>
      </c>
      <c r="C757" s="37" t="n">
        <v>0</v>
      </c>
      <c r="D757" s="37" t="n">
        <v>10</v>
      </c>
      <c r="E757" s="37" t="n">
        <v>5</v>
      </c>
      <c r="F757" s="37" t="n">
        <v>5</v>
      </c>
      <c r="G757" s="37" t="s">
        <v>195</v>
      </c>
      <c r="H757" s="38" t="n">
        <v>198.663789399033</v>
      </c>
      <c r="I757" s="38" t="n">
        <v>197.137032654141</v>
      </c>
      <c r="J757" s="38" t="n">
        <v>193.646045383762</v>
      </c>
      <c r="K757" s="38" t="n">
        <v>195.149781236181</v>
      </c>
      <c r="L757" s="38" t="n">
        <v>53.1497812361811</v>
      </c>
      <c r="M757" s="38" t="n">
        <v>96.7838561035227</v>
      </c>
      <c r="N757" s="38" t="n">
        <v>94.7764556594576</v>
      </c>
      <c r="O757" s="38" t="n">
        <v>58.8870892528912</v>
      </c>
      <c r="P757" s="37" t="n">
        <v>0</v>
      </c>
      <c r="Q757" s="38" t="n">
        <v>0</v>
      </c>
      <c r="R757" s="38" t="n">
        <v>67.2863330696727</v>
      </c>
      <c r="S757" s="37" t="n">
        <v>0</v>
      </c>
    </row>
    <row r="758" customFormat="false" ht="15" hidden="false" customHeight="false" outlineLevel="0" collapsed="false">
      <c r="A758" s="37" t="n">
        <v>0</v>
      </c>
      <c r="B758" s="37" t="n">
        <v>10</v>
      </c>
      <c r="C758" s="37" t="n">
        <v>0</v>
      </c>
      <c r="D758" s="37" t="n">
        <v>10</v>
      </c>
      <c r="E758" s="37" t="n">
        <v>5</v>
      </c>
      <c r="F758" s="37" t="n">
        <v>5</v>
      </c>
      <c r="G758" s="37" t="s">
        <v>197</v>
      </c>
      <c r="H758" s="38" t="n">
        <v>198.663789399033</v>
      </c>
      <c r="I758" s="38" t="n">
        <v>197.053021244991</v>
      </c>
      <c r="J758" s="38" t="n">
        <v>195.51433449129</v>
      </c>
      <c r="K758" s="38" t="n">
        <v>197.216696061578</v>
      </c>
      <c r="L758" s="38" t="n">
        <v>35.5146112067808</v>
      </c>
      <c r="M758" s="38" t="n">
        <v>98.9446261992456</v>
      </c>
      <c r="N758" s="38" t="n">
        <v>96.0947642155575</v>
      </c>
      <c r="O758" s="38" t="n">
        <v>63.8315093529069</v>
      </c>
      <c r="P758" s="37" t="n">
        <v>0</v>
      </c>
      <c r="Q758" s="38" t="n">
        <v>0</v>
      </c>
      <c r="R758" s="38" t="n">
        <v>72</v>
      </c>
      <c r="S758" s="37" t="n">
        <v>0</v>
      </c>
    </row>
    <row r="759" customFormat="false" ht="15" hidden="false" customHeight="false" outlineLevel="0" collapsed="false">
      <c r="A759" s="37" t="n">
        <v>0</v>
      </c>
      <c r="B759" s="37" t="n">
        <v>10</v>
      </c>
      <c r="C759" s="37" t="n">
        <v>0</v>
      </c>
      <c r="D759" s="37" t="n">
        <v>10</v>
      </c>
      <c r="E759" s="37" t="n">
        <v>5</v>
      </c>
      <c r="F759" s="37" t="n">
        <v>5</v>
      </c>
      <c r="G759" s="37" t="s">
        <v>196</v>
      </c>
      <c r="H759" s="38" t="n">
        <v>198.663789399033</v>
      </c>
      <c r="I759" s="38" t="n">
        <v>197.044456913324</v>
      </c>
      <c r="J759" s="38" t="n">
        <v>188.452822316782</v>
      </c>
      <c r="K759" s="38" t="n">
        <v>198.937481156474</v>
      </c>
      <c r="L759" s="38" t="n">
        <v>45.3819256009181</v>
      </c>
      <c r="M759" s="38" t="n">
        <v>98.4128224902697</v>
      </c>
      <c r="N759" s="38" t="n">
        <v>99.2018589059178</v>
      </c>
      <c r="O759" s="38" t="n">
        <v>61.3152281947947</v>
      </c>
      <c r="P759" s="37" t="n">
        <v>0</v>
      </c>
      <c r="Q759" s="38" t="n">
        <v>0</v>
      </c>
      <c r="R759" s="38" t="n">
        <v>70.604</v>
      </c>
      <c r="S759" s="37" t="n">
        <v>1</v>
      </c>
    </row>
    <row r="760" customFormat="false" ht="15" hidden="false" customHeight="false" outlineLevel="0" collapsed="false">
      <c r="A760" s="37" t="n">
        <v>0</v>
      </c>
      <c r="B760" s="37" t="n">
        <v>10</v>
      </c>
      <c r="C760" s="37" t="n">
        <v>0</v>
      </c>
      <c r="D760" s="37" t="n">
        <v>10</v>
      </c>
      <c r="E760" s="37" t="n">
        <v>10</v>
      </c>
      <c r="F760" s="37" t="n">
        <v>0</v>
      </c>
      <c r="G760" s="37" t="s">
        <v>188</v>
      </c>
      <c r="H760" s="38" t="n">
        <v>198.687406792477</v>
      </c>
      <c r="I760" s="38" t="n">
        <v>197.337027374927</v>
      </c>
      <c r="J760" s="38" t="n">
        <v>194.071989230139</v>
      </c>
      <c r="K760" s="38" t="n">
        <v>196.992689871401</v>
      </c>
      <c r="L760" s="38" t="n">
        <v>24.9486278999849</v>
      </c>
      <c r="M760" s="38" t="n">
        <v>95.1046630510749</v>
      </c>
      <c r="N760" s="38" t="n">
        <v>78.2613221518777</v>
      </c>
      <c r="O760" s="38" t="n">
        <v>55.4649807061896</v>
      </c>
      <c r="P760" s="37" t="n">
        <v>0</v>
      </c>
      <c r="Q760" s="38" t="n">
        <v>0.0513721000150689</v>
      </c>
      <c r="R760" s="38" t="n">
        <v>72</v>
      </c>
      <c r="S760" s="37" t="n">
        <v>0</v>
      </c>
    </row>
    <row r="761" customFormat="false" ht="15" hidden="false" customHeight="false" outlineLevel="0" collapsed="false">
      <c r="A761" s="37" t="n">
        <v>0</v>
      </c>
      <c r="B761" s="37" t="n">
        <v>10</v>
      </c>
      <c r="C761" s="37" t="n">
        <v>0</v>
      </c>
      <c r="D761" s="37" t="n">
        <v>10</v>
      </c>
      <c r="E761" s="37" t="n">
        <v>10</v>
      </c>
      <c r="F761" s="37" t="n">
        <v>0</v>
      </c>
      <c r="G761" s="37" t="s">
        <v>192</v>
      </c>
      <c r="H761" s="38" t="n">
        <v>198.687406792477</v>
      </c>
      <c r="I761" s="38" t="n">
        <v>197.341945304133</v>
      </c>
      <c r="J761" s="38" t="n">
        <v>205.104491139259</v>
      </c>
      <c r="K761" s="38" t="n">
        <v>220.893681733969</v>
      </c>
      <c r="L761" s="38" t="n">
        <v>25.2528076400665</v>
      </c>
      <c r="M761" s="38" t="n">
        <v>95.9466404340779</v>
      </c>
      <c r="N761" s="38" t="n">
        <v>99.4650694660964</v>
      </c>
      <c r="O761" s="38" t="n">
        <v>62.6806957868683</v>
      </c>
      <c r="P761" s="37" t="n">
        <v>0</v>
      </c>
      <c r="Q761" s="38" t="n">
        <v>0.0101757255568487</v>
      </c>
      <c r="R761" s="38" t="n">
        <v>63</v>
      </c>
      <c r="S761" s="37" t="n">
        <v>0</v>
      </c>
    </row>
    <row r="762" customFormat="false" ht="15" hidden="false" customHeight="false" outlineLevel="0" collapsed="false">
      <c r="A762" s="37" t="n">
        <v>0</v>
      </c>
      <c r="B762" s="37" t="n">
        <v>10</v>
      </c>
      <c r="C762" s="37" t="n">
        <v>0</v>
      </c>
      <c r="D762" s="37" t="n">
        <v>10</v>
      </c>
      <c r="E762" s="37" t="n">
        <v>10</v>
      </c>
      <c r="F762" s="37" t="n">
        <v>0</v>
      </c>
      <c r="G762" s="37" t="s">
        <v>195</v>
      </c>
      <c r="H762" s="38" t="n">
        <v>198.687406792477</v>
      </c>
      <c r="I762" s="38" t="n">
        <v>197.445317110632</v>
      </c>
      <c r="J762" s="38" t="n">
        <v>196.295903680209</v>
      </c>
      <c r="K762" s="38" t="n">
        <v>200.118033525207</v>
      </c>
      <c r="L762" s="38" t="n">
        <v>24.989299712875</v>
      </c>
      <c r="M762" s="38" t="n">
        <v>98.0830712479971</v>
      </c>
      <c r="N762" s="38" t="n">
        <v>88.3218301528348</v>
      </c>
      <c r="O762" s="38" t="n">
        <v>59.3269408137878</v>
      </c>
      <c r="P762" s="37" t="n">
        <v>0</v>
      </c>
      <c r="Q762" s="38" t="n">
        <v>0.0107002871250188</v>
      </c>
      <c r="R762" s="38" t="n">
        <v>67.2741245604781</v>
      </c>
      <c r="S762" s="37" t="n">
        <v>0</v>
      </c>
    </row>
    <row r="763" customFormat="false" ht="15" hidden="false" customHeight="false" outlineLevel="0" collapsed="false">
      <c r="A763" s="37" t="n">
        <v>0</v>
      </c>
      <c r="B763" s="37" t="n">
        <v>10</v>
      </c>
      <c r="C763" s="37" t="n">
        <v>0</v>
      </c>
      <c r="D763" s="37" t="n">
        <v>10</v>
      </c>
      <c r="E763" s="37" t="n">
        <v>10</v>
      </c>
      <c r="F763" s="37" t="n">
        <v>0</v>
      </c>
      <c r="G763" s="37" t="s">
        <v>197</v>
      </c>
      <c r="H763" s="38" t="n">
        <v>198.687406792477</v>
      </c>
      <c r="I763" s="38" t="n">
        <v>197.370170429249</v>
      </c>
      <c r="J763" s="38" t="n">
        <v>198.919385022738</v>
      </c>
      <c r="K763" s="38" t="n">
        <v>203.24601444868</v>
      </c>
      <c r="L763" s="38" t="n">
        <v>24.9762473469407</v>
      </c>
      <c r="M763" s="38" t="n">
        <v>102.906721432755</v>
      </c>
      <c r="N763" s="38" t="n">
        <v>101.563925951631</v>
      </c>
      <c r="O763" s="38" t="n">
        <v>63.4132422769307</v>
      </c>
      <c r="P763" s="37" t="n">
        <v>0</v>
      </c>
      <c r="Q763" s="38" t="n">
        <v>0.0237526530593186</v>
      </c>
      <c r="R763" s="38" t="n">
        <v>72</v>
      </c>
      <c r="S763" s="37" t="n">
        <v>1</v>
      </c>
    </row>
    <row r="764" customFormat="false" ht="15" hidden="false" customHeight="false" outlineLevel="0" collapsed="false">
      <c r="A764" s="37" t="n">
        <v>0</v>
      </c>
      <c r="B764" s="37" t="n">
        <v>10</v>
      </c>
      <c r="C764" s="37" t="n">
        <v>0</v>
      </c>
      <c r="D764" s="37" t="n">
        <v>10</v>
      </c>
      <c r="E764" s="37" t="n">
        <v>10</v>
      </c>
      <c r="F764" s="37" t="n">
        <v>0</v>
      </c>
      <c r="G764" s="37" t="s">
        <v>196</v>
      </c>
      <c r="H764" s="38" t="n">
        <v>198.687406792477</v>
      </c>
      <c r="I764" s="38" t="n">
        <v>197.342972971911</v>
      </c>
      <c r="J764" s="38" t="n">
        <v>190.733796925469</v>
      </c>
      <c r="K764" s="38" t="n">
        <v>203.397298236617</v>
      </c>
      <c r="L764" s="38" t="n">
        <v>24.989226892051</v>
      </c>
      <c r="M764" s="38" t="n">
        <v>100.201882235932</v>
      </c>
      <c r="N764" s="38" t="n">
        <v>93.2842602036509</v>
      </c>
      <c r="O764" s="38" t="n">
        <v>59.228735813251</v>
      </c>
      <c r="P764" s="37" t="n">
        <v>0</v>
      </c>
      <c r="Q764" s="38" t="n">
        <v>0.010773107949035</v>
      </c>
      <c r="R764" s="38" t="n">
        <v>70.604</v>
      </c>
      <c r="S764" s="37" t="n">
        <v>0</v>
      </c>
    </row>
    <row r="765" customFormat="false" ht="15" hidden="false" customHeight="false" outlineLevel="0" collapsed="false">
      <c r="A765" s="37" t="n">
        <v>0</v>
      </c>
      <c r="B765" s="37" t="n">
        <v>10</v>
      </c>
      <c r="C765" s="37" t="n">
        <v>0</v>
      </c>
      <c r="D765" s="37" t="n">
        <v>15</v>
      </c>
      <c r="E765" s="37" t="n">
        <v>0</v>
      </c>
      <c r="F765" s="37" t="n">
        <v>5</v>
      </c>
      <c r="G765" s="37" t="s">
        <v>188</v>
      </c>
      <c r="H765" s="38" t="n">
        <v>198.800199908607</v>
      </c>
      <c r="I765" s="38" t="n">
        <v>197.413064093856</v>
      </c>
      <c r="J765" s="38" t="n">
        <v>190.827472653854</v>
      </c>
      <c r="K765" s="38" t="n">
        <v>183.989904955516</v>
      </c>
      <c r="L765" s="38" t="n">
        <v>31.2437022080728</v>
      </c>
      <c r="M765" s="38" t="n">
        <v>92.7292927178236</v>
      </c>
      <c r="N765" s="38" t="n">
        <v>70.6689084886362</v>
      </c>
      <c r="O765" s="38" t="n">
        <v>53.6591075435549</v>
      </c>
      <c r="P765" s="37" t="n">
        <v>0</v>
      </c>
      <c r="Q765" s="38" t="n">
        <v>0</v>
      </c>
      <c r="R765" s="38" t="n">
        <v>72</v>
      </c>
      <c r="S765" s="37" t="n">
        <v>0</v>
      </c>
    </row>
    <row r="766" customFormat="false" ht="15" hidden="false" customHeight="false" outlineLevel="0" collapsed="false">
      <c r="A766" s="37" t="n">
        <v>0</v>
      </c>
      <c r="B766" s="37" t="n">
        <v>10</v>
      </c>
      <c r="C766" s="37" t="n">
        <v>0</v>
      </c>
      <c r="D766" s="37" t="n">
        <v>15</v>
      </c>
      <c r="E766" s="37" t="n">
        <v>0</v>
      </c>
      <c r="F766" s="37" t="n">
        <v>5</v>
      </c>
      <c r="G766" s="37" t="s">
        <v>192</v>
      </c>
      <c r="H766" s="38" t="n">
        <v>198.800199908607</v>
      </c>
      <c r="I766" s="38" t="n">
        <v>197.416639516915</v>
      </c>
      <c r="J766" s="38" t="n">
        <v>203.767992259644</v>
      </c>
      <c r="K766" s="38" t="n">
        <v>194.6217841347</v>
      </c>
      <c r="L766" s="38" t="n">
        <v>33.6788544022565</v>
      </c>
      <c r="M766" s="38" t="n">
        <v>93.6803298682289</v>
      </c>
      <c r="N766" s="38" t="n">
        <v>93.2370500016234</v>
      </c>
      <c r="O766" s="38" t="n">
        <v>62.1878194753206</v>
      </c>
      <c r="P766" s="37" t="n">
        <v>0</v>
      </c>
      <c r="Q766" s="38" t="n">
        <v>0</v>
      </c>
      <c r="R766" s="38" t="n">
        <v>72</v>
      </c>
      <c r="S766" s="37" t="n">
        <v>1</v>
      </c>
    </row>
    <row r="767" customFormat="false" ht="15" hidden="false" customHeight="false" outlineLevel="0" collapsed="false">
      <c r="A767" s="37" t="n">
        <v>0</v>
      </c>
      <c r="B767" s="37" t="n">
        <v>10</v>
      </c>
      <c r="C767" s="37" t="n">
        <v>0</v>
      </c>
      <c r="D767" s="37" t="n">
        <v>15</v>
      </c>
      <c r="E767" s="37" t="n">
        <v>0</v>
      </c>
      <c r="F767" s="37" t="n">
        <v>5</v>
      </c>
      <c r="G767" s="37" t="s">
        <v>195</v>
      </c>
      <c r="H767" s="38" t="n">
        <v>198.800199908607</v>
      </c>
      <c r="I767" s="38" t="n">
        <v>197.555360308038</v>
      </c>
      <c r="J767" s="38" t="n">
        <v>193.76176237093</v>
      </c>
      <c r="K767" s="38" t="n">
        <v>188.560620350739</v>
      </c>
      <c r="L767" s="38" t="n">
        <v>46.5606203507392</v>
      </c>
      <c r="M767" s="38" t="n">
        <v>96.6740459745061</v>
      </c>
      <c r="N767" s="38" t="n">
        <v>90.0588040751095</v>
      </c>
      <c r="O767" s="38" t="n">
        <v>58.0599284146305</v>
      </c>
      <c r="P767" s="37" t="n">
        <v>0</v>
      </c>
      <c r="Q767" s="38" t="n">
        <v>0</v>
      </c>
      <c r="R767" s="38" t="n">
        <v>67.36</v>
      </c>
      <c r="S767" s="37" t="n">
        <v>0</v>
      </c>
    </row>
    <row r="768" customFormat="false" ht="15" hidden="false" customHeight="false" outlineLevel="0" collapsed="false">
      <c r="A768" s="37" t="n">
        <v>0</v>
      </c>
      <c r="B768" s="37" t="n">
        <v>10</v>
      </c>
      <c r="C768" s="37" t="n">
        <v>0</v>
      </c>
      <c r="D768" s="37" t="n">
        <v>15</v>
      </c>
      <c r="E768" s="37" t="n">
        <v>0</v>
      </c>
      <c r="F768" s="37" t="n">
        <v>5</v>
      </c>
      <c r="G768" s="37" t="s">
        <v>197</v>
      </c>
      <c r="H768" s="38" t="n">
        <v>198.800199908607</v>
      </c>
      <c r="I768" s="38" t="n">
        <v>197.415263544903</v>
      </c>
      <c r="J768" s="38" t="n">
        <v>194.04873248212</v>
      </c>
      <c r="K768" s="38" t="n">
        <v>188.170834834087</v>
      </c>
      <c r="L768" s="38" t="n">
        <v>41.0910774015833</v>
      </c>
      <c r="M768" s="38" t="n">
        <v>94.5326695564261</v>
      </c>
      <c r="N768" s="38" t="n">
        <v>83.0352171527245</v>
      </c>
      <c r="O768" s="38" t="n">
        <v>55.7572359466819</v>
      </c>
      <c r="P768" s="37" t="n">
        <v>0</v>
      </c>
      <c r="Q768" s="38" t="n">
        <v>0</v>
      </c>
      <c r="R768" s="38" t="n">
        <v>72</v>
      </c>
      <c r="S768" s="37" t="n">
        <v>0</v>
      </c>
    </row>
    <row r="769" customFormat="false" ht="15" hidden="false" customHeight="false" outlineLevel="0" collapsed="false">
      <c r="A769" s="37" t="n">
        <v>0</v>
      </c>
      <c r="B769" s="37" t="n">
        <v>10</v>
      </c>
      <c r="C769" s="37" t="n">
        <v>0</v>
      </c>
      <c r="D769" s="37" t="n">
        <v>15</v>
      </c>
      <c r="E769" s="37" t="n">
        <v>0</v>
      </c>
      <c r="F769" s="37" t="n">
        <v>5</v>
      </c>
      <c r="G769" s="37" t="s">
        <v>196</v>
      </c>
      <c r="H769" s="38" t="n">
        <v>198.800199908607</v>
      </c>
      <c r="I769" s="38" t="n">
        <v>197.416011765117</v>
      </c>
      <c r="J769" s="38" t="n">
        <v>187.923494652445</v>
      </c>
      <c r="K769" s="38" t="n">
        <v>191.193409122802</v>
      </c>
      <c r="L769" s="38" t="n">
        <v>37.6378535672467</v>
      </c>
      <c r="M769" s="38" t="n">
        <v>97.0437648101165</v>
      </c>
      <c r="N769" s="38" t="n">
        <v>89.3583941596003</v>
      </c>
      <c r="O769" s="38" t="n">
        <v>58.521659748712</v>
      </c>
      <c r="P769" s="37" t="n">
        <v>0</v>
      </c>
      <c r="Q769" s="38" t="n">
        <v>0</v>
      </c>
      <c r="R769" s="38" t="n">
        <v>70.7373333333333</v>
      </c>
      <c r="S769" s="37" t="n">
        <v>0</v>
      </c>
    </row>
    <row r="770" customFormat="false" ht="15" hidden="false" customHeight="false" outlineLevel="0" collapsed="false">
      <c r="A770" s="37" t="n">
        <v>0</v>
      </c>
      <c r="B770" s="37" t="n">
        <v>10</v>
      </c>
      <c r="C770" s="37" t="n">
        <v>0</v>
      </c>
      <c r="D770" s="37" t="n">
        <v>15</v>
      </c>
      <c r="E770" s="37" t="n">
        <v>5</v>
      </c>
      <c r="F770" s="37" t="n">
        <v>0</v>
      </c>
      <c r="G770" s="37" t="s">
        <v>188</v>
      </c>
      <c r="H770" s="38" t="n">
        <v>198.819214600535</v>
      </c>
      <c r="I770" s="38" t="n">
        <v>197.682370620545</v>
      </c>
      <c r="J770" s="38" t="n">
        <v>188.192449691729</v>
      </c>
      <c r="K770" s="38" t="n">
        <v>181.93095735337</v>
      </c>
      <c r="L770" s="38" t="n">
        <v>22.8896542508822</v>
      </c>
      <c r="M770" s="38" t="n">
        <v>94.1001217783663</v>
      </c>
      <c r="N770" s="38" t="n">
        <v>63.7657586001595</v>
      </c>
      <c r="O770" s="38" t="n">
        <v>52.6601371528573</v>
      </c>
      <c r="P770" s="37" t="n">
        <v>0</v>
      </c>
      <c r="Q770" s="38" t="n">
        <v>2.11034574911779</v>
      </c>
      <c r="R770" s="38" t="n">
        <v>72</v>
      </c>
      <c r="S770" s="37" t="n">
        <v>0</v>
      </c>
    </row>
    <row r="771" customFormat="false" ht="15" hidden="false" customHeight="false" outlineLevel="0" collapsed="false">
      <c r="A771" s="37" t="n">
        <v>0</v>
      </c>
      <c r="B771" s="37" t="n">
        <v>10</v>
      </c>
      <c r="C771" s="37" t="n">
        <v>0</v>
      </c>
      <c r="D771" s="37" t="n">
        <v>15</v>
      </c>
      <c r="E771" s="37" t="n">
        <v>5</v>
      </c>
      <c r="F771" s="37" t="n">
        <v>0</v>
      </c>
      <c r="G771" s="37" t="s">
        <v>192</v>
      </c>
      <c r="H771" s="38" t="n">
        <v>198.819214600535</v>
      </c>
      <c r="I771" s="38" t="n">
        <v>197.685996985413</v>
      </c>
      <c r="J771" s="38" t="n">
        <v>200.054073284865</v>
      </c>
      <c r="K771" s="38" t="n">
        <v>207.61877217129</v>
      </c>
      <c r="L771" s="38" t="n">
        <v>24.9852658889848</v>
      </c>
      <c r="M771" s="38" t="n">
        <v>94.96681909398</v>
      </c>
      <c r="N771" s="38" t="n">
        <v>87.9704423735064</v>
      </c>
      <c r="O771" s="38" t="n">
        <v>59.554774769801</v>
      </c>
      <c r="P771" s="37" t="n">
        <v>0</v>
      </c>
      <c r="Q771" s="38" t="n">
        <v>0.0147341110152297</v>
      </c>
      <c r="R771" s="38" t="n">
        <v>63</v>
      </c>
      <c r="S771" s="37" t="n">
        <v>0</v>
      </c>
    </row>
    <row r="772" customFormat="false" ht="15" hidden="false" customHeight="false" outlineLevel="0" collapsed="false">
      <c r="A772" s="37" t="n">
        <v>0</v>
      </c>
      <c r="B772" s="37" t="n">
        <v>10</v>
      </c>
      <c r="C772" s="37" t="n">
        <v>0</v>
      </c>
      <c r="D772" s="37" t="n">
        <v>15</v>
      </c>
      <c r="E772" s="37" t="n">
        <v>5</v>
      </c>
      <c r="F772" s="37" t="n">
        <v>0</v>
      </c>
      <c r="G772" s="37" t="s">
        <v>195</v>
      </c>
      <c r="H772" s="38" t="n">
        <v>198.819214600535</v>
      </c>
      <c r="I772" s="38" t="n">
        <v>197.837862116073</v>
      </c>
      <c r="J772" s="38" t="n">
        <v>197.081071376049</v>
      </c>
      <c r="K772" s="38" t="n">
        <v>194.435907735917</v>
      </c>
      <c r="L772" s="38" t="n">
        <v>24.9791570368089</v>
      </c>
      <c r="M772" s="38" t="n">
        <v>98.0007674674958</v>
      </c>
      <c r="N772" s="38" t="n">
        <v>85.4005643052959</v>
      </c>
      <c r="O772" s="38" t="n">
        <v>59.0652358959144</v>
      </c>
      <c r="P772" s="37" t="n">
        <v>0</v>
      </c>
      <c r="Q772" s="38" t="n">
        <v>0.0208429631910612</v>
      </c>
      <c r="R772" s="38" t="n">
        <v>67.36</v>
      </c>
      <c r="S772" s="37" t="n">
        <v>0</v>
      </c>
    </row>
    <row r="773" customFormat="false" ht="15" hidden="false" customHeight="false" outlineLevel="0" collapsed="false">
      <c r="A773" s="37" t="n">
        <v>0</v>
      </c>
      <c r="B773" s="37" t="n">
        <v>10</v>
      </c>
      <c r="C773" s="37" t="n">
        <v>0</v>
      </c>
      <c r="D773" s="37" t="n">
        <v>15</v>
      </c>
      <c r="E773" s="37" t="n">
        <v>5</v>
      </c>
      <c r="F773" s="37" t="n">
        <v>0</v>
      </c>
      <c r="G773" s="37" t="s">
        <v>197</v>
      </c>
      <c r="H773" s="38" t="n">
        <v>198.819214600535</v>
      </c>
      <c r="I773" s="38" t="n">
        <v>197.695223856647</v>
      </c>
      <c r="J773" s="38" t="n">
        <v>197.76783906131</v>
      </c>
      <c r="K773" s="38" t="n">
        <v>194.906987292733</v>
      </c>
      <c r="L773" s="38" t="n">
        <v>24.9533222595165</v>
      </c>
      <c r="M773" s="38" t="n">
        <v>99.2288255475405</v>
      </c>
      <c r="N773" s="38" t="n">
        <v>88.046252557314</v>
      </c>
      <c r="O773" s="38" t="n">
        <v>60.9180369797951</v>
      </c>
      <c r="P773" s="37" t="n">
        <v>0</v>
      </c>
      <c r="Q773" s="38" t="n">
        <v>0.0466777404835455</v>
      </c>
      <c r="R773" s="38" t="n">
        <v>72</v>
      </c>
      <c r="S773" s="37" t="n">
        <v>1</v>
      </c>
    </row>
    <row r="774" customFormat="false" ht="15" hidden="false" customHeight="false" outlineLevel="0" collapsed="false">
      <c r="A774" s="37" t="n">
        <v>0</v>
      </c>
      <c r="B774" s="37" t="n">
        <v>10</v>
      </c>
      <c r="C774" s="37" t="n">
        <v>0</v>
      </c>
      <c r="D774" s="37" t="n">
        <v>15</v>
      </c>
      <c r="E774" s="37" t="n">
        <v>5</v>
      </c>
      <c r="F774" s="37" t="n">
        <v>0</v>
      </c>
      <c r="G774" s="37" t="s">
        <v>196</v>
      </c>
      <c r="H774" s="38" t="n">
        <v>198.819214600535</v>
      </c>
      <c r="I774" s="38" t="n">
        <v>197.686115486736</v>
      </c>
      <c r="J774" s="38" t="n">
        <v>190.512140117488</v>
      </c>
      <c r="K774" s="38" t="n">
        <v>196.147002159858</v>
      </c>
      <c r="L774" s="38" t="n">
        <v>24.9707254460245</v>
      </c>
      <c r="M774" s="38" t="n">
        <v>99.0083831164023</v>
      </c>
      <c r="N774" s="38" t="n">
        <v>86.9950882171723</v>
      </c>
      <c r="O774" s="38" t="n">
        <v>57.6953367895205</v>
      </c>
      <c r="P774" s="37" t="n">
        <v>0</v>
      </c>
      <c r="Q774" s="38" t="n">
        <v>0.0292745539755153</v>
      </c>
      <c r="R774" s="38" t="n">
        <v>70.604</v>
      </c>
      <c r="S774" s="37" t="n">
        <v>0</v>
      </c>
    </row>
    <row r="775" customFormat="false" ht="15" hidden="false" customHeight="false" outlineLevel="0" collapsed="false">
      <c r="A775" s="37" t="n">
        <v>0</v>
      </c>
      <c r="B775" s="37" t="n">
        <v>10</v>
      </c>
      <c r="C775" s="37" t="n">
        <v>0</v>
      </c>
      <c r="D775" s="37" t="n">
        <v>20</v>
      </c>
      <c r="E775" s="37" t="n">
        <v>0</v>
      </c>
      <c r="F775" s="37" t="n">
        <v>0</v>
      </c>
      <c r="G775" s="37" t="s">
        <v>188</v>
      </c>
      <c r="H775" s="38" t="n">
        <v>198.96389262685</v>
      </c>
      <c r="I775" s="38" t="n">
        <v>198.038021782723</v>
      </c>
      <c r="J775" s="38" t="n">
        <v>187.426119998354</v>
      </c>
      <c r="K775" s="38" t="n">
        <v>174.104412671951</v>
      </c>
      <c r="L775" s="38" t="n">
        <v>20.567442964601</v>
      </c>
      <c r="M775" s="38" t="n">
        <v>93.0072300217212</v>
      </c>
      <c r="N775" s="38" t="n">
        <v>57.4972399531729</v>
      </c>
      <c r="O775" s="38" t="n">
        <v>51.2881797089756</v>
      </c>
      <c r="P775" s="37" t="n">
        <v>0</v>
      </c>
      <c r="Q775" s="38" t="n">
        <v>4.43255703539896</v>
      </c>
      <c r="R775" s="38" t="n">
        <v>72</v>
      </c>
      <c r="S775" s="37" t="n">
        <v>0</v>
      </c>
    </row>
    <row r="776" customFormat="false" ht="15" hidden="false" customHeight="false" outlineLevel="0" collapsed="false">
      <c r="A776" s="37" t="n">
        <v>0</v>
      </c>
      <c r="B776" s="37" t="n">
        <v>10</v>
      </c>
      <c r="C776" s="37" t="n">
        <v>0</v>
      </c>
      <c r="D776" s="37" t="n">
        <v>20</v>
      </c>
      <c r="E776" s="37" t="n">
        <v>0</v>
      </c>
      <c r="F776" s="37" t="n">
        <v>0</v>
      </c>
      <c r="G776" s="37" t="s">
        <v>192</v>
      </c>
      <c r="H776" s="38" t="n">
        <v>198.96389262685</v>
      </c>
      <c r="I776" s="38" t="n">
        <v>198.041584499799</v>
      </c>
      <c r="J776" s="38" t="n">
        <v>199.316353454551</v>
      </c>
      <c r="K776" s="38" t="n">
        <v>200.053272118916</v>
      </c>
      <c r="L776" s="38" t="n">
        <v>24.9629962887032</v>
      </c>
      <c r="M776" s="38" t="n">
        <v>93.9314404440931</v>
      </c>
      <c r="N776" s="38" t="n">
        <v>82.3439668279381</v>
      </c>
      <c r="O776" s="38" t="n">
        <v>58.5354468868158</v>
      </c>
      <c r="P776" s="37" t="n">
        <v>0</v>
      </c>
      <c r="Q776" s="38" t="n">
        <v>0.0370037112968191</v>
      </c>
      <c r="R776" s="38" t="n">
        <v>63</v>
      </c>
      <c r="S776" s="37" t="n">
        <v>1</v>
      </c>
    </row>
    <row r="777" customFormat="false" ht="15" hidden="false" customHeight="false" outlineLevel="0" collapsed="false">
      <c r="A777" s="37" t="n">
        <v>0</v>
      </c>
      <c r="B777" s="37" t="n">
        <v>10</v>
      </c>
      <c r="C777" s="37" t="n">
        <v>0</v>
      </c>
      <c r="D777" s="37" t="n">
        <v>20</v>
      </c>
      <c r="E777" s="37" t="n">
        <v>0</v>
      </c>
      <c r="F777" s="37" t="n">
        <v>0</v>
      </c>
      <c r="G777" s="37" t="s">
        <v>195</v>
      </c>
      <c r="H777" s="38" t="n">
        <v>198.96389262685</v>
      </c>
      <c r="I777" s="38" t="n">
        <v>198.248576140966</v>
      </c>
      <c r="J777" s="38" t="n">
        <v>196.532583076101</v>
      </c>
      <c r="K777" s="38" t="n">
        <v>187.115896708418</v>
      </c>
      <c r="L777" s="38" t="n">
        <v>21.8951207011461</v>
      </c>
      <c r="M777" s="38" t="n">
        <v>97.8942462993361</v>
      </c>
      <c r="N777" s="38" t="n">
        <v>79.1157383900384</v>
      </c>
      <c r="O777" s="38" t="n">
        <v>58.0776390114451</v>
      </c>
      <c r="P777" s="37" t="n">
        <v>0</v>
      </c>
      <c r="Q777" s="38" t="n">
        <v>3.10487929885389</v>
      </c>
      <c r="R777" s="38" t="n">
        <v>67.36</v>
      </c>
      <c r="S777" s="37" t="n">
        <v>0</v>
      </c>
    </row>
    <row r="778" customFormat="false" ht="15" hidden="false" customHeight="false" outlineLevel="0" collapsed="false">
      <c r="A778" s="37" t="n">
        <v>0</v>
      </c>
      <c r="B778" s="37" t="n">
        <v>10</v>
      </c>
      <c r="C778" s="37" t="n">
        <v>0</v>
      </c>
      <c r="D778" s="37" t="n">
        <v>20</v>
      </c>
      <c r="E778" s="37" t="n">
        <v>0</v>
      </c>
      <c r="F778" s="37" t="n">
        <v>0</v>
      </c>
      <c r="G778" s="37" t="s">
        <v>197</v>
      </c>
      <c r="H778" s="38" t="n">
        <v>198.96389262685</v>
      </c>
      <c r="I778" s="38" t="n">
        <v>198.040200916763</v>
      </c>
      <c r="J778" s="38" t="n">
        <v>194.010369598221</v>
      </c>
      <c r="K778" s="38" t="n">
        <v>182.753449948969</v>
      </c>
      <c r="L778" s="38" t="n">
        <v>24.9375922308845</v>
      </c>
      <c r="M778" s="38" t="n">
        <v>94.8105287190904</v>
      </c>
      <c r="N778" s="38" t="n">
        <v>64.2077816203048</v>
      </c>
      <c r="O778" s="38" t="n">
        <v>53.9788696889295</v>
      </c>
      <c r="P778" s="37" t="n">
        <v>0</v>
      </c>
      <c r="Q778" s="38" t="n">
        <v>0.0624077691155378</v>
      </c>
      <c r="R778" s="38" t="n">
        <v>72</v>
      </c>
      <c r="S778" s="37" t="n">
        <v>0</v>
      </c>
    </row>
    <row r="779" customFormat="false" ht="15" hidden="false" customHeight="false" outlineLevel="0" collapsed="false">
      <c r="A779" s="37" t="n">
        <v>0</v>
      </c>
      <c r="B779" s="37" t="n">
        <v>10</v>
      </c>
      <c r="C779" s="37" t="n">
        <v>0</v>
      </c>
      <c r="D779" s="37" t="n">
        <v>20</v>
      </c>
      <c r="E779" s="37" t="n">
        <v>0</v>
      </c>
      <c r="F779" s="37" t="n">
        <v>0</v>
      </c>
      <c r="G779" s="37" t="s">
        <v>196</v>
      </c>
      <c r="H779" s="38" t="n">
        <v>198.96389262685</v>
      </c>
      <c r="I779" s="38" t="n">
        <v>198.040894297373</v>
      </c>
      <c r="J779" s="38" t="n">
        <v>189.688317830461</v>
      </c>
      <c r="K779" s="38" t="n">
        <v>188.225089498563</v>
      </c>
      <c r="L779" s="38" t="n">
        <v>24.9469134053744</v>
      </c>
      <c r="M779" s="38" t="n">
        <v>97.620282392357</v>
      </c>
      <c r="N779" s="38" t="n">
        <v>79.0935740383018</v>
      </c>
      <c r="O779" s="38" t="n">
        <v>55.1643250037151</v>
      </c>
      <c r="P779" s="37" t="n">
        <v>0</v>
      </c>
      <c r="Q779" s="38" t="n">
        <v>0.0530865946255972</v>
      </c>
      <c r="R779" s="38" t="n">
        <v>70.7373333333333</v>
      </c>
      <c r="S779" s="37" t="n">
        <v>0</v>
      </c>
    </row>
    <row r="780" customFormat="false" ht="15" hidden="false" customHeight="false" outlineLevel="0" collapsed="false">
      <c r="A780" s="37" t="n">
        <v>0</v>
      </c>
      <c r="B780" s="37" t="n">
        <v>10</v>
      </c>
      <c r="C780" s="37" t="n">
        <v>5</v>
      </c>
      <c r="D780" s="37" t="n">
        <v>0</v>
      </c>
      <c r="E780" s="37" t="n">
        <v>0</v>
      </c>
      <c r="F780" s="37" t="n">
        <v>15</v>
      </c>
      <c r="G780" s="37" t="s">
        <v>188</v>
      </c>
      <c r="H780" s="38" t="n">
        <v>198.374635050374</v>
      </c>
      <c r="I780" s="38" t="n">
        <v>196.863068778434</v>
      </c>
      <c r="J780" s="38" t="n">
        <v>197.624195816607</v>
      </c>
      <c r="K780" s="38" t="n">
        <v>216.868802873243</v>
      </c>
      <c r="L780" s="38" t="n">
        <v>132.477619998174</v>
      </c>
      <c r="M780" s="38" t="n">
        <v>96.3215211516022</v>
      </c>
      <c r="N780" s="38" t="n">
        <v>103.176537522039</v>
      </c>
      <c r="O780" s="38" t="n">
        <v>63.424715049066</v>
      </c>
      <c r="P780" s="37" t="n">
        <v>0</v>
      </c>
      <c r="Q780" s="38" t="n">
        <v>0</v>
      </c>
      <c r="R780" s="38" t="n">
        <v>70.5</v>
      </c>
      <c r="S780" s="37" t="n">
        <v>0</v>
      </c>
    </row>
    <row r="781" customFormat="false" ht="15" hidden="false" customHeight="false" outlineLevel="0" collapsed="false">
      <c r="A781" s="37" t="n">
        <v>0</v>
      </c>
      <c r="B781" s="37" t="n">
        <v>10</v>
      </c>
      <c r="C781" s="37" t="n">
        <v>5</v>
      </c>
      <c r="D781" s="37" t="n">
        <v>0</v>
      </c>
      <c r="E781" s="37" t="n">
        <v>0</v>
      </c>
      <c r="F781" s="37" t="n">
        <v>15</v>
      </c>
      <c r="G781" s="37" t="s">
        <v>192</v>
      </c>
      <c r="H781" s="38" t="n">
        <v>198.374635050374</v>
      </c>
      <c r="I781" s="38" t="n">
        <v>196.867929167028</v>
      </c>
      <c r="J781" s="38" t="n">
        <v>209.884945293301</v>
      </c>
      <c r="K781" s="38" t="n">
        <v>226.563740802412</v>
      </c>
      <c r="L781" s="38" t="n">
        <v>133.729089538996</v>
      </c>
      <c r="M781" s="38" t="n">
        <v>97.3100449895883</v>
      </c>
      <c r="N781" s="38" t="n">
        <v>121.242202091994</v>
      </c>
      <c r="O781" s="38" t="n">
        <v>70.0590917969704</v>
      </c>
      <c r="P781" s="37" t="n">
        <v>0</v>
      </c>
      <c r="Q781" s="38" t="n">
        <v>0</v>
      </c>
      <c r="R781" s="38" t="n">
        <v>70.5</v>
      </c>
      <c r="S781" s="37" t="n">
        <v>1</v>
      </c>
    </row>
    <row r="782" customFormat="false" ht="15" hidden="false" customHeight="false" outlineLevel="0" collapsed="false">
      <c r="A782" s="37" t="n">
        <v>0</v>
      </c>
      <c r="B782" s="37" t="n">
        <v>10</v>
      </c>
      <c r="C782" s="37" t="n">
        <v>5</v>
      </c>
      <c r="D782" s="37" t="n">
        <v>0</v>
      </c>
      <c r="E782" s="37" t="n">
        <v>0</v>
      </c>
      <c r="F782" s="37" t="n">
        <v>15</v>
      </c>
      <c r="G782" s="37" t="s">
        <v>195</v>
      </c>
      <c r="H782" s="38" t="n">
        <v>198.374635050374</v>
      </c>
      <c r="I782" s="38" t="n">
        <v>196.871574930181</v>
      </c>
      <c r="J782" s="38" t="n">
        <v>196.197805878749</v>
      </c>
      <c r="K782" s="38" t="n">
        <v>211.722859943262</v>
      </c>
      <c r="L782" s="38" t="n">
        <v>132.927720599509</v>
      </c>
      <c r="M782" s="38" t="n">
        <v>96.3311577359195</v>
      </c>
      <c r="N782" s="38" t="n">
        <v>98.8569196059633</v>
      </c>
      <c r="O782" s="38" t="n">
        <v>61.0080303694595</v>
      </c>
      <c r="P782" s="37" t="n">
        <v>0</v>
      </c>
      <c r="Q782" s="38" t="n">
        <v>0</v>
      </c>
      <c r="R782" s="38" t="n">
        <v>68.5364581968742</v>
      </c>
      <c r="S782" s="37" t="n">
        <v>0</v>
      </c>
    </row>
    <row r="783" customFormat="false" ht="15" hidden="false" customHeight="false" outlineLevel="0" collapsed="false">
      <c r="A783" s="37" t="n">
        <v>0</v>
      </c>
      <c r="B783" s="37" t="n">
        <v>10</v>
      </c>
      <c r="C783" s="37" t="n">
        <v>5</v>
      </c>
      <c r="D783" s="37" t="n">
        <v>0</v>
      </c>
      <c r="E783" s="37" t="n">
        <v>0</v>
      </c>
      <c r="F783" s="37" t="n">
        <v>15</v>
      </c>
      <c r="G783" s="37" t="s">
        <v>197</v>
      </c>
      <c r="H783" s="38" t="n">
        <v>198.374635050374</v>
      </c>
      <c r="I783" s="38" t="n">
        <v>196.862573396485</v>
      </c>
      <c r="J783" s="38" t="n">
        <v>199.713007172262</v>
      </c>
      <c r="K783" s="38" t="n">
        <v>219.687471370876</v>
      </c>
      <c r="L783" s="38" t="n">
        <v>137.087898904438</v>
      </c>
      <c r="M783" s="38" t="n">
        <v>95.7707621569047</v>
      </c>
      <c r="N783" s="38" t="n">
        <v>100.005484253574</v>
      </c>
      <c r="O783" s="38" t="n">
        <v>62.6290603048738</v>
      </c>
      <c r="P783" s="37" t="n">
        <v>0</v>
      </c>
      <c r="Q783" s="38" t="n">
        <v>0</v>
      </c>
      <c r="R783" s="38" t="n">
        <v>70.5</v>
      </c>
      <c r="S783" s="37" t="n">
        <v>0</v>
      </c>
    </row>
    <row r="784" customFormat="false" ht="15" hidden="false" customHeight="false" outlineLevel="0" collapsed="false">
      <c r="A784" s="37" t="n">
        <v>0</v>
      </c>
      <c r="B784" s="37" t="n">
        <v>10</v>
      </c>
      <c r="C784" s="37" t="n">
        <v>5</v>
      </c>
      <c r="D784" s="37" t="n">
        <v>0</v>
      </c>
      <c r="E784" s="37" t="n">
        <v>0</v>
      </c>
      <c r="F784" s="37" t="n">
        <v>15</v>
      </c>
      <c r="G784" s="37" t="s">
        <v>196</v>
      </c>
      <c r="H784" s="38" t="n">
        <v>198.374635050374</v>
      </c>
      <c r="I784" s="38" t="n">
        <v>196.866495080474</v>
      </c>
      <c r="J784" s="38" t="n">
        <v>200.487550471673</v>
      </c>
      <c r="K784" s="38" t="n">
        <v>220.881218968741</v>
      </c>
      <c r="L784" s="38" t="n">
        <v>144.84256817509</v>
      </c>
      <c r="M784" s="38" t="n">
        <v>97.7914884233716</v>
      </c>
      <c r="N784" s="38" t="n">
        <v>109.061989015336</v>
      </c>
      <c r="O784" s="38" t="n">
        <v>65.629068365201</v>
      </c>
      <c r="P784" s="37" t="n">
        <v>0</v>
      </c>
      <c r="Q784" s="38" t="n">
        <v>0</v>
      </c>
      <c r="R784" s="38" t="n">
        <v>69.6040571428571</v>
      </c>
      <c r="S784" s="37" t="n">
        <v>0</v>
      </c>
    </row>
    <row r="785" customFormat="false" ht="15" hidden="false" customHeight="false" outlineLevel="0" collapsed="false">
      <c r="A785" s="37" t="n">
        <v>0</v>
      </c>
      <c r="B785" s="37" t="n">
        <v>10</v>
      </c>
      <c r="C785" s="37" t="n">
        <v>5</v>
      </c>
      <c r="D785" s="37" t="n">
        <v>0</v>
      </c>
      <c r="E785" s="37" t="n">
        <v>5</v>
      </c>
      <c r="F785" s="37" t="n">
        <v>10</v>
      </c>
      <c r="G785" s="37" t="s">
        <v>188</v>
      </c>
      <c r="H785" s="38" t="n">
        <v>198.397609703852</v>
      </c>
      <c r="I785" s="38" t="n">
        <v>197.039325113186</v>
      </c>
      <c r="J785" s="38" t="n">
        <v>199.644294666289</v>
      </c>
      <c r="K785" s="38" t="n">
        <v>220.244364867485</v>
      </c>
      <c r="L785" s="38" t="n">
        <v>95.9488702715476</v>
      </c>
      <c r="M785" s="38" t="n">
        <v>97.4218266047707</v>
      </c>
      <c r="N785" s="38" t="n">
        <v>108.951088549727</v>
      </c>
      <c r="O785" s="38" t="n">
        <v>63.0788295771013</v>
      </c>
      <c r="P785" s="37" t="n">
        <v>0</v>
      </c>
      <c r="Q785" s="38" t="n">
        <v>0</v>
      </c>
      <c r="R785" s="38" t="n">
        <v>70.5</v>
      </c>
      <c r="S785" s="37" t="n">
        <v>0</v>
      </c>
    </row>
    <row r="786" customFormat="false" ht="15" hidden="false" customHeight="false" outlineLevel="0" collapsed="false">
      <c r="A786" s="37" t="n">
        <v>0</v>
      </c>
      <c r="B786" s="37" t="n">
        <v>10</v>
      </c>
      <c r="C786" s="37" t="n">
        <v>5</v>
      </c>
      <c r="D786" s="37" t="n">
        <v>0</v>
      </c>
      <c r="E786" s="37" t="n">
        <v>5</v>
      </c>
      <c r="F786" s="37" t="n">
        <v>10</v>
      </c>
      <c r="G786" s="37" t="s">
        <v>192</v>
      </c>
      <c r="H786" s="38" t="n">
        <v>198.397609703852</v>
      </c>
      <c r="I786" s="38" t="n">
        <v>197.047049699562</v>
      </c>
      <c r="J786" s="38" t="n">
        <v>211.994218640468</v>
      </c>
      <c r="K786" s="38" t="n">
        <v>229.974380424799</v>
      </c>
      <c r="L786" s="38" t="n">
        <v>97.0627850635909</v>
      </c>
      <c r="M786" s="38" t="n">
        <v>98.3214351929536</v>
      </c>
      <c r="N786" s="38" t="n">
        <v>126.997739236632</v>
      </c>
      <c r="O786" s="38" t="n">
        <v>71.2389935152877</v>
      </c>
      <c r="P786" s="37" t="n">
        <v>0</v>
      </c>
      <c r="Q786" s="38" t="n">
        <v>0</v>
      </c>
      <c r="R786" s="38" t="n">
        <v>70.5</v>
      </c>
      <c r="S786" s="37" t="n">
        <v>1</v>
      </c>
    </row>
    <row r="787" customFormat="false" ht="15" hidden="false" customHeight="false" outlineLevel="0" collapsed="false">
      <c r="A787" s="37" t="n">
        <v>0</v>
      </c>
      <c r="B787" s="37" t="n">
        <v>10</v>
      </c>
      <c r="C787" s="37" t="n">
        <v>5</v>
      </c>
      <c r="D787" s="37" t="n">
        <v>0</v>
      </c>
      <c r="E787" s="37" t="n">
        <v>5</v>
      </c>
      <c r="F787" s="37" t="n">
        <v>10</v>
      </c>
      <c r="G787" s="37" t="s">
        <v>195</v>
      </c>
      <c r="H787" s="38" t="n">
        <v>198.397609703852</v>
      </c>
      <c r="I787" s="38" t="n">
        <v>197.051016603966</v>
      </c>
      <c r="J787" s="38" t="n">
        <v>198.196149722137</v>
      </c>
      <c r="K787" s="38" t="n">
        <v>215.058363760223</v>
      </c>
      <c r="L787" s="38" t="n">
        <v>96.1567230058586</v>
      </c>
      <c r="M787" s="38" t="n">
        <v>97.4392406742681</v>
      </c>
      <c r="N787" s="38" t="n">
        <v>104.720976915111</v>
      </c>
      <c r="O787" s="38" t="n">
        <v>60.9349492742655</v>
      </c>
      <c r="P787" s="37" t="n">
        <v>0</v>
      </c>
      <c r="Q787" s="38" t="n">
        <v>0</v>
      </c>
      <c r="R787" s="38" t="n">
        <v>68.5045077736907</v>
      </c>
      <c r="S787" s="37" t="n">
        <v>0</v>
      </c>
    </row>
    <row r="788" customFormat="false" ht="15" hidden="false" customHeight="false" outlineLevel="0" collapsed="false">
      <c r="A788" s="37" t="n">
        <v>0</v>
      </c>
      <c r="B788" s="37" t="n">
        <v>10</v>
      </c>
      <c r="C788" s="37" t="n">
        <v>5</v>
      </c>
      <c r="D788" s="37" t="n">
        <v>0</v>
      </c>
      <c r="E788" s="37" t="n">
        <v>5</v>
      </c>
      <c r="F788" s="37" t="n">
        <v>10</v>
      </c>
      <c r="G788" s="37" t="s">
        <v>197</v>
      </c>
      <c r="H788" s="38" t="n">
        <v>198.397609703852</v>
      </c>
      <c r="I788" s="38" t="n">
        <v>197.049165238892</v>
      </c>
      <c r="J788" s="38" t="n">
        <v>202.435107453796</v>
      </c>
      <c r="K788" s="38" t="n">
        <v>224.154688364568</v>
      </c>
      <c r="L788" s="38" t="n">
        <v>102.089566164698</v>
      </c>
      <c r="M788" s="38" t="n">
        <v>100.240439225307</v>
      </c>
      <c r="N788" s="38" t="n">
        <v>115.406760706995</v>
      </c>
      <c r="O788" s="38" t="n">
        <v>66.578627265495</v>
      </c>
      <c r="P788" s="37" t="n">
        <v>0</v>
      </c>
      <c r="Q788" s="38" t="n">
        <v>0</v>
      </c>
      <c r="R788" s="38" t="n">
        <v>70.5</v>
      </c>
      <c r="S788" s="37" t="n">
        <v>0</v>
      </c>
    </row>
    <row r="789" customFormat="false" ht="15" hidden="false" customHeight="false" outlineLevel="0" collapsed="false">
      <c r="A789" s="37" t="n">
        <v>0</v>
      </c>
      <c r="B789" s="37" t="n">
        <v>10</v>
      </c>
      <c r="C789" s="37" t="n">
        <v>5</v>
      </c>
      <c r="D789" s="37" t="n">
        <v>0</v>
      </c>
      <c r="E789" s="37" t="n">
        <v>5</v>
      </c>
      <c r="F789" s="37" t="n">
        <v>10</v>
      </c>
      <c r="G789" s="37" t="s">
        <v>196</v>
      </c>
      <c r="H789" s="38" t="n">
        <v>198.397609703852</v>
      </c>
      <c r="I789" s="38" t="n">
        <v>197.04607494804</v>
      </c>
      <c r="J789" s="38" t="n">
        <v>202.455765755969</v>
      </c>
      <c r="K789" s="38" t="n">
        <v>224.255936924855</v>
      </c>
      <c r="L789" s="38" t="n">
        <v>107.812339350289</v>
      </c>
      <c r="M789" s="38" t="n">
        <v>99.5548728589581</v>
      </c>
      <c r="N789" s="38" t="n">
        <v>116.498580027069</v>
      </c>
      <c r="O789" s="38" t="n">
        <v>66.349884403366</v>
      </c>
      <c r="P789" s="37" t="n">
        <v>0</v>
      </c>
      <c r="Q789" s="38" t="n">
        <v>0</v>
      </c>
      <c r="R789" s="38" t="n">
        <v>69.5068699154375</v>
      </c>
      <c r="S789" s="37" t="n">
        <v>0</v>
      </c>
    </row>
    <row r="790" customFormat="false" ht="15" hidden="false" customHeight="false" outlineLevel="0" collapsed="false">
      <c r="A790" s="37" t="n">
        <v>0</v>
      </c>
      <c r="B790" s="37" t="n">
        <v>10</v>
      </c>
      <c r="C790" s="37" t="n">
        <v>5</v>
      </c>
      <c r="D790" s="37" t="n">
        <v>0</v>
      </c>
      <c r="E790" s="37" t="n">
        <v>10</v>
      </c>
      <c r="F790" s="37" t="n">
        <v>5</v>
      </c>
      <c r="G790" s="37" t="s">
        <v>188</v>
      </c>
      <c r="H790" s="38" t="n">
        <v>198.421845147352</v>
      </c>
      <c r="I790" s="38" t="n">
        <v>197.266939940401</v>
      </c>
      <c r="J790" s="38" t="n">
        <v>201.445389310181</v>
      </c>
      <c r="K790" s="38" t="n">
        <v>223.560949188693</v>
      </c>
      <c r="L790" s="38" t="n">
        <v>59.4417680016186</v>
      </c>
      <c r="M790" s="38" t="n">
        <v>98.5364037247694</v>
      </c>
      <c r="N790" s="38" t="n">
        <v>113.771542783071</v>
      </c>
      <c r="O790" s="38" t="n">
        <v>62.623468793646</v>
      </c>
      <c r="P790" s="37" t="n">
        <v>0</v>
      </c>
      <c r="Q790" s="38" t="n">
        <v>0</v>
      </c>
      <c r="R790" s="38" t="n">
        <v>70.5</v>
      </c>
      <c r="S790" s="37" t="n">
        <v>0</v>
      </c>
    </row>
    <row r="791" customFormat="false" ht="15" hidden="false" customHeight="false" outlineLevel="0" collapsed="false">
      <c r="A791" s="37" t="n">
        <v>0</v>
      </c>
      <c r="B791" s="37" t="n">
        <v>10</v>
      </c>
      <c r="C791" s="37" t="n">
        <v>5</v>
      </c>
      <c r="D791" s="37" t="n">
        <v>0</v>
      </c>
      <c r="E791" s="37" t="n">
        <v>10</v>
      </c>
      <c r="F791" s="37" t="n">
        <v>5</v>
      </c>
      <c r="G791" s="37" t="s">
        <v>192</v>
      </c>
      <c r="H791" s="38" t="n">
        <v>198.421845147352</v>
      </c>
      <c r="I791" s="38" t="n">
        <v>197.274938520897</v>
      </c>
      <c r="J791" s="38" t="n">
        <v>213.777582856753</v>
      </c>
      <c r="K791" s="38" t="n">
        <v>233.138935808553</v>
      </c>
      <c r="L791" s="38" t="n">
        <v>60.1738491117091</v>
      </c>
      <c r="M791" s="38" t="n">
        <v>99.367819570792</v>
      </c>
      <c r="N791" s="38" t="n">
        <v>131.623339280401</v>
      </c>
      <c r="O791" s="38" t="n">
        <v>70.924815331527</v>
      </c>
      <c r="P791" s="37" t="n">
        <v>0</v>
      </c>
      <c r="Q791" s="38" t="n">
        <v>0</v>
      </c>
      <c r="R791" s="38" t="n">
        <v>70.5</v>
      </c>
      <c r="S791" s="37" t="n">
        <v>1</v>
      </c>
    </row>
    <row r="792" customFormat="false" ht="15" hidden="false" customHeight="false" outlineLevel="0" collapsed="false">
      <c r="A792" s="37" t="n">
        <v>0</v>
      </c>
      <c r="B792" s="37" t="n">
        <v>10</v>
      </c>
      <c r="C792" s="37" t="n">
        <v>5</v>
      </c>
      <c r="D792" s="37" t="n">
        <v>0</v>
      </c>
      <c r="E792" s="37" t="n">
        <v>10</v>
      </c>
      <c r="F792" s="37" t="n">
        <v>5</v>
      </c>
      <c r="G792" s="37" t="s">
        <v>195</v>
      </c>
      <c r="H792" s="38" t="n">
        <v>198.421845147352</v>
      </c>
      <c r="I792" s="38" t="n">
        <v>197.282396885807</v>
      </c>
      <c r="J792" s="38" t="n">
        <v>200.02949371992</v>
      </c>
      <c r="K792" s="38" t="n">
        <v>218.419722930789</v>
      </c>
      <c r="L792" s="38" t="n">
        <v>59.4480233136131</v>
      </c>
      <c r="M792" s="38" t="n">
        <v>98.5633399167277</v>
      </c>
      <c r="N792" s="38" t="n">
        <v>109.713113156537</v>
      </c>
      <c r="O792" s="38" t="n">
        <v>60.742350414942</v>
      </c>
      <c r="P792" s="37" t="n">
        <v>0</v>
      </c>
      <c r="Q792" s="38" t="n">
        <v>0</v>
      </c>
      <c r="R792" s="38" t="n">
        <v>68.4834901148474</v>
      </c>
      <c r="S792" s="37" t="n">
        <v>0</v>
      </c>
    </row>
    <row r="793" customFormat="false" ht="15" hidden="false" customHeight="false" outlineLevel="0" collapsed="false">
      <c r="A793" s="37" t="n">
        <v>0</v>
      </c>
      <c r="B793" s="37" t="n">
        <v>10</v>
      </c>
      <c r="C793" s="37" t="n">
        <v>5</v>
      </c>
      <c r="D793" s="37" t="n">
        <v>0</v>
      </c>
      <c r="E793" s="37" t="n">
        <v>10</v>
      </c>
      <c r="F793" s="37" t="n">
        <v>5</v>
      </c>
      <c r="G793" s="37" t="s">
        <v>197</v>
      </c>
      <c r="H793" s="38" t="n">
        <v>198.421845147352</v>
      </c>
      <c r="I793" s="38" t="n">
        <v>197.296062394468</v>
      </c>
      <c r="J793" s="38" t="n">
        <v>205.16823992168</v>
      </c>
      <c r="K793" s="38" t="n">
        <v>228.855197004318</v>
      </c>
      <c r="L793" s="38" t="n">
        <v>67.4738245186717</v>
      </c>
      <c r="M793" s="38" t="n">
        <v>103.997803783485</v>
      </c>
      <c r="N793" s="38" t="n">
        <v>128.642607100876</v>
      </c>
      <c r="O793" s="38" t="n">
        <v>68.0410849991341</v>
      </c>
      <c r="P793" s="37" t="n">
        <v>0</v>
      </c>
      <c r="Q793" s="38" t="n">
        <v>0</v>
      </c>
      <c r="R793" s="38" t="n">
        <v>70.5</v>
      </c>
      <c r="S793" s="37" t="n">
        <v>0</v>
      </c>
    </row>
    <row r="794" customFormat="false" ht="15" hidden="false" customHeight="false" outlineLevel="0" collapsed="false">
      <c r="A794" s="37" t="n">
        <v>0</v>
      </c>
      <c r="B794" s="37" t="n">
        <v>10</v>
      </c>
      <c r="C794" s="37" t="n">
        <v>5</v>
      </c>
      <c r="D794" s="37" t="n">
        <v>0</v>
      </c>
      <c r="E794" s="37" t="n">
        <v>10</v>
      </c>
      <c r="F794" s="37" t="n">
        <v>5</v>
      </c>
      <c r="G794" s="37" t="s">
        <v>196</v>
      </c>
      <c r="H794" s="38" t="n">
        <v>198.421845147352</v>
      </c>
      <c r="I794" s="38" t="n">
        <v>197.275516420389</v>
      </c>
      <c r="J794" s="38" t="n">
        <v>204.271117881596</v>
      </c>
      <c r="K794" s="38" t="n">
        <v>227.62199323046</v>
      </c>
      <c r="L794" s="38" t="n">
        <v>71.1140994761522</v>
      </c>
      <c r="M794" s="38" t="n">
        <v>101.177197171939</v>
      </c>
      <c r="N794" s="38" t="n">
        <v>122.66791175263</v>
      </c>
      <c r="O794" s="38" t="n">
        <v>66.5342611863148</v>
      </c>
      <c r="P794" s="37" t="n">
        <v>0</v>
      </c>
      <c r="Q794" s="38" t="n">
        <v>0</v>
      </c>
      <c r="R794" s="38" t="n">
        <v>69.4914388322994</v>
      </c>
      <c r="S794" s="37" t="n">
        <v>0</v>
      </c>
    </row>
    <row r="795" customFormat="false" ht="15" hidden="false" customHeight="false" outlineLevel="0" collapsed="false">
      <c r="A795" s="37" t="n">
        <v>0</v>
      </c>
      <c r="B795" s="37" t="n">
        <v>10</v>
      </c>
      <c r="C795" s="37" t="n">
        <v>5</v>
      </c>
      <c r="D795" s="37" t="n">
        <v>0</v>
      </c>
      <c r="E795" s="37" t="n">
        <v>15</v>
      </c>
      <c r="F795" s="37" t="n">
        <v>0</v>
      </c>
      <c r="G795" s="37" t="s">
        <v>188</v>
      </c>
      <c r="H795" s="38" t="n">
        <v>198.441957494723</v>
      </c>
      <c r="I795" s="38" t="n">
        <v>197.402982581762</v>
      </c>
      <c r="J795" s="38" t="n">
        <v>202.272731129283</v>
      </c>
      <c r="K795" s="38" t="n">
        <v>225.27175037244</v>
      </c>
      <c r="L795" s="38" t="n">
        <v>32.5397935052219</v>
      </c>
      <c r="M795" s="38" t="n">
        <v>99.2946949908507</v>
      </c>
      <c r="N795" s="38" t="n">
        <v>109.320399497634</v>
      </c>
      <c r="O795" s="38" t="n">
        <v>58.9468778802339</v>
      </c>
      <c r="P795" s="37" t="n">
        <v>0</v>
      </c>
      <c r="Q795" s="38" t="n">
        <v>0</v>
      </c>
      <c r="R795" s="38" t="n">
        <v>70.5</v>
      </c>
      <c r="S795" s="37" t="n">
        <v>0</v>
      </c>
    </row>
    <row r="796" customFormat="false" ht="15" hidden="false" customHeight="false" outlineLevel="0" collapsed="false">
      <c r="A796" s="37" t="n">
        <v>0</v>
      </c>
      <c r="B796" s="37" t="n">
        <v>10</v>
      </c>
      <c r="C796" s="37" t="n">
        <v>5</v>
      </c>
      <c r="D796" s="37" t="n">
        <v>0</v>
      </c>
      <c r="E796" s="37" t="n">
        <v>15</v>
      </c>
      <c r="F796" s="37" t="n">
        <v>0</v>
      </c>
      <c r="G796" s="37" t="s">
        <v>192</v>
      </c>
      <c r="H796" s="38" t="n">
        <v>198.441957494723</v>
      </c>
      <c r="I796" s="38" t="n">
        <v>197.412209979383</v>
      </c>
      <c r="J796" s="38" t="n">
        <v>212.388528533078</v>
      </c>
      <c r="K796" s="38" t="n">
        <v>247.315448579653</v>
      </c>
      <c r="L796" s="38" t="n">
        <v>85.7238337378397</v>
      </c>
      <c r="M796" s="38" t="n">
        <v>100.046804981525</v>
      </c>
      <c r="N796" s="38" t="n">
        <v>132.117114763472</v>
      </c>
      <c r="O796" s="38" t="n">
        <v>65.871302722601</v>
      </c>
      <c r="P796" s="37" t="n">
        <v>0</v>
      </c>
      <c r="Q796" s="38" t="n">
        <v>0</v>
      </c>
      <c r="R796" s="38" t="n">
        <v>61.5</v>
      </c>
      <c r="S796" s="37" t="n">
        <v>1</v>
      </c>
    </row>
    <row r="797" customFormat="false" ht="15" hidden="false" customHeight="false" outlineLevel="0" collapsed="false">
      <c r="A797" s="37" t="n">
        <v>0</v>
      </c>
      <c r="B797" s="37" t="n">
        <v>10</v>
      </c>
      <c r="C797" s="37" t="n">
        <v>5</v>
      </c>
      <c r="D797" s="37" t="n">
        <v>0</v>
      </c>
      <c r="E797" s="37" t="n">
        <v>15</v>
      </c>
      <c r="F797" s="37" t="n">
        <v>0</v>
      </c>
      <c r="G797" s="37" t="s">
        <v>195</v>
      </c>
      <c r="H797" s="38" t="n">
        <v>198.441957494723</v>
      </c>
      <c r="I797" s="38" t="n">
        <v>197.421371228586</v>
      </c>
      <c r="J797" s="38" t="n">
        <v>200.918302782125</v>
      </c>
      <c r="K797" s="38" t="n">
        <v>220.162151469807</v>
      </c>
      <c r="L797" s="38" t="n">
        <v>32.373273598029</v>
      </c>
      <c r="M797" s="38" t="n">
        <v>99.3279426165427</v>
      </c>
      <c r="N797" s="38" t="n">
        <v>105.446274703642</v>
      </c>
      <c r="O797" s="38" t="n">
        <v>57.3427397881797</v>
      </c>
      <c r="P797" s="37" t="n">
        <v>0</v>
      </c>
      <c r="Q797" s="38" t="n">
        <v>0</v>
      </c>
      <c r="R797" s="38" t="n">
        <v>68.4633366384667</v>
      </c>
      <c r="S797" s="37" t="n">
        <v>0</v>
      </c>
    </row>
    <row r="798" customFormat="false" ht="15" hidden="false" customHeight="false" outlineLevel="0" collapsed="false">
      <c r="A798" s="37" t="n">
        <v>0</v>
      </c>
      <c r="B798" s="37" t="n">
        <v>10</v>
      </c>
      <c r="C798" s="37" t="n">
        <v>5</v>
      </c>
      <c r="D798" s="37" t="n">
        <v>0</v>
      </c>
      <c r="E798" s="37" t="n">
        <v>15</v>
      </c>
      <c r="F798" s="37" t="n">
        <v>0</v>
      </c>
      <c r="G798" s="37" t="s">
        <v>197</v>
      </c>
      <c r="H798" s="38" t="n">
        <v>198.441957494723</v>
      </c>
      <c r="I798" s="38" t="n">
        <v>197.448727021243</v>
      </c>
      <c r="J798" s="38" t="n">
        <v>206.920247916485</v>
      </c>
      <c r="K798" s="38" t="n">
        <v>231.738059532076</v>
      </c>
      <c r="L798" s="38" t="n">
        <v>30.7982955615673</v>
      </c>
      <c r="M798" s="38" t="n">
        <v>106.333581357834</v>
      </c>
      <c r="N798" s="38" t="n">
        <v>126.266769622554</v>
      </c>
      <c r="O798" s="38" t="n">
        <v>67.9043155859811</v>
      </c>
      <c r="P798" s="37" t="n">
        <v>0</v>
      </c>
      <c r="Q798" s="38" t="n">
        <v>0</v>
      </c>
      <c r="R798" s="38" t="n">
        <v>70.5</v>
      </c>
      <c r="S798" s="37" t="n">
        <v>0</v>
      </c>
    </row>
    <row r="799" customFormat="false" ht="15" hidden="false" customHeight="false" outlineLevel="0" collapsed="false">
      <c r="A799" s="37" t="n">
        <v>0</v>
      </c>
      <c r="B799" s="37" t="n">
        <v>10</v>
      </c>
      <c r="C799" s="37" t="n">
        <v>5</v>
      </c>
      <c r="D799" s="37" t="n">
        <v>0</v>
      </c>
      <c r="E799" s="37" t="n">
        <v>15</v>
      </c>
      <c r="F799" s="37" t="n">
        <v>0</v>
      </c>
      <c r="G799" s="37" t="s">
        <v>196</v>
      </c>
      <c r="H799" s="38" t="n">
        <v>198.441957494723</v>
      </c>
      <c r="I799" s="38" t="n">
        <v>197.413732279052</v>
      </c>
      <c r="J799" s="38" t="n">
        <v>205.334148535129</v>
      </c>
      <c r="K799" s="38" t="n">
        <v>229.560049938265</v>
      </c>
      <c r="L799" s="38" t="n">
        <v>32.9865106424448</v>
      </c>
      <c r="M799" s="38" t="n">
        <v>102.231081785427</v>
      </c>
      <c r="N799" s="38" t="n">
        <v>119.887877413875</v>
      </c>
      <c r="O799" s="38" t="n">
        <v>65.8393292866393</v>
      </c>
      <c r="P799" s="37" t="n">
        <v>0</v>
      </c>
      <c r="Q799" s="38" t="n">
        <v>0</v>
      </c>
      <c r="R799" s="38" t="n">
        <v>69.4756839023365</v>
      </c>
      <c r="S799" s="37" t="n">
        <v>0</v>
      </c>
    </row>
    <row r="800" customFormat="false" ht="15" hidden="false" customHeight="false" outlineLevel="0" collapsed="false">
      <c r="A800" s="37" t="n">
        <v>0</v>
      </c>
      <c r="B800" s="37" t="n">
        <v>10</v>
      </c>
      <c r="C800" s="37" t="n">
        <v>5</v>
      </c>
      <c r="D800" s="37" t="n">
        <v>5</v>
      </c>
      <c r="E800" s="37" t="n">
        <v>0</v>
      </c>
      <c r="F800" s="37" t="n">
        <v>10</v>
      </c>
      <c r="G800" s="37" t="s">
        <v>188</v>
      </c>
      <c r="H800" s="38" t="n">
        <v>198.585921676856</v>
      </c>
      <c r="I800" s="38" t="n">
        <v>198.307656401606</v>
      </c>
      <c r="J800" s="38" t="n">
        <v>206.824957370942</v>
      </c>
      <c r="K800" s="38" t="n">
        <v>222.265550160127</v>
      </c>
      <c r="L800" s="38" t="n">
        <v>98.8131248603424</v>
      </c>
      <c r="M800" s="38" t="n">
        <v>98.1629838004756</v>
      </c>
      <c r="N800" s="38" t="n">
        <v>113.571964799546</v>
      </c>
      <c r="O800" s="38" t="n">
        <v>69.0867976243741</v>
      </c>
      <c r="P800" s="37" t="n">
        <v>0</v>
      </c>
      <c r="Q800" s="38" t="n">
        <v>0</v>
      </c>
      <c r="R800" s="38" t="n">
        <v>72</v>
      </c>
      <c r="S800" s="37" t="n">
        <v>0</v>
      </c>
    </row>
    <row r="801" customFormat="false" ht="15" hidden="false" customHeight="false" outlineLevel="0" collapsed="false">
      <c r="A801" s="37" t="n">
        <v>0</v>
      </c>
      <c r="B801" s="37" t="n">
        <v>10</v>
      </c>
      <c r="C801" s="37" t="n">
        <v>5</v>
      </c>
      <c r="D801" s="37" t="n">
        <v>5</v>
      </c>
      <c r="E801" s="37" t="n">
        <v>0</v>
      </c>
      <c r="F801" s="37" t="n">
        <v>10</v>
      </c>
      <c r="G801" s="37" t="s">
        <v>192</v>
      </c>
      <c r="H801" s="38" t="n">
        <v>198.585921676856</v>
      </c>
      <c r="I801" s="38" t="n">
        <v>198.313650798001</v>
      </c>
      <c r="J801" s="38" t="n">
        <v>219.003149510322</v>
      </c>
      <c r="K801" s="38" t="n">
        <v>231.258151182619</v>
      </c>
      <c r="L801" s="38" t="n">
        <v>99.6078183099719</v>
      </c>
      <c r="M801" s="38" t="n">
        <v>99.0837332232304</v>
      </c>
      <c r="N801" s="38" t="n">
        <v>130.867766685155</v>
      </c>
      <c r="O801" s="38" t="n">
        <v>76.5938692724589</v>
      </c>
      <c r="P801" s="37" t="n">
        <v>0</v>
      </c>
      <c r="Q801" s="38" t="n">
        <v>0</v>
      </c>
      <c r="R801" s="38" t="n">
        <v>72</v>
      </c>
      <c r="S801" s="37" t="n">
        <v>1</v>
      </c>
    </row>
    <row r="802" customFormat="false" ht="15" hidden="false" customHeight="false" outlineLevel="0" collapsed="false">
      <c r="A802" s="37" t="n">
        <v>0</v>
      </c>
      <c r="B802" s="37" t="n">
        <v>10</v>
      </c>
      <c r="C802" s="37" t="n">
        <v>5</v>
      </c>
      <c r="D802" s="37" t="n">
        <v>5</v>
      </c>
      <c r="E802" s="37" t="n">
        <v>0</v>
      </c>
      <c r="F802" s="37" t="n">
        <v>10</v>
      </c>
      <c r="G802" s="37" t="s">
        <v>195</v>
      </c>
      <c r="H802" s="38" t="n">
        <v>198.585921676856</v>
      </c>
      <c r="I802" s="38" t="n">
        <v>198.385229029738</v>
      </c>
      <c r="J802" s="38" t="n">
        <v>208.197618307201</v>
      </c>
      <c r="K802" s="38" t="n">
        <v>221.761878503942</v>
      </c>
      <c r="L802" s="38" t="n">
        <v>104.401192871085</v>
      </c>
      <c r="M802" s="38" t="n">
        <v>99.9075062152956</v>
      </c>
      <c r="N802" s="38" t="n">
        <v>117.629214508008</v>
      </c>
      <c r="O802" s="38" t="n">
        <v>70.2697519017581</v>
      </c>
      <c r="P802" s="37" t="n">
        <v>0</v>
      </c>
      <c r="Q802" s="38" t="n">
        <v>0</v>
      </c>
      <c r="R802" s="38" t="n">
        <v>70.4667943101428</v>
      </c>
      <c r="S802" s="37" t="n">
        <v>0</v>
      </c>
    </row>
    <row r="803" customFormat="false" ht="15" hidden="false" customHeight="false" outlineLevel="0" collapsed="false">
      <c r="A803" s="37" t="n">
        <v>0</v>
      </c>
      <c r="B803" s="37" t="n">
        <v>10</v>
      </c>
      <c r="C803" s="37" t="n">
        <v>5</v>
      </c>
      <c r="D803" s="37" t="n">
        <v>5</v>
      </c>
      <c r="E803" s="37" t="n">
        <v>0</v>
      </c>
      <c r="F803" s="37" t="n">
        <v>10</v>
      </c>
      <c r="G803" s="37" t="s">
        <v>197</v>
      </c>
      <c r="H803" s="38" t="n">
        <v>198.585921676856</v>
      </c>
      <c r="I803" s="38" t="n">
        <v>198.304112504533</v>
      </c>
      <c r="J803" s="38" t="n">
        <v>208.57776117063</v>
      </c>
      <c r="K803" s="38" t="n">
        <v>224.528110135333</v>
      </c>
      <c r="L803" s="38" t="n">
        <v>102.184695609284</v>
      </c>
      <c r="M803" s="38" t="n">
        <v>97.6465039707237</v>
      </c>
      <c r="N803" s="38" t="n">
        <v>109.826626956209</v>
      </c>
      <c r="O803" s="38" t="n">
        <v>68.0679861713498</v>
      </c>
      <c r="P803" s="37" t="n">
        <v>0</v>
      </c>
      <c r="Q803" s="38" t="n">
        <v>0</v>
      </c>
      <c r="R803" s="38" t="n">
        <v>72</v>
      </c>
      <c r="S803" s="37" t="n">
        <v>0</v>
      </c>
    </row>
    <row r="804" customFormat="false" ht="15" hidden="false" customHeight="false" outlineLevel="0" collapsed="false">
      <c r="A804" s="37" t="n">
        <v>0</v>
      </c>
      <c r="B804" s="37" t="n">
        <v>10</v>
      </c>
      <c r="C804" s="37" t="n">
        <v>5</v>
      </c>
      <c r="D804" s="37" t="n">
        <v>5</v>
      </c>
      <c r="E804" s="37" t="n">
        <v>0</v>
      </c>
      <c r="F804" s="37" t="n">
        <v>10</v>
      </c>
      <c r="G804" s="37" t="s">
        <v>196</v>
      </c>
      <c r="H804" s="38" t="n">
        <v>198.585921676856</v>
      </c>
      <c r="I804" s="38" t="n">
        <v>198.311189079579</v>
      </c>
      <c r="J804" s="38" t="n">
        <v>209.411847557523</v>
      </c>
      <c r="K804" s="38" t="n">
        <v>225.754253238142</v>
      </c>
      <c r="L804" s="38" t="n">
        <v>109.711408590163</v>
      </c>
      <c r="M804" s="38" t="n">
        <v>100.259310181792</v>
      </c>
      <c r="N804" s="38" t="n">
        <v>120.237397320051</v>
      </c>
      <c r="O804" s="38" t="n">
        <v>70.7327502235994</v>
      </c>
      <c r="P804" s="37" t="n">
        <v>0</v>
      </c>
      <c r="Q804" s="38" t="n">
        <v>0</v>
      </c>
      <c r="R804" s="38" t="n">
        <v>71.1030506178184</v>
      </c>
      <c r="S804" s="37" t="n">
        <v>0</v>
      </c>
    </row>
    <row r="805" customFormat="false" ht="15" hidden="false" customHeight="false" outlineLevel="0" collapsed="false">
      <c r="A805" s="37" t="n">
        <v>0</v>
      </c>
      <c r="B805" s="37" t="n">
        <v>10</v>
      </c>
      <c r="C805" s="37" t="n">
        <v>5</v>
      </c>
      <c r="D805" s="37" t="n">
        <v>5</v>
      </c>
      <c r="E805" s="37" t="n">
        <v>5</v>
      </c>
      <c r="F805" s="37" t="n">
        <v>5</v>
      </c>
      <c r="G805" s="37" t="s">
        <v>188</v>
      </c>
      <c r="H805" s="38" t="n">
        <v>198.598288850617</v>
      </c>
      <c r="I805" s="38" t="n">
        <v>198.423070503962</v>
      </c>
      <c r="J805" s="38" t="n">
        <v>208.745767290529</v>
      </c>
      <c r="K805" s="38" t="n">
        <v>224.967884098334</v>
      </c>
      <c r="L805" s="38" t="n">
        <v>61.6293979853908</v>
      </c>
      <c r="M805" s="38" t="n">
        <v>99.1193251417794</v>
      </c>
      <c r="N805" s="38" t="n">
        <v>119.12263612247</v>
      </c>
      <c r="O805" s="38" t="n">
        <v>68.5112234221238</v>
      </c>
      <c r="P805" s="37" t="n">
        <v>0</v>
      </c>
      <c r="Q805" s="38" t="n">
        <v>0</v>
      </c>
      <c r="R805" s="38" t="n">
        <v>72</v>
      </c>
      <c r="S805" s="37" t="n">
        <v>0</v>
      </c>
    </row>
    <row r="806" customFormat="false" ht="15" hidden="false" customHeight="false" outlineLevel="0" collapsed="false">
      <c r="A806" s="37" t="n">
        <v>0</v>
      </c>
      <c r="B806" s="37" t="n">
        <v>10</v>
      </c>
      <c r="C806" s="37" t="n">
        <v>5</v>
      </c>
      <c r="D806" s="37" t="n">
        <v>5</v>
      </c>
      <c r="E806" s="37" t="n">
        <v>5</v>
      </c>
      <c r="F806" s="37" t="n">
        <v>5</v>
      </c>
      <c r="G806" s="37" t="s">
        <v>192</v>
      </c>
      <c r="H806" s="38" t="n">
        <v>198.598288850617</v>
      </c>
      <c r="I806" s="38" t="n">
        <v>198.432621012169</v>
      </c>
      <c r="J806" s="38" t="n">
        <v>220.968913265775</v>
      </c>
      <c r="K806" s="38" t="n">
        <v>234.06251901411</v>
      </c>
      <c r="L806" s="38" t="n">
        <v>62.2603145356642</v>
      </c>
      <c r="M806" s="38" t="n">
        <v>99.9344901069097</v>
      </c>
      <c r="N806" s="38" t="n">
        <v>136.387213545992</v>
      </c>
      <c r="O806" s="38" t="n">
        <v>76.2465829445827</v>
      </c>
      <c r="P806" s="37" t="n">
        <v>0</v>
      </c>
      <c r="Q806" s="38" t="n">
        <v>0</v>
      </c>
      <c r="R806" s="38" t="n">
        <v>72</v>
      </c>
      <c r="S806" s="37" t="n">
        <v>1</v>
      </c>
    </row>
    <row r="807" customFormat="false" ht="15" hidden="false" customHeight="false" outlineLevel="0" collapsed="false">
      <c r="A807" s="37" t="n">
        <v>0</v>
      </c>
      <c r="B807" s="37" t="n">
        <v>10</v>
      </c>
      <c r="C807" s="37" t="n">
        <v>5</v>
      </c>
      <c r="D807" s="37" t="n">
        <v>5</v>
      </c>
      <c r="E807" s="37" t="n">
        <v>5</v>
      </c>
      <c r="F807" s="37" t="n">
        <v>5</v>
      </c>
      <c r="G807" s="37" t="s">
        <v>195</v>
      </c>
      <c r="H807" s="38" t="n">
        <v>198.598288850617</v>
      </c>
      <c r="I807" s="38" t="n">
        <v>198.50821115299</v>
      </c>
      <c r="J807" s="38" t="n">
        <v>210.210260964894</v>
      </c>
      <c r="K807" s="38" t="n">
        <v>224.628149788889</v>
      </c>
      <c r="L807" s="38" t="n">
        <v>67.1733375306118</v>
      </c>
      <c r="M807" s="38" t="n">
        <v>100.83337214047</v>
      </c>
      <c r="N807" s="38" t="n">
        <v>123.306850002313</v>
      </c>
      <c r="O807" s="38" t="n">
        <v>70.0388427585725</v>
      </c>
      <c r="P807" s="37" t="n">
        <v>0</v>
      </c>
      <c r="Q807" s="38" t="n">
        <v>0</v>
      </c>
      <c r="R807" s="38" t="n">
        <v>70.4385563225169</v>
      </c>
      <c r="S807" s="37" t="n">
        <v>0</v>
      </c>
    </row>
    <row r="808" customFormat="false" ht="15" hidden="false" customHeight="false" outlineLevel="0" collapsed="false">
      <c r="A808" s="37" t="n">
        <v>0</v>
      </c>
      <c r="B808" s="37" t="n">
        <v>10</v>
      </c>
      <c r="C808" s="37" t="n">
        <v>5</v>
      </c>
      <c r="D808" s="37" t="n">
        <v>5</v>
      </c>
      <c r="E808" s="37" t="n">
        <v>5</v>
      </c>
      <c r="F808" s="37" t="n">
        <v>5</v>
      </c>
      <c r="G808" s="37" t="s">
        <v>197</v>
      </c>
      <c r="H808" s="38" t="n">
        <v>198.598288850617</v>
      </c>
      <c r="I808" s="38" t="n">
        <v>198.432354202534</v>
      </c>
      <c r="J808" s="38" t="n">
        <v>211.224990248232</v>
      </c>
      <c r="K808" s="38" t="n">
        <v>228.33815219744</v>
      </c>
      <c r="L808" s="38" t="n">
        <v>66.5064896960873</v>
      </c>
      <c r="M808" s="38" t="n">
        <v>101.915725787446</v>
      </c>
      <c r="N808" s="38" t="n">
        <v>124.882018414124</v>
      </c>
      <c r="O808" s="38" t="n">
        <v>71.7775682778276</v>
      </c>
      <c r="P808" s="37" t="n">
        <v>0</v>
      </c>
      <c r="Q808" s="38" t="n">
        <v>0</v>
      </c>
      <c r="R808" s="38" t="n">
        <v>72</v>
      </c>
      <c r="S808" s="37" t="n">
        <v>0</v>
      </c>
    </row>
    <row r="809" customFormat="false" ht="15" hidden="false" customHeight="false" outlineLevel="0" collapsed="false">
      <c r="A809" s="37" t="n">
        <v>0</v>
      </c>
      <c r="B809" s="37" t="n">
        <v>10</v>
      </c>
      <c r="C809" s="37" t="n">
        <v>5</v>
      </c>
      <c r="D809" s="37" t="n">
        <v>5</v>
      </c>
      <c r="E809" s="37" t="n">
        <v>5</v>
      </c>
      <c r="F809" s="37" t="n">
        <v>5</v>
      </c>
      <c r="G809" s="37" t="s">
        <v>196</v>
      </c>
      <c r="H809" s="38" t="n">
        <v>198.598288850617</v>
      </c>
      <c r="I809" s="38" t="n">
        <v>198.430509062068</v>
      </c>
      <c r="J809" s="38" t="n">
        <v>211.188538532348</v>
      </c>
      <c r="K809" s="38" t="n">
        <v>228.368569367356</v>
      </c>
      <c r="L809" s="38" t="n">
        <v>71.9396815868303</v>
      </c>
      <c r="M809" s="38" t="n">
        <v>101.843284494687</v>
      </c>
      <c r="N809" s="38" t="n">
        <v>127.187980120689</v>
      </c>
      <c r="O809" s="38" t="n">
        <v>71.2096246178893</v>
      </c>
      <c r="P809" s="37" t="n">
        <v>0</v>
      </c>
      <c r="Q809" s="38" t="n">
        <v>0</v>
      </c>
      <c r="R809" s="38" t="n">
        <v>71.0104002660072</v>
      </c>
      <c r="S809" s="37" t="n">
        <v>0</v>
      </c>
    </row>
    <row r="810" customFormat="false" ht="15" hidden="false" customHeight="false" outlineLevel="0" collapsed="false">
      <c r="A810" s="37" t="n">
        <v>0</v>
      </c>
      <c r="B810" s="37" t="n">
        <v>10</v>
      </c>
      <c r="C810" s="37" t="n">
        <v>5</v>
      </c>
      <c r="D810" s="37" t="n">
        <v>5</v>
      </c>
      <c r="E810" s="37" t="n">
        <v>10</v>
      </c>
      <c r="F810" s="37" t="n">
        <v>0</v>
      </c>
      <c r="G810" s="37" t="s">
        <v>188</v>
      </c>
      <c r="H810" s="38" t="n">
        <v>198.604648216708</v>
      </c>
      <c r="I810" s="38" t="n">
        <v>198.532402412018</v>
      </c>
      <c r="J810" s="38" t="n">
        <v>209.882197592183</v>
      </c>
      <c r="K810" s="38" t="n">
        <v>226.807829711158</v>
      </c>
      <c r="L810" s="38" t="n">
        <v>34.8319477618071</v>
      </c>
      <c r="M810" s="38" t="n">
        <v>99.9362845177636</v>
      </c>
      <c r="N810" s="38" t="n">
        <v>117.612386085042</v>
      </c>
      <c r="O810" s="38" t="n">
        <v>64.7883954852204</v>
      </c>
      <c r="P810" s="37" t="n">
        <v>0</v>
      </c>
      <c r="Q810" s="38" t="n">
        <v>0</v>
      </c>
      <c r="R810" s="38" t="n">
        <v>72</v>
      </c>
      <c r="S810" s="37" t="n">
        <v>0</v>
      </c>
    </row>
    <row r="811" customFormat="false" ht="15" hidden="false" customHeight="false" outlineLevel="0" collapsed="false">
      <c r="A811" s="37" t="n">
        <v>0</v>
      </c>
      <c r="B811" s="37" t="n">
        <v>10</v>
      </c>
      <c r="C811" s="37" t="n">
        <v>5</v>
      </c>
      <c r="D811" s="37" t="n">
        <v>5</v>
      </c>
      <c r="E811" s="37" t="n">
        <v>10</v>
      </c>
      <c r="F811" s="37" t="n">
        <v>0</v>
      </c>
      <c r="G811" s="37" t="s">
        <v>192</v>
      </c>
      <c r="H811" s="38" t="n">
        <v>198.604648216708</v>
      </c>
      <c r="I811" s="38" t="n">
        <v>198.5423206088</v>
      </c>
      <c r="J811" s="38" t="n">
        <v>219.020108725259</v>
      </c>
      <c r="K811" s="38" t="n">
        <v>247.698444698007</v>
      </c>
      <c r="L811" s="38" t="n">
        <v>87.3848109268509</v>
      </c>
      <c r="M811" s="38" t="n">
        <v>100.634547063238</v>
      </c>
      <c r="N811" s="38" t="n">
        <v>137.041856886618</v>
      </c>
      <c r="O811" s="38" t="n">
        <v>72.3349970520107</v>
      </c>
      <c r="P811" s="37" t="n">
        <v>0</v>
      </c>
      <c r="Q811" s="38" t="n">
        <v>0</v>
      </c>
      <c r="R811" s="38" t="n">
        <v>63</v>
      </c>
      <c r="S811" s="37" t="n">
        <v>1</v>
      </c>
    </row>
    <row r="812" customFormat="false" ht="15" hidden="false" customHeight="false" outlineLevel="0" collapsed="false">
      <c r="A812" s="37" t="n">
        <v>0</v>
      </c>
      <c r="B812" s="37" t="n">
        <v>10</v>
      </c>
      <c r="C812" s="37" t="n">
        <v>5</v>
      </c>
      <c r="D812" s="37" t="n">
        <v>5</v>
      </c>
      <c r="E812" s="37" t="n">
        <v>10</v>
      </c>
      <c r="F812" s="37" t="n">
        <v>0</v>
      </c>
      <c r="G812" s="37" t="s">
        <v>195</v>
      </c>
      <c r="H812" s="38" t="n">
        <v>198.604648216708</v>
      </c>
      <c r="I812" s="38" t="n">
        <v>198.623254563268</v>
      </c>
      <c r="J812" s="38" t="n">
        <v>211.393172716181</v>
      </c>
      <c r="K812" s="38" t="n">
        <v>226.515195981757</v>
      </c>
      <c r="L812" s="38" t="n">
        <v>40.198827006212</v>
      </c>
      <c r="M812" s="38" t="n">
        <v>101.618666571846</v>
      </c>
      <c r="N812" s="38" t="n">
        <v>126.59957737563</v>
      </c>
      <c r="O812" s="38" t="n">
        <v>66.5606527327779</v>
      </c>
      <c r="P812" s="37" t="n">
        <v>0</v>
      </c>
      <c r="Q812" s="38" t="n">
        <v>0</v>
      </c>
      <c r="R812" s="38" t="n">
        <v>70.4050893073364</v>
      </c>
      <c r="S812" s="37" t="n">
        <v>0</v>
      </c>
    </row>
    <row r="813" customFormat="false" ht="15" hidden="false" customHeight="false" outlineLevel="0" collapsed="false">
      <c r="A813" s="37" t="n">
        <v>0</v>
      </c>
      <c r="B813" s="37" t="n">
        <v>10</v>
      </c>
      <c r="C813" s="37" t="n">
        <v>5</v>
      </c>
      <c r="D813" s="37" t="n">
        <v>5</v>
      </c>
      <c r="E813" s="37" t="n">
        <v>10</v>
      </c>
      <c r="F813" s="37" t="n">
        <v>0</v>
      </c>
      <c r="G813" s="37" t="s">
        <v>197</v>
      </c>
      <c r="H813" s="38" t="n">
        <v>198.604648216708</v>
      </c>
      <c r="I813" s="38" t="n">
        <v>198.562200066943</v>
      </c>
      <c r="J813" s="38" t="n">
        <v>213.625095117977</v>
      </c>
      <c r="K813" s="38" t="n">
        <v>231.807611031326</v>
      </c>
      <c r="L813" s="38" t="n">
        <v>30.6277149526174</v>
      </c>
      <c r="M813" s="38" t="n">
        <v>105.272429569509</v>
      </c>
      <c r="N813" s="38" t="n">
        <v>129.228662449824</v>
      </c>
      <c r="O813" s="38" t="n">
        <v>72.9708914463921</v>
      </c>
      <c r="P813" s="37" t="n">
        <v>0</v>
      </c>
      <c r="Q813" s="38" t="n">
        <v>0</v>
      </c>
      <c r="R813" s="38" t="n">
        <v>72</v>
      </c>
      <c r="S813" s="37" t="n">
        <v>0</v>
      </c>
    </row>
    <row r="814" customFormat="false" ht="15" hidden="false" customHeight="false" outlineLevel="0" collapsed="false">
      <c r="A814" s="37" t="n">
        <v>0</v>
      </c>
      <c r="B814" s="37" t="n">
        <v>10</v>
      </c>
      <c r="C814" s="37" t="n">
        <v>5</v>
      </c>
      <c r="D814" s="37" t="n">
        <v>5</v>
      </c>
      <c r="E814" s="37" t="n">
        <v>10</v>
      </c>
      <c r="F814" s="37" t="n">
        <v>0</v>
      </c>
      <c r="G814" s="37" t="s">
        <v>196</v>
      </c>
      <c r="H814" s="38" t="n">
        <v>198.604648216708</v>
      </c>
      <c r="I814" s="38" t="n">
        <v>198.542574964804</v>
      </c>
      <c r="J814" s="38" t="n">
        <v>212.607203466931</v>
      </c>
      <c r="K814" s="38" t="n">
        <v>230.486299528327</v>
      </c>
      <c r="L814" s="38" t="n">
        <v>33.9916288230488</v>
      </c>
      <c r="M814" s="38" t="n">
        <v>103.123207467813</v>
      </c>
      <c r="N814" s="38" t="n">
        <v>127.414254465939</v>
      </c>
      <c r="O814" s="38" t="n">
        <v>71.0969306656792</v>
      </c>
      <c r="P814" s="37" t="n">
        <v>0</v>
      </c>
      <c r="Q814" s="38" t="n">
        <v>0</v>
      </c>
      <c r="R814" s="38" t="n">
        <v>70.9946123640667</v>
      </c>
      <c r="S814" s="37" t="n">
        <v>0</v>
      </c>
    </row>
    <row r="815" customFormat="false" ht="15" hidden="false" customHeight="false" outlineLevel="0" collapsed="false">
      <c r="A815" s="37" t="n">
        <v>0</v>
      </c>
      <c r="B815" s="37" t="n">
        <v>10</v>
      </c>
      <c r="C815" s="37" t="n">
        <v>5</v>
      </c>
      <c r="D815" s="37" t="n">
        <v>10</v>
      </c>
      <c r="E815" s="37" t="n">
        <v>0</v>
      </c>
      <c r="F815" s="37" t="n">
        <v>5</v>
      </c>
      <c r="G815" s="37" t="s">
        <v>188</v>
      </c>
      <c r="H815" s="38" t="n">
        <v>198.817481966011</v>
      </c>
      <c r="I815" s="38" t="n">
        <v>199.440727311535</v>
      </c>
      <c r="J815" s="38" t="n">
        <v>212.113465267745</v>
      </c>
      <c r="K815" s="38" t="n">
        <v>225.536599336393</v>
      </c>
      <c r="L815" s="38" t="n">
        <v>62.7109672077883</v>
      </c>
      <c r="M815" s="38" t="n">
        <v>99.3721851363339</v>
      </c>
      <c r="N815" s="38" t="n">
        <v>118.587175649176</v>
      </c>
      <c r="O815" s="38" t="n">
        <v>70.2188161842536</v>
      </c>
      <c r="P815" s="37" t="n">
        <v>0</v>
      </c>
      <c r="Q815" s="38" t="n">
        <v>0</v>
      </c>
      <c r="R815" s="38" t="n">
        <v>72</v>
      </c>
      <c r="S815" s="37" t="n">
        <v>0</v>
      </c>
    </row>
    <row r="816" customFormat="false" ht="15" hidden="false" customHeight="false" outlineLevel="0" collapsed="false">
      <c r="A816" s="37" t="n">
        <v>0</v>
      </c>
      <c r="B816" s="37" t="n">
        <v>10</v>
      </c>
      <c r="C816" s="37" t="n">
        <v>5</v>
      </c>
      <c r="D816" s="37" t="n">
        <v>10</v>
      </c>
      <c r="E816" s="37" t="n">
        <v>0</v>
      </c>
      <c r="F816" s="37" t="n">
        <v>5</v>
      </c>
      <c r="G816" s="37" t="s">
        <v>192</v>
      </c>
      <c r="H816" s="38" t="n">
        <v>198.817481966011</v>
      </c>
      <c r="I816" s="38" t="n">
        <v>199.445159780787</v>
      </c>
      <c r="J816" s="38" t="n">
        <v>224.333541303432</v>
      </c>
      <c r="K816" s="38" t="n">
        <v>234.504322158867</v>
      </c>
      <c r="L816" s="38" t="n">
        <v>63.5981076796379</v>
      </c>
      <c r="M816" s="38" t="n">
        <v>100.252013725881</v>
      </c>
      <c r="N816" s="38" t="n">
        <v>135.773003231587</v>
      </c>
      <c r="O816" s="38" t="n">
        <v>77.6445688916918</v>
      </c>
      <c r="P816" s="37" t="n">
        <v>0</v>
      </c>
      <c r="Q816" s="38" t="n">
        <v>0</v>
      </c>
      <c r="R816" s="38" t="n">
        <v>72</v>
      </c>
      <c r="S816" s="37" t="n">
        <v>1</v>
      </c>
    </row>
    <row r="817" customFormat="false" ht="15" hidden="false" customHeight="false" outlineLevel="0" collapsed="false">
      <c r="A817" s="37" t="n">
        <v>0</v>
      </c>
      <c r="B817" s="37" t="n">
        <v>10</v>
      </c>
      <c r="C817" s="37" t="n">
        <v>5</v>
      </c>
      <c r="D817" s="37" t="n">
        <v>10</v>
      </c>
      <c r="E817" s="37" t="n">
        <v>0</v>
      </c>
      <c r="F817" s="37" t="n">
        <v>5</v>
      </c>
      <c r="G817" s="37" t="s">
        <v>195</v>
      </c>
      <c r="H817" s="38" t="n">
        <v>198.817481966011</v>
      </c>
      <c r="I817" s="38" t="n">
        <v>199.60333491469</v>
      </c>
      <c r="J817" s="38" t="n">
        <v>215.204619244426</v>
      </c>
      <c r="K817" s="38" t="n">
        <v>230.231832130922</v>
      </c>
      <c r="L817" s="38" t="n">
        <v>76.9818321309216</v>
      </c>
      <c r="M817" s="38" t="n">
        <v>102.474763736319</v>
      </c>
      <c r="N817" s="38" t="n">
        <v>129.341528206446</v>
      </c>
      <c r="O817" s="38" t="n">
        <v>74.7340253227617</v>
      </c>
      <c r="P817" s="37" t="n">
        <v>0</v>
      </c>
      <c r="Q817" s="38" t="n">
        <v>0</v>
      </c>
      <c r="R817" s="38" t="n">
        <v>67.5309541507666</v>
      </c>
      <c r="S817" s="37" t="n">
        <v>0</v>
      </c>
    </row>
    <row r="818" customFormat="false" ht="15" hidden="false" customHeight="false" outlineLevel="0" collapsed="false">
      <c r="A818" s="37" t="n">
        <v>0</v>
      </c>
      <c r="B818" s="37" t="n">
        <v>10</v>
      </c>
      <c r="C818" s="37" t="n">
        <v>5</v>
      </c>
      <c r="D818" s="37" t="n">
        <v>10</v>
      </c>
      <c r="E818" s="37" t="n">
        <v>0</v>
      </c>
      <c r="F818" s="37" t="n">
        <v>5</v>
      </c>
      <c r="G818" s="37" t="s">
        <v>197</v>
      </c>
      <c r="H818" s="38" t="n">
        <v>198.817481966011</v>
      </c>
      <c r="I818" s="38" t="n">
        <v>199.435136834622</v>
      </c>
      <c r="J818" s="38" t="n">
        <v>213.861271152941</v>
      </c>
      <c r="K818" s="38" t="n">
        <v>227.748545143639</v>
      </c>
      <c r="L818" s="38" t="n">
        <v>65.6090791209296</v>
      </c>
      <c r="M818" s="38" t="n">
        <v>98.8716079709297</v>
      </c>
      <c r="N818" s="38" t="n">
        <v>114.988293229757</v>
      </c>
      <c r="O818" s="38" t="n">
        <v>70.6888492837372</v>
      </c>
      <c r="P818" s="37" t="n">
        <v>0</v>
      </c>
      <c r="Q818" s="38" t="n">
        <v>0</v>
      </c>
      <c r="R818" s="38" t="n">
        <v>72</v>
      </c>
      <c r="S818" s="37" t="n">
        <v>0</v>
      </c>
    </row>
    <row r="819" customFormat="false" ht="15" hidden="false" customHeight="false" outlineLevel="0" collapsed="false">
      <c r="A819" s="37" t="n">
        <v>0</v>
      </c>
      <c r="B819" s="37" t="n">
        <v>10</v>
      </c>
      <c r="C819" s="37" t="n">
        <v>5</v>
      </c>
      <c r="D819" s="37" t="n">
        <v>10</v>
      </c>
      <c r="E819" s="37" t="n">
        <v>0</v>
      </c>
      <c r="F819" s="37" t="n">
        <v>5</v>
      </c>
      <c r="G819" s="37" t="s">
        <v>196</v>
      </c>
      <c r="H819" s="38" t="n">
        <v>198.817481966011</v>
      </c>
      <c r="I819" s="38" t="n">
        <v>199.442297469275</v>
      </c>
      <c r="J819" s="38" t="n">
        <v>206.964855665927</v>
      </c>
      <c r="K819" s="38" t="n">
        <v>230.194164721171</v>
      </c>
      <c r="L819" s="38" t="n">
        <v>76.6386091656154</v>
      </c>
      <c r="M819" s="38" t="n">
        <v>101.924221568524</v>
      </c>
      <c r="N819" s="38" t="n">
        <v>124.424526439967</v>
      </c>
      <c r="O819" s="38" t="n">
        <v>70.3918011614266</v>
      </c>
      <c r="P819" s="37" t="n">
        <v>0</v>
      </c>
      <c r="Q819" s="38" t="n">
        <v>0</v>
      </c>
      <c r="R819" s="38" t="n">
        <v>70.604</v>
      </c>
      <c r="S819" s="37" t="n">
        <v>0</v>
      </c>
    </row>
    <row r="820" customFormat="false" ht="15" hidden="false" customHeight="false" outlineLevel="0" collapsed="false">
      <c r="A820" s="37" t="n">
        <v>0</v>
      </c>
      <c r="B820" s="37" t="n">
        <v>10</v>
      </c>
      <c r="C820" s="37" t="n">
        <v>5</v>
      </c>
      <c r="D820" s="37" t="n">
        <v>10</v>
      </c>
      <c r="E820" s="37" t="n">
        <v>5</v>
      </c>
      <c r="F820" s="37" t="n">
        <v>0</v>
      </c>
      <c r="G820" s="37" t="s">
        <v>188</v>
      </c>
      <c r="H820" s="38" t="n">
        <v>198.812076785788</v>
      </c>
      <c r="I820" s="38" t="n">
        <v>199.464459006897</v>
      </c>
      <c r="J820" s="38" t="n">
        <v>213.737891259673</v>
      </c>
      <c r="K820" s="38" t="n">
        <v>227.602647187435</v>
      </c>
      <c r="L820" s="38" t="n">
        <v>36.1227458135459</v>
      </c>
      <c r="M820" s="38" t="n">
        <v>100.130076598059</v>
      </c>
      <c r="N820" s="38" t="n">
        <v>119.672589600089</v>
      </c>
      <c r="O820" s="38" t="n">
        <v>66.7830993169793</v>
      </c>
      <c r="P820" s="37" t="n">
        <v>0</v>
      </c>
      <c r="Q820" s="38" t="n">
        <v>0</v>
      </c>
      <c r="R820" s="38" t="n">
        <v>72</v>
      </c>
      <c r="S820" s="37" t="n">
        <v>0</v>
      </c>
    </row>
    <row r="821" customFormat="false" ht="15" hidden="false" customHeight="false" outlineLevel="0" collapsed="false">
      <c r="A821" s="37" t="n">
        <v>0</v>
      </c>
      <c r="B821" s="37" t="n">
        <v>10</v>
      </c>
      <c r="C821" s="37" t="n">
        <v>5</v>
      </c>
      <c r="D821" s="37" t="n">
        <v>10</v>
      </c>
      <c r="E821" s="37" t="n">
        <v>5</v>
      </c>
      <c r="F821" s="37" t="n">
        <v>0</v>
      </c>
      <c r="G821" s="37" t="s">
        <v>192</v>
      </c>
      <c r="H821" s="38" t="n">
        <v>198.812076785788</v>
      </c>
      <c r="I821" s="38" t="n">
        <v>199.473431586547</v>
      </c>
      <c r="J821" s="38" t="n">
        <v>223.411315173022</v>
      </c>
      <c r="K821" s="38" t="n">
        <v>249.434811222436</v>
      </c>
      <c r="L821" s="38" t="n">
        <v>90.0731823709797</v>
      </c>
      <c r="M821" s="38" t="n">
        <v>100.882811653692</v>
      </c>
      <c r="N821" s="38" t="n">
        <v>139.391586714976</v>
      </c>
      <c r="O821" s="38" t="n">
        <v>75.8557155227984</v>
      </c>
      <c r="P821" s="37" t="n">
        <v>0</v>
      </c>
      <c r="Q821" s="38" t="n">
        <v>0</v>
      </c>
      <c r="R821" s="38" t="n">
        <v>63</v>
      </c>
      <c r="S821" s="37" t="n">
        <v>1</v>
      </c>
    </row>
    <row r="822" customFormat="false" ht="15" hidden="false" customHeight="false" outlineLevel="0" collapsed="false">
      <c r="A822" s="37" t="n">
        <v>0</v>
      </c>
      <c r="B822" s="37" t="n">
        <v>10</v>
      </c>
      <c r="C822" s="37" t="n">
        <v>5</v>
      </c>
      <c r="D822" s="37" t="n">
        <v>10</v>
      </c>
      <c r="E822" s="37" t="n">
        <v>5</v>
      </c>
      <c r="F822" s="37" t="n">
        <v>0</v>
      </c>
      <c r="G822" s="37" t="s">
        <v>195</v>
      </c>
      <c r="H822" s="38" t="n">
        <v>198.812076785788</v>
      </c>
      <c r="I822" s="38" t="n">
        <v>199.636954127358</v>
      </c>
      <c r="J822" s="38" t="n">
        <v>217.260253930254</v>
      </c>
      <c r="K822" s="38" t="n">
        <v>232.838226050565</v>
      </c>
      <c r="L822" s="38" t="n">
        <v>39.5882260505646</v>
      </c>
      <c r="M822" s="38" t="n">
        <v>103.162871434295</v>
      </c>
      <c r="N822" s="38" t="n">
        <v>134.732981599455</v>
      </c>
      <c r="O822" s="38" t="n">
        <v>74.6494967961285</v>
      </c>
      <c r="P822" s="37" t="n">
        <v>0</v>
      </c>
      <c r="Q822" s="38" t="n">
        <v>0</v>
      </c>
      <c r="R822" s="38" t="n">
        <v>67.4855333490017</v>
      </c>
      <c r="S822" s="37" t="n">
        <v>0</v>
      </c>
    </row>
    <row r="823" customFormat="false" ht="15" hidden="false" customHeight="false" outlineLevel="0" collapsed="false">
      <c r="A823" s="37" t="n">
        <v>0</v>
      </c>
      <c r="B823" s="37" t="n">
        <v>10</v>
      </c>
      <c r="C823" s="37" t="n">
        <v>5</v>
      </c>
      <c r="D823" s="37" t="n">
        <v>10</v>
      </c>
      <c r="E823" s="37" t="n">
        <v>5</v>
      </c>
      <c r="F823" s="37" t="n">
        <v>0</v>
      </c>
      <c r="G823" s="37" t="s">
        <v>197</v>
      </c>
      <c r="H823" s="38" t="n">
        <v>198.812076785788</v>
      </c>
      <c r="I823" s="38" t="n">
        <v>199.472934750079</v>
      </c>
      <c r="J823" s="38" t="n">
        <v>216.464539286656</v>
      </c>
      <c r="K823" s="38" t="n">
        <v>231.0984839559</v>
      </c>
      <c r="L823" s="38" t="n">
        <v>79.4591015840688</v>
      </c>
      <c r="M823" s="38" t="n">
        <v>102.910159929261</v>
      </c>
      <c r="N823" s="38" t="n">
        <v>128.341748338413</v>
      </c>
      <c r="O823" s="38" t="n">
        <v>74.2221983428583</v>
      </c>
      <c r="P823" s="37" t="n">
        <v>0</v>
      </c>
      <c r="Q823" s="38" t="n">
        <v>0</v>
      </c>
      <c r="R823" s="38" t="n">
        <v>72</v>
      </c>
      <c r="S823" s="37" t="n">
        <v>0</v>
      </c>
    </row>
    <row r="824" customFormat="false" ht="15" hidden="false" customHeight="false" outlineLevel="0" collapsed="false">
      <c r="A824" s="37" t="n">
        <v>0</v>
      </c>
      <c r="B824" s="37" t="n">
        <v>10</v>
      </c>
      <c r="C824" s="37" t="n">
        <v>5</v>
      </c>
      <c r="D824" s="37" t="n">
        <v>10</v>
      </c>
      <c r="E824" s="37" t="n">
        <v>5</v>
      </c>
      <c r="F824" s="37" t="n">
        <v>0</v>
      </c>
      <c r="G824" s="37" t="s">
        <v>196</v>
      </c>
      <c r="H824" s="38" t="n">
        <v>198.812076785788</v>
      </c>
      <c r="I824" s="38" t="n">
        <v>199.470984294437</v>
      </c>
      <c r="J824" s="38" t="n">
        <v>216.469978187395</v>
      </c>
      <c r="K824" s="38" t="n">
        <v>231.150682289215</v>
      </c>
      <c r="L824" s="38" t="n">
        <v>35.021793400326</v>
      </c>
      <c r="M824" s="38" t="n">
        <v>103.281509514579</v>
      </c>
      <c r="N824" s="38" t="n">
        <v>128.864635832872</v>
      </c>
      <c r="O824" s="38" t="n">
        <v>73.635165723569</v>
      </c>
      <c r="P824" s="37" t="n">
        <v>0</v>
      </c>
      <c r="Q824" s="38" t="n">
        <v>0</v>
      </c>
      <c r="R824" s="38" t="n">
        <v>71.0824</v>
      </c>
      <c r="S824" s="37" t="n">
        <v>0</v>
      </c>
    </row>
    <row r="825" customFormat="false" ht="15" hidden="false" customHeight="false" outlineLevel="0" collapsed="false">
      <c r="A825" s="37" t="n">
        <v>0</v>
      </c>
      <c r="B825" s="37" t="n">
        <v>10</v>
      </c>
      <c r="C825" s="37" t="n">
        <v>5</v>
      </c>
      <c r="D825" s="37" t="n">
        <v>15</v>
      </c>
      <c r="E825" s="37" t="n">
        <v>0</v>
      </c>
      <c r="F825" s="37" t="n">
        <v>0</v>
      </c>
      <c r="G825" s="37" t="s">
        <v>188</v>
      </c>
      <c r="H825" s="38" t="n">
        <v>198.983854793368</v>
      </c>
      <c r="I825" s="38" t="n">
        <v>200.216032334438</v>
      </c>
      <c r="J825" s="38" t="n">
        <v>215.685169961351</v>
      </c>
      <c r="K825" s="38" t="n">
        <v>224.859832097987</v>
      </c>
      <c r="L825" s="38" t="n">
        <v>71.2509518616275</v>
      </c>
      <c r="M825" s="38" t="n">
        <v>99.9161807074598</v>
      </c>
      <c r="N825" s="38" t="n">
        <v>118.360488906254</v>
      </c>
      <c r="O825" s="38" t="n">
        <v>70.8702830997848</v>
      </c>
      <c r="P825" s="37" t="n">
        <v>0</v>
      </c>
      <c r="Q825" s="38" t="n">
        <v>0</v>
      </c>
      <c r="R825" s="38" t="n">
        <v>72</v>
      </c>
      <c r="S825" s="37" t="n">
        <v>0</v>
      </c>
    </row>
    <row r="826" customFormat="false" ht="15" hidden="false" customHeight="false" outlineLevel="0" collapsed="false">
      <c r="A826" s="37" t="n">
        <v>0</v>
      </c>
      <c r="B826" s="37" t="n">
        <v>10</v>
      </c>
      <c r="C826" s="37" t="n">
        <v>5</v>
      </c>
      <c r="D826" s="37" t="n">
        <v>15</v>
      </c>
      <c r="E826" s="37" t="n">
        <v>0</v>
      </c>
      <c r="F826" s="37" t="n">
        <v>0</v>
      </c>
      <c r="G826" s="37" t="s">
        <v>192</v>
      </c>
      <c r="H826" s="38" t="n">
        <v>198.983854793368</v>
      </c>
      <c r="I826" s="38" t="n">
        <v>200.219322503471</v>
      </c>
      <c r="J826" s="38" t="n">
        <v>225.084170250083</v>
      </c>
      <c r="K826" s="38" t="n">
        <v>246.822860594363</v>
      </c>
      <c r="L826" s="38" t="n">
        <v>88.2368121751895</v>
      </c>
      <c r="M826" s="38" t="n">
        <v>100.761241956423</v>
      </c>
      <c r="N826" s="38" t="n">
        <v>136.960468518808</v>
      </c>
      <c r="O826" s="38" t="n">
        <v>75.5113690759199</v>
      </c>
      <c r="P826" s="37" t="n">
        <v>0</v>
      </c>
      <c r="Q826" s="38" t="n">
        <v>0</v>
      </c>
      <c r="R826" s="38" t="n">
        <v>63</v>
      </c>
      <c r="S826" s="37" t="n">
        <v>1</v>
      </c>
    </row>
    <row r="827" customFormat="false" ht="15" hidden="false" customHeight="false" outlineLevel="0" collapsed="false">
      <c r="A827" s="37" t="n">
        <v>0</v>
      </c>
      <c r="B827" s="37" t="n">
        <v>10</v>
      </c>
      <c r="C827" s="37" t="n">
        <v>5</v>
      </c>
      <c r="D827" s="37" t="n">
        <v>15</v>
      </c>
      <c r="E827" s="37" t="n">
        <v>0</v>
      </c>
      <c r="F827" s="37" t="n">
        <v>0</v>
      </c>
      <c r="G827" s="37" t="s">
        <v>195</v>
      </c>
      <c r="H827" s="38" t="n">
        <v>198.983854793368</v>
      </c>
      <c r="I827" s="38" t="n">
        <v>200.455813851693</v>
      </c>
      <c r="J827" s="38" t="n">
        <v>219.898817911254</v>
      </c>
      <c r="K827" s="38" t="n">
        <v>231.53290773136</v>
      </c>
      <c r="L827" s="38" t="n">
        <v>38.2829077313601</v>
      </c>
      <c r="M827" s="38" t="n">
        <v>103.957804902212</v>
      </c>
      <c r="N827" s="38" t="n">
        <v>132.104129969905</v>
      </c>
      <c r="O827" s="38" t="n">
        <v>74.9174980124475</v>
      </c>
      <c r="P827" s="37" t="n">
        <v>0</v>
      </c>
      <c r="Q827" s="38" t="n">
        <v>0</v>
      </c>
      <c r="R827" s="38" t="n">
        <v>67.6192201438526</v>
      </c>
      <c r="S827" s="37" t="n">
        <v>0</v>
      </c>
    </row>
    <row r="828" customFormat="false" ht="15" hidden="false" customHeight="false" outlineLevel="0" collapsed="false">
      <c r="A828" s="37" t="n">
        <v>0</v>
      </c>
      <c r="B828" s="37" t="n">
        <v>10</v>
      </c>
      <c r="C828" s="37" t="n">
        <v>5</v>
      </c>
      <c r="D828" s="37" t="n">
        <v>15</v>
      </c>
      <c r="E828" s="37" t="n">
        <v>0</v>
      </c>
      <c r="F828" s="37" t="n">
        <v>0</v>
      </c>
      <c r="G828" s="37" t="s">
        <v>197</v>
      </c>
      <c r="H828" s="38" t="n">
        <v>198.983854793368</v>
      </c>
      <c r="I828" s="38" t="n">
        <v>200.20976336527</v>
      </c>
      <c r="J828" s="38" t="n">
        <v>217.192677626877</v>
      </c>
      <c r="K828" s="38" t="n">
        <v>226.841190527825</v>
      </c>
      <c r="L828" s="38" t="n">
        <v>69.8717800863351</v>
      </c>
      <c r="M828" s="38" t="n">
        <v>99.4325985390328</v>
      </c>
      <c r="N828" s="38" t="n">
        <v>116.045390934276</v>
      </c>
      <c r="O828" s="38" t="n">
        <v>69.6408897518578</v>
      </c>
      <c r="P828" s="37" t="n">
        <v>0</v>
      </c>
      <c r="Q828" s="38" t="n">
        <v>0</v>
      </c>
      <c r="R828" s="38" t="n">
        <v>72</v>
      </c>
      <c r="S828" s="37" t="n">
        <v>0</v>
      </c>
    </row>
    <row r="829" customFormat="false" ht="15" hidden="false" customHeight="false" outlineLevel="0" collapsed="false">
      <c r="A829" s="37" t="n">
        <v>0</v>
      </c>
      <c r="B829" s="37" t="n">
        <v>10</v>
      </c>
      <c r="C829" s="37" t="n">
        <v>5</v>
      </c>
      <c r="D829" s="37" t="n">
        <v>15</v>
      </c>
      <c r="E829" s="37" t="n">
        <v>0</v>
      </c>
      <c r="F829" s="37" t="n">
        <v>0</v>
      </c>
      <c r="G829" s="37" t="s">
        <v>196</v>
      </c>
      <c r="H829" s="38" t="n">
        <v>198.983854793368</v>
      </c>
      <c r="I829" s="38" t="n">
        <v>200.216486706191</v>
      </c>
      <c r="J829" s="38" t="n">
        <v>210.15624764903</v>
      </c>
      <c r="K829" s="38" t="n">
        <v>229.167605304169</v>
      </c>
      <c r="L829" s="38" t="n">
        <v>35.6120497486132</v>
      </c>
      <c r="M829" s="38" t="n">
        <v>102.765756088884</v>
      </c>
      <c r="N829" s="38" t="n">
        <v>122.836196389064</v>
      </c>
      <c r="O829" s="38" t="n">
        <v>69.4938776401725</v>
      </c>
      <c r="P829" s="37" t="n">
        <v>0</v>
      </c>
      <c r="Q829" s="38" t="n">
        <v>0</v>
      </c>
      <c r="R829" s="38" t="n">
        <v>70.604</v>
      </c>
      <c r="S829" s="37" t="n">
        <v>0</v>
      </c>
    </row>
    <row r="830" customFormat="false" ht="15" hidden="false" customHeight="false" outlineLevel="0" collapsed="false">
      <c r="A830" s="37" t="n">
        <v>0</v>
      </c>
      <c r="B830" s="37" t="n">
        <v>10</v>
      </c>
      <c r="C830" s="37" t="n">
        <v>10</v>
      </c>
      <c r="D830" s="37" t="n">
        <v>0</v>
      </c>
      <c r="E830" s="37" t="n">
        <v>0</v>
      </c>
      <c r="F830" s="37" t="n">
        <v>10</v>
      </c>
      <c r="G830" s="37" t="s">
        <v>188</v>
      </c>
      <c r="H830" s="38" t="n">
        <v>198.623060397541</v>
      </c>
      <c r="I830" s="38" t="n">
        <v>200.029920630834</v>
      </c>
      <c r="J830" s="38" t="n">
        <v>210.820198270287</v>
      </c>
      <c r="K830" s="38" t="n">
        <v>242.34423651168</v>
      </c>
      <c r="L830" s="38" t="n">
        <v>119.205082830163</v>
      </c>
      <c r="M830" s="38" t="n">
        <v>103.671049585173</v>
      </c>
      <c r="N830" s="38" t="n">
        <v>122.735308759706</v>
      </c>
      <c r="O830" s="38" t="n">
        <v>68.258371628887</v>
      </c>
      <c r="P830" s="37" t="n">
        <v>0</v>
      </c>
      <c r="Q830" s="38" t="n">
        <v>0</v>
      </c>
      <c r="R830" s="38" t="n">
        <v>70.5</v>
      </c>
      <c r="S830" s="37" t="n">
        <v>0</v>
      </c>
    </row>
    <row r="831" customFormat="false" ht="15" hidden="false" customHeight="false" outlineLevel="0" collapsed="false">
      <c r="A831" s="37" t="n">
        <v>0</v>
      </c>
      <c r="B831" s="37" t="n">
        <v>10</v>
      </c>
      <c r="C831" s="37" t="n">
        <v>10</v>
      </c>
      <c r="D831" s="37" t="n">
        <v>0</v>
      </c>
      <c r="E831" s="37" t="n">
        <v>0</v>
      </c>
      <c r="F831" s="37" t="n">
        <v>10</v>
      </c>
      <c r="G831" s="37" t="s">
        <v>192</v>
      </c>
      <c r="H831" s="38" t="n">
        <v>198.623060397541</v>
      </c>
      <c r="I831" s="38" t="n">
        <v>200.03375375057</v>
      </c>
      <c r="J831" s="38" t="n">
        <v>222.783513434522</v>
      </c>
      <c r="K831" s="38" t="n">
        <v>250.95084495643</v>
      </c>
      <c r="L831" s="38" t="n">
        <v>120.293398564059</v>
      </c>
      <c r="M831" s="38" t="n">
        <v>104.589259408652</v>
      </c>
      <c r="N831" s="38" t="n">
        <v>139.610717462645</v>
      </c>
      <c r="O831" s="38" t="n">
        <v>75.8845856129136</v>
      </c>
      <c r="P831" s="37" t="n">
        <v>0</v>
      </c>
      <c r="Q831" s="38" t="n">
        <v>0</v>
      </c>
      <c r="R831" s="38" t="n">
        <v>70.5</v>
      </c>
      <c r="S831" s="37" t="n">
        <v>1</v>
      </c>
    </row>
    <row r="832" customFormat="false" ht="15" hidden="false" customHeight="false" outlineLevel="0" collapsed="false">
      <c r="A832" s="37" t="n">
        <v>0</v>
      </c>
      <c r="B832" s="37" t="n">
        <v>10</v>
      </c>
      <c r="C832" s="37" t="n">
        <v>10</v>
      </c>
      <c r="D832" s="37" t="n">
        <v>0</v>
      </c>
      <c r="E832" s="37" t="n">
        <v>0</v>
      </c>
      <c r="F832" s="37" t="n">
        <v>10</v>
      </c>
      <c r="G832" s="37" t="s">
        <v>195</v>
      </c>
      <c r="H832" s="38" t="n">
        <v>198.623060397541</v>
      </c>
      <c r="I832" s="38" t="n">
        <v>200.059674330689</v>
      </c>
      <c r="J832" s="38" t="n">
        <v>208.996356804245</v>
      </c>
      <c r="K832" s="38" t="n">
        <v>236.910111590408</v>
      </c>
      <c r="L832" s="38" t="n">
        <v>118.400354875515</v>
      </c>
      <c r="M832" s="38" t="n">
        <v>103.709683652822</v>
      </c>
      <c r="N832" s="38" t="n">
        <v>118.488700040841</v>
      </c>
      <c r="O832" s="38" t="n">
        <v>66.4322158492022</v>
      </c>
      <c r="P832" s="37" t="n">
        <v>0</v>
      </c>
      <c r="Q832" s="38" t="n">
        <v>0</v>
      </c>
      <c r="R832" s="38" t="n">
        <v>68.6220729855321</v>
      </c>
      <c r="S832" s="37" t="n">
        <v>0</v>
      </c>
    </row>
    <row r="833" customFormat="false" ht="15" hidden="false" customHeight="false" outlineLevel="0" collapsed="false">
      <c r="A833" s="37" t="n">
        <v>0</v>
      </c>
      <c r="B833" s="37" t="n">
        <v>10</v>
      </c>
      <c r="C833" s="37" t="n">
        <v>10</v>
      </c>
      <c r="D833" s="37" t="n">
        <v>0</v>
      </c>
      <c r="E833" s="37" t="n">
        <v>0</v>
      </c>
      <c r="F833" s="37" t="n">
        <v>10</v>
      </c>
      <c r="G833" s="37" t="s">
        <v>197</v>
      </c>
      <c r="H833" s="38" t="n">
        <v>198.623060397541</v>
      </c>
      <c r="I833" s="38" t="n">
        <v>200.015827336157</v>
      </c>
      <c r="J833" s="38" t="n">
        <v>211.994630518198</v>
      </c>
      <c r="K833" s="38" t="n">
        <v>243.74892219201</v>
      </c>
      <c r="L833" s="38" t="n">
        <v>121.273179572296</v>
      </c>
      <c r="M833" s="38" t="n">
        <v>101.18376565972</v>
      </c>
      <c r="N833" s="38" t="n">
        <v>113.759883296603</v>
      </c>
      <c r="O833" s="38" t="n">
        <v>66.416615885017</v>
      </c>
      <c r="P833" s="37" t="n">
        <v>0</v>
      </c>
      <c r="Q833" s="38" t="n">
        <v>0</v>
      </c>
      <c r="R833" s="38" t="n">
        <v>70.5</v>
      </c>
      <c r="S833" s="37" t="n">
        <v>0</v>
      </c>
    </row>
    <row r="834" customFormat="false" ht="15" hidden="false" customHeight="false" outlineLevel="0" collapsed="false">
      <c r="A834" s="37" t="n">
        <v>0</v>
      </c>
      <c r="B834" s="37" t="n">
        <v>10</v>
      </c>
      <c r="C834" s="37" t="n">
        <v>10</v>
      </c>
      <c r="D834" s="37" t="n">
        <v>0</v>
      </c>
      <c r="E834" s="37" t="n">
        <v>0</v>
      </c>
      <c r="F834" s="37" t="n">
        <v>10</v>
      </c>
      <c r="G834" s="37" t="s">
        <v>196</v>
      </c>
      <c r="H834" s="38" t="n">
        <v>198.623060397541</v>
      </c>
      <c r="I834" s="38" t="n">
        <v>200.027738406367</v>
      </c>
      <c r="J834" s="38" t="n">
        <v>212.714889519583</v>
      </c>
      <c r="K834" s="38" t="n">
        <v>244.86848385298</v>
      </c>
      <c r="L834" s="38" t="n">
        <v>128.756718816454</v>
      </c>
      <c r="M834" s="38" t="n">
        <v>103.945119671695</v>
      </c>
      <c r="N834" s="38" t="n">
        <v>124.454199069544</v>
      </c>
      <c r="O834" s="38" t="n">
        <v>71.495024184177</v>
      </c>
      <c r="P834" s="37" t="n">
        <v>0</v>
      </c>
      <c r="Q834" s="38" t="n">
        <v>0</v>
      </c>
      <c r="R834" s="38" t="n">
        <v>69.5865097245671</v>
      </c>
      <c r="S834" s="37" t="n">
        <v>0</v>
      </c>
    </row>
    <row r="835" customFormat="false" ht="15" hidden="false" customHeight="false" outlineLevel="0" collapsed="false">
      <c r="A835" s="37" t="n">
        <v>0</v>
      </c>
      <c r="B835" s="37" t="n">
        <v>10</v>
      </c>
      <c r="C835" s="37" t="n">
        <v>10</v>
      </c>
      <c r="D835" s="37" t="n">
        <v>0</v>
      </c>
      <c r="E835" s="37" t="n">
        <v>5</v>
      </c>
      <c r="F835" s="37" t="n">
        <v>5</v>
      </c>
      <c r="G835" s="37" t="s">
        <v>188</v>
      </c>
      <c r="H835" s="38" t="n">
        <v>198.63054880869</v>
      </c>
      <c r="I835" s="38" t="n">
        <v>200.099045113823</v>
      </c>
      <c r="J835" s="38" t="n">
        <v>212.767014119105</v>
      </c>
      <c r="K835" s="38" t="n">
        <v>245.116122456451</v>
      </c>
      <c r="L835" s="38" t="n">
        <v>82.150047101478</v>
      </c>
      <c r="M835" s="38" t="n">
        <v>104.488509545897</v>
      </c>
      <c r="N835" s="38" t="n">
        <v>128.077919863943</v>
      </c>
      <c r="O835" s="38" t="n">
        <v>67.8949524052497</v>
      </c>
      <c r="P835" s="37" t="n">
        <v>0</v>
      </c>
      <c r="Q835" s="38" t="n">
        <v>0</v>
      </c>
      <c r="R835" s="38" t="n">
        <v>70.5</v>
      </c>
      <c r="S835" s="37" t="n">
        <v>0</v>
      </c>
    </row>
    <row r="836" customFormat="false" ht="15" hidden="false" customHeight="false" outlineLevel="0" collapsed="false">
      <c r="A836" s="37" t="n">
        <v>0</v>
      </c>
      <c r="B836" s="37" t="n">
        <v>10</v>
      </c>
      <c r="C836" s="37" t="n">
        <v>10</v>
      </c>
      <c r="D836" s="37" t="n">
        <v>0</v>
      </c>
      <c r="E836" s="37" t="n">
        <v>5</v>
      </c>
      <c r="F836" s="37" t="n">
        <v>5</v>
      </c>
      <c r="G836" s="37" t="s">
        <v>192</v>
      </c>
      <c r="H836" s="38" t="n">
        <v>198.63054880869</v>
      </c>
      <c r="I836" s="38" t="n">
        <v>200.104450201727</v>
      </c>
      <c r="J836" s="38" t="n">
        <v>224.726615201427</v>
      </c>
      <c r="K836" s="38" t="n">
        <v>253.726173290553</v>
      </c>
      <c r="L836" s="38" t="n">
        <v>82.9309629260011</v>
      </c>
      <c r="M836" s="38" t="n">
        <v>105.30554304938</v>
      </c>
      <c r="N836" s="38" t="n">
        <v>144.910793522743</v>
      </c>
      <c r="O836" s="38" t="n">
        <v>75.667062431782</v>
      </c>
      <c r="P836" s="37" t="n">
        <v>0</v>
      </c>
      <c r="Q836" s="38" t="n">
        <v>0</v>
      </c>
      <c r="R836" s="38" t="n">
        <v>70.5</v>
      </c>
      <c r="S836" s="37" t="n">
        <v>1</v>
      </c>
    </row>
    <row r="837" customFormat="false" ht="15" hidden="false" customHeight="false" outlineLevel="0" collapsed="false">
      <c r="A837" s="37" t="n">
        <v>0</v>
      </c>
      <c r="B837" s="37" t="n">
        <v>10</v>
      </c>
      <c r="C837" s="37" t="n">
        <v>10</v>
      </c>
      <c r="D837" s="37" t="n">
        <v>0</v>
      </c>
      <c r="E837" s="37" t="n">
        <v>5</v>
      </c>
      <c r="F837" s="37" t="n">
        <v>5</v>
      </c>
      <c r="G837" s="37" t="s">
        <v>195</v>
      </c>
      <c r="H837" s="38" t="n">
        <v>198.63054880869</v>
      </c>
      <c r="I837" s="38" t="n">
        <v>200.135128652442</v>
      </c>
      <c r="J837" s="38" t="n">
        <v>210.896921795366</v>
      </c>
      <c r="K837" s="38" t="n">
        <v>239.636063799991</v>
      </c>
      <c r="L837" s="38" t="n">
        <v>81.0268717317245</v>
      </c>
      <c r="M837" s="38" t="n">
        <v>104.543310821951</v>
      </c>
      <c r="N837" s="38" t="n">
        <v>123.869757513918</v>
      </c>
      <c r="O837" s="38" t="n">
        <v>66.321287920176</v>
      </c>
      <c r="P837" s="37" t="n">
        <v>0</v>
      </c>
      <c r="Q837" s="38" t="n">
        <v>0</v>
      </c>
      <c r="R837" s="38" t="n">
        <v>68.5922423795201</v>
      </c>
      <c r="S837" s="37" t="n">
        <v>0</v>
      </c>
    </row>
    <row r="838" customFormat="false" ht="15" hidden="false" customHeight="false" outlineLevel="0" collapsed="false">
      <c r="A838" s="37" t="n">
        <v>0</v>
      </c>
      <c r="B838" s="37" t="n">
        <v>10</v>
      </c>
      <c r="C838" s="37" t="n">
        <v>10</v>
      </c>
      <c r="D838" s="37" t="n">
        <v>0</v>
      </c>
      <c r="E838" s="37" t="n">
        <v>5</v>
      </c>
      <c r="F838" s="37" t="n">
        <v>5</v>
      </c>
      <c r="G838" s="37" t="s">
        <v>197</v>
      </c>
      <c r="H838" s="38" t="n">
        <v>198.63054880869</v>
      </c>
      <c r="I838" s="38" t="n">
        <v>200.097865695018</v>
      </c>
      <c r="J838" s="38" t="n">
        <v>214.580241028332</v>
      </c>
      <c r="K838" s="38" t="n">
        <v>247.490771318496</v>
      </c>
      <c r="L838" s="38" t="n">
        <v>85.5150073972846</v>
      </c>
      <c r="M838" s="38" t="n">
        <v>105.340474411094</v>
      </c>
      <c r="N838" s="38" t="n">
        <v>128.366847589793</v>
      </c>
      <c r="O838" s="38" t="n">
        <v>71.4617124642512</v>
      </c>
      <c r="P838" s="37" t="n">
        <v>0</v>
      </c>
      <c r="Q838" s="38" t="n">
        <v>0</v>
      </c>
      <c r="R838" s="38" t="n">
        <v>70.5</v>
      </c>
      <c r="S838" s="37" t="n">
        <v>0</v>
      </c>
    </row>
    <row r="839" customFormat="false" ht="15" hidden="false" customHeight="false" outlineLevel="0" collapsed="false">
      <c r="A839" s="37" t="n">
        <v>0</v>
      </c>
      <c r="B839" s="37" t="n">
        <v>10</v>
      </c>
      <c r="C839" s="37" t="n">
        <v>10</v>
      </c>
      <c r="D839" s="37" t="n">
        <v>0</v>
      </c>
      <c r="E839" s="37" t="n">
        <v>5</v>
      </c>
      <c r="F839" s="37" t="n">
        <v>5</v>
      </c>
      <c r="G839" s="37" t="s">
        <v>196</v>
      </c>
      <c r="H839" s="38" t="n">
        <v>198.63054880869</v>
      </c>
      <c r="I839" s="38" t="n">
        <v>200.100838798293</v>
      </c>
      <c r="J839" s="38" t="n">
        <v>214.48192589036</v>
      </c>
      <c r="K839" s="38" t="n">
        <v>247.455111030619</v>
      </c>
      <c r="L839" s="38" t="n">
        <v>90.9059104869582</v>
      </c>
      <c r="M839" s="38" t="n">
        <v>105.44100816611</v>
      </c>
      <c r="N839" s="38" t="n">
        <v>131.336518525023</v>
      </c>
      <c r="O839" s="38" t="n">
        <v>72.0460697143159</v>
      </c>
      <c r="P839" s="37" t="n">
        <v>0</v>
      </c>
      <c r="Q839" s="38" t="n">
        <v>0</v>
      </c>
      <c r="R839" s="38" t="n">
        <v>69.4815252028548</v>
      </c>
      <c r="S839" s="37" t="n">
        <v>0</v>
      </c>
    </row>
    <row r="840" customFormat="false" ht="15" hidden="false" customHeight="false" outlineLevel="0" collapsed="false">
      <c r="A840" s="37" t="n">
        <v>0</v>
      </c>
      <c r="B840" s="37" t="n">
        <v>10</v>
      </c>
      <c r="C840" s="37" t="n">
        <v>10</v>
      </c>
      <c r="D840" s="37" t="n">
        <v>0</v>
      </c>
      <c r="E840" s="37" t="n">
        <v>10</v>
      </c>
      <c r="F840" s="37" t="n">
        <v>0</v>
      </c>
      <c r="G840" s="37" t="s">
        <v>188</v>
      </c>
      <c r="H840" s="38" t="n">
        <v>198.636219954447</v>
      </c>
      <c r="I840" s="38" t="n">
        <v>200.121928485794</v>
      </c>
      <c r="J840" s="38" t="n">
        <v>213.99766719415</v>
      </c>
      <c r="K840" s="38" t="n">
        <v>246.734819960094</v>
      </c>
      <c r="L840" s="38" t="n">
        <v>43.9074732803883</v>
      </c>
      <c r="M840" s="38" t="n">
        <v>105.037047101025</v>
      </c>
      <c r="N840" s="38" t="n">
        <v>131.773127855771</v>
      </c>
      <c r="O840" s="38" t="n">
        <v>68.5302022679378</v>
      </c>
      <c r="P840" s="37" t="n">
        <v>0</v>
      </c>
      <c r="Q840" s="38" t="n">
        <v>0</v>
      </c>
      <c r="R840" s="38" t="n">
        <v>70.5</v>
      </c>
      <c r="S840" s="37" t="n">
        <v>0</v>
      </c>
    </row>
    <row r="841" customFormat="false" ht="15" hidden="false" customHeight="false" outlineLevel="0" collapsed="false">
      <c r="A841" s="37" t="n">
        <v>0</v>
      </c>
      <c r="B841" s="37" t="n">
        <v>10</v>
      </c>
      <c r="C841" s="37" t="n">
        <v>10</v>
      </c>
      <c r="D841" s="37" t="n">
        <v>0</v>
      </c>
      <c r="E841" s="37" t="n">
        <v>10</v>
      </c>
      <c r="F841" s="37" t="n">
        <v>0</v>
      </c>
      <c r="G841" s="37" t="s">
        <v>192</v>
      </c>
      <c r="H841" s="38" t="n">
        <v>198.636219954447</v>
      </c>
      <c r="I841" s="38" t="n">
        <v>200.129973850212</v>
      </c>
      <c r="J841" s="38" t="n">
        <v>225.920304933535</v>
      </c>
      <c r="K841" s="38" t="n">
        <v>255.320758979621</v>
      </c>
      <c r="L841" s="38" t="n">
        <v>44.3594926723057</v>
      </c>
      <c r="M841" s="38" t="n">
        <v>105.729783550875</v>
      </c>
      <c r="N841" s="38" t="n">
        <v>148.47271783866</v>
      </c>
      <c r="O841" s="38" t="n">
        <v>75.0936699211254</v>
      </c>
      <c r="P841" s="37" t="n">
        <v>0</v>
      </c>
      <c r="Q841" s="38" t="n">
        <v>0</v>
      </c>
      <c r="R841" s="38" t="n">
        <v>70.5</v>
      </c>
      <c r="S841" s="37" t="n">
        <v>1</v>
      </c>
    </row>
    <row r="842" customFormat="false" ht="15" hidden="false" customHeight="false" outlineLevel="0" collapsed="false">
      <c r="A842" s="37" t="n">
        <v>0</v>
      </c>
      <c r="B842" s="37" t="n">
        <v>10</v>
      </c>
      <c r="C842" s="37" t="n">
        <v>10</v>
      </c>
      <c r="D842" s="37" t="n">
        <v>0</v>
      </c>
      <c r="E842" s="37" t="n">
        <v>10</v>
      </c>
      <c r="F842" s="37" t="n">
        <v>0</v>
      </c>
      <c r="G842" s="37" t="s">
        <v>195</v>
      </c>
      <c r="H842" s="38" t="n">
        <v>198.636219954447</v>
      </c>
      <c r="I842" s="38" t="n">
        <v>200.160876414281</v>
      </c>
      <c r="J842" s="38" t="n">
        <v>212.04795826993</v>
      </c>
      <c r="K842" s="38" t="n">
        <v>241.168997023917</v>
      </c>
      <c r="L842" s="38" t="n">
        <v>42.4847304512467</v>
      </c>
      <c r="M842" s="38" t="n">
        <v>105.096873238054</v>
      </c>
      <c r="N842" s="38" t="n">
        <v>127.437544660472</v>
      </c>
      <c r="O842" s="38" t="n">
        <v>65.7174391716438</v>
      </c>
      <c r="P842" s="37" t="n">
        <v>0</v>
      </c>
      <c r="Q842" s="38" t="n">
        <v>0</v>
      </c>
      <c r="R842" s="38" t="n">
        <v>68.5697200281989</v>
      </c>
      <c r="S842" s="37" t="n">
        <v>0</v>
      </c>
    </row>
    <row r="843" customFormat="false" ht="15" hidden="false" customHeight="false" outlineLevel="0" collapsed="false">
      <c r="A843" s="37" t="n">
        <v>0</v>
      </c>
      <c r="B843" s="37" t="n">
        <v>10</v>
      </c>
      <c r="C843" s="37" t="n">
        <v>10</v>
      </c>
      <c r="D843" s="37" t="n">
        <v>0</v>
      </c>
      <c r="E843" s="37" t="n">
        <v>10</v>
      </c>
      <c r="F843" s="37" t="n">
        <v>0</v>
      </c>
      <c r="G843" s="37" t="s">
        <v>197</v>
      </c>
      <c r="H843" s="38" t="n">
        <v>198.636219954447</v>
      </c>
      <c r="I843" s="38" t="n">
        <v>200.141163721535</v>
      </c>
      <c r="J843" s="38" t="n">
        <v>216.695909809402</v>
      </c>
      <c r="K843" s="38" t="n">
        <v>250.380740464047</v>
      </c>
      <c r="L843" s="38" t="n">
        <v>49.0348625421409</v>
      </c>
      <c r="M843" s="38" t="n">
        <v>108.467022133038</v>
      </c>
      <c r="N843" s="38" t="n">
        <v>140.030548474671</v>
      </c>
      <c r="O843" s="38" t="n">
        <v>72.7386745300297</v>
      </c>
      <c r="P843" s="37" t="n">
        <v>0</v>
      </c>
      <c r="Q843" s="38" t="n">
        <v>0</v>
      </c>
      <c r="R843" s="38" t="n">
        <v>70.5</v>
      </c>
      <c r="S843" s="37" t="n">
        <v>0</v>
      </c>
    </row>
    <row r="844" customFormat="false" ht="15" hidden="false" customHeight="false" outlineLevel="0" collapsed="false">
      <c r="A844" s="37" t="n">
        <v>0</v>
      </c>
      <c r="B844" s="37" t="n">
        <v>10</v>
      </c>
      <c r="C844" s="37" t="n">
        <v>10</v>
      </c>
      <c r="D844" s="37" t="n">
        <v>0</v>
      </c>
      <c r="E844" s="37" t="n">
        <v>10</v>
      </c>
      <c r="F844" s="37" t="n">
        <v>0</v>
      </c>
      <c r="G844" s="37" t="s">
        <v>196</v>
      </c>
      <c r="H844" s="38" t="n">
        <v>198.636219954447</v>
      </c>
      <c r="I844" s="38" t="n">
        <v>200.128955785841</v>
      </c>
      <c r="J844" s="38" t="n">
        <v>215.780249361914</v>
      </c>
      <c r="K844" s="38" t="n">
        <v>249.211238021896</v>
      </c>
      <c r="L844" s="38" t="n">
        <v>52.5926445805741</v>
      </c>
      <c r="M844" s="38" t="n">
        <v>106.514721244688</v>
      </c>
      <c r="N844" s="38" t="n">
        <v>136.429421294695</v>
      </c>
      <c r="O844" s="38" t="n">
        <v>71.8524258699661</v>
      </c>
      <c r="P844" s="37" t="n">
        <v>0</v>
      </c>
      <c r="Q844" s="38" t="n">
        <v>0</v>
      </c>
      <c r="R844" s="38" t="n">
        <v>69.4648709074161</v>
      </c>
      <c r="S844" s="37" t="n">
        <v>0</v>
      </c>
    </row>
    <row r="845" customFormat="false" ht="15" hidden="false" customHeight="false" outlineLevel="0" collapsed="false">
      <c r="A845" s="37" t="n">
        <v>0</v>
      </c>
      <c r="B845" s="37" t="n">
        <v>10</v>
      </c>
      <c r="C845" s="37" t="n">
        <v>10</v>
      </c>
      <c r="D845" s="37" t="n">
        <v>5</v>
      </c>
      <c r="E845" s="37" t="n">
        <v>0</v>
      </c>
      <c r="F845" s="37" t="n">
        <v>5</v>
      </c>
      <c r="G845" s="37" t="s">
        <v>188</v>
      </c>
      <c r="H845" s="38" t="n">
        <v>198.849203516065</v>
      </c>
      <c r="I845" s="38" t="n">
        <v>201.760031651117</v>
      </c>
      <c r="J845" s="38" t="n">
        <v>220.686354163835</v>
      </c>
      <c r="K845" s="38" t="n">
        <v>249.074300243306</v>
      </c>
      <c r="L845" s="38" t="n">
        <v>87.08738660327</v>
      </c>
      <c r="M845" s="38" t="n">
        <v>105.989520348205</v>
      </c>
      <c r="N845" s="38" t="n">
        <v>131.524460722885</v>
      </c>
      <c r="O845" s="38" t="n">
        <v>74.5217590107624</v>
      </c>
      <c r="P845" s="37" t="n">
        <v>0</v>
      </c>
      <c r="Q845" s="38" t="n">
        <v>0</v>
      </c>
      <c r="R845" s="38" t="n">
        <v>72</v>
      </c>
      <c r="S845" s="37" t="n">
        <v>0</v>
      </c>
    </row>
    <row r="846" customFormat="false" ht="15" hidden="false" customHeight="false" outlineLevel="0" collapsed="false">
      <c r="A846" s="37" t="n">
        <v>0</v>
      </c>
      <c r="B846" s="37" t="n">
        <v>10</v>
      </c>
      <c r="C846" s="37" t="n">
        <v>10</v>
      </c>
      <c r="D846" s="37" t="n">
        <v>5</v>
      </c>
      <c r="E846" s="37" t="n">
        <v>0</v>
      </c>
      <c r="F846" s="37" t="n">
        <v>5</v>
      </c>
      <c r="G846" s="37" t="s">
        <v>192</v>
      </c>
      <c r="H846" s="38" t="n">
        <v>198.849203516065</v>
      </c>
      <c r="I846" s="38" t="n">
        <v>201.763664832187</v>
      </c>
      <c r="J846" s="38" t="n">
        <v>232.445580036697</v>
      </c>
      <c r="K846" s="38" t="n">
        <v>257.354870081944</v>
      </c>
      <c r="L846" s="38" t="n">
        <v>87.7893567491638</v>
      </c>
      <c r="M846" s="38" t="n">
        <v>106.835750512826</v>
      </c>
      <c r="N846" s="38" t="n">
        <v>147.729055360726</v>
      </c>
      <c r="O846" s="38" t="n">
        <v>80.3832273426421</v>
      </c>
      <c r="P846" s="37" t="n">
        <v>0</v>
      </c>
      <c r="Q846" s="38" t="n">
        <v>0</v>
      </c>
      <c r="R846" s="38" t="n">
        <v>72</v>
      </c>
      <c r="S846" s="37" t="n">
        <v>1</v>
      </c>
    </row>
    <row r="847" customFormat="false" ht="15" hidden="false" customHeight="false" outlineLevel="0" collapsed="false">
      <c r="A847" s="37" t="n">
        <v>0</v>
      </c>
      <c r="B847" s="37" t="n">
        <v>10</v>
      </c>
      <c r="C847" s="37" t="n">
        <v>10</v>
      </c>
      <c r="D847" s="37" t="n">
        <v>5</v>
      </c>
      <c r="E847" s="37" t="n">
        <v>0</v>
      </c>
      <c r="F847" s="37" t="n">
        <v>5</v>
      </c>
      <c r="G847" s="37" t="s">
        <v>195</v>
      </c>
      <c r="H847" s="38" t="n">
        <v>198.849203516065</v>
      </c>
      <c r="I847" s="38" t="n">
        <v>201.900352309009</v>
      </c>
      <c r="J847" s="38" t="n">
        <v>222.22262318527</v>
      </c>
      <c r="K847" s="38" t="n">
        <v>249.16988335131</v>
      </c>
      <c r="L847" s="38" t="n">
        <v>92.1229033500774</v>
      </c>
      <c r="M847" s="38" t="n">
        <v>107.814135990694</v>
      </c>
      <c r="N847" s="38" t="n">
        <v>135.952679087197</v>
      </c>
      <c r="O847" s="38" t="n">
        <v>76.1212369565477</v>
      </c>
      <c r="P847" s="37" t="n">
        <v>0</v>
      </c>
      <c r="Q847" s="38" t="n">
        <v>0</v>
      </c>
      <c r="R847" s="38" t="n">
        <v>70.5609059996303</v>
      </c>
      <c r="S847" s="37" t="n">
        <v>0</v>
      </c>
    </row>
    <row r="848" customFormat="false" ht="15" hidden="false" customHeight="false" outlineLevel="0" collapsed="false">
      <c r="A848" s="37" t="n">
        <v>0</v>
      </c>
      <c r="B848" s="37" t="n">
        <v>10</v>
      </c>
      <c r="C848" s="37" t="n">
        <v>10</v>
      </c>
      <c r="D848" s="37" t="n">
        <v>5</v>
      </c>
      <c r="E848" s="37" t="n">
        <v>0</v>
      </c>
      <c r="F848" s="37" t="n">
        <v>5</v>
      </c>
      <c r="G848" s="37" t="s">
        <v>197</v>
      </c>
      <c r="H848" s="38" t="n">
        <v>198.849203516065</v>
      </c>
      <c r="I848" s="38" t="n">
        <v>201.738346635634</v>
      </c>
      <c r="J848" s="38" t="n">
        <v>221.502013396254</v>
      </c>
      <c r="K848" s="38" t="n">
        <v>249.936065853967</v>
      </c>
      <c r="L848" s="38" t="n">
        <v>87.7085721855788</v>
      </c>
      <c r="M848" s="38" t="n">
        <v>103.559816553016</v>
      </c>
      <c r="N848" s="38" t="n">
        <v>122.121184189477</v>
      </c>
      <c r="O848" s="38" t="n">
        <v>72.4538248391905</v>
      </c>
      <c r="P848" s="37" t="n">
        <v>0</v>
      </c>
      <c r="Q848" s="38" t="n">
        <v>0</v>
      </c>
      <c r="R848" s="38" t="n">
        <v>72</v>
      </c>
      <c r="S848" s="37" t="n">
        <v>0</v>
      </c>
    </row>
    <row r="849" customFormat="false" ht="15" hidden="false" customHeight="false" outlineLevel="0" collapsed="false">
      <c r="A849" s="37" t="n">
        <v>0</v>
      </c>
      <c r="B849" s="37" t="n">
        <v>10</v>
      </c>
      <c r="C849" s="37" t="n">
        <v>10</v>
      </c>
      <c r="D849" s="37" t="n">
        <v>5</v>
      </c>
      <c r="E849" s="37" t="n">
        <v>0</v>
      </c>
      <c r="F849" s="37" t="n">
        <v>5</v>
      </c>
      <c r="G849" s="37" t="s">
        <v>196</v>
      </c>
      <c r="H849" s="38" t="n">
        <v>198.849203516065</v>
      </c>
      <c r="I849" s="38" t="n">
        <v>201.754226165259</v>
      </c>
      <c r="J849" s="38" t="n">
        <v>233.493315111145</v>
      </c>
      <c r="K849" s="38" t="n">
        <v>257.96984019094</v>
      </c>
      <c r="L849" s="38" t="n">
        <v>94.0117707625254</v>
      </c>
      <c r="M849" s="38" t="n">
        <v>106.88407816453</v>
      </c>
      <c r="N849" s="38" t="n">
        <v>142.389969802669</v>
      </c>
      <c r="O849" s="38" t="n">
        <v>76.9250259606481</v>
      </c>
      <c r="P849" s="37" t="n">
        <v>0</v>
      </c>
      <c r="Q849" s="38" t="n">
        <v>0</v>
      </c>
      <c r="R849" s="38" t="n">
        <v>71.0464047964049</v>
      </c>
      <c r="S849" s="37" t="n">
        <v>0</v>
      </c>
    </row>
    <row r="850" customFormat="false" ht="15" hidden="false" customHeight="false" outlineLevel="0" collapsed="false">
      <c r="A850" s="37" t="n">
        <v>0</v>
      </c>
      <c r="B850" s="37" t="n">
        <v>10</v>
      </c>
      <c r="C850" s="37" t="n">
        <v>10</v>
      </c>
      <c r="D850" s="37" t="n">
        <v>5</v>
      </c>
      <c r="E850" s="37" t="n">
        <v>5</v>
      </c>
      <c r="F850" s="37" t="n">
        <v>0</v>
      </c>
      <c r="G850" s="37" t="s">
        <v>188</v>
      </c>
      <c r="H850" s="38" t="n">
        <v>198.820124088955</v>
      </c>
      <c r="I850" s="38" t="n">
        <v>201.497099250277</v>
      </c>
      <c r="J850" s="38" t="n">
        <v>222.009423035864</v>
      </c>
      <c r="K850" s="38" t="n">
        <v>249.590442949142</v>
      </c>
      <c r="L850" s="38" t="n">
        <v>47.6631744072798</v>
      </c>
      <c r="M850" s="38" t="n">
        <v>106.021479912597</v>
      </c>
      <c r="N850" s="38" t="n">
        <v>136.135499021549</v>
      </c>
      <c r="O850" s="38" t="n">
        <v>73.7348503908455</v>
      </c>
      <c r="P850" s="37" t="n">
        <v>0</v>
      </c>
      <c r="Q850" s="38" t="n">
        <v>0</v>
      </c>
      <c r="R850" s="38" t="n">
        <v>72</v>
      </c>
      <c r="S850" s="37" t="n">
        <v>0</v>
      </c>
    </row>
    <row r="851" customFormat="false" ht="15" hidden="false" customHeight="false" outlineLevel="0" collapsed="false">
      <c r="A851" s="37" t="n">
        <v>0</v>
      </c>
      <c r="B851" s="37" t="n">
        <v>10</v>
      </c>
      <c r="C851" s="37" t="n">
        <v>10</v>
      </c>
      <c r="D851" s="37" t="n">
        <v>5</v>
      </c>
      <c r="E851" s="37" t="n">
        <v>5</v>
      </c>
      <c r="F851" s="37" t="n">
        <v>0</v>
      </c>
      <c r="G851" s="37" t="s">
        <v>192</v>
      </c>
      <c r="H851" s="38" t="n">
        <v>198.820124088955</v>
      </c>
      <c r="I851" s="38" t="n">
        <v>201.50327951008</v>
      </c>
      <c r="J851" s="38" t="n">
        <v>233.720773134321</v>
      </c>
      <c r="K851" s="38" t="n">
        <v>257.842965154009</v>
      </c>
      <c r="L851" s="38" t="n">
        <v>47.9982514145997</v>
      </c>
      <c r="M851" s="38" t="n">
        <v>106.669832879303</v>
      </c>
      <c r="N851" s="38" t="n">
        <v>152.258469816356</v>
      </c>
      <c r="O851" s="38" t="n">
        <v>79.7254223628464</v>
      </c>
      <c r="P851" s="37" t="n">
        <v>0</v>
      </c>
      <c r="Q851" s="38" t="n">
        <v>0</v>
      </c>
      <c r="R851" s="38" t="n">
        <v>72</v>
      </c>
      <c r="S851" s="37" t="n">
        <v>1</v>
      </c>
    </row>
    <row r="852" customFormat="false" ht="15" hidden="false" customHeight="false" outlineLevel="0" collapsed="false">
      <c r="A852" s="37" t="n">
        <v>0</v>
      </c>
      <c r="B852" s="37" t="n">
        <v>10</v>
      </c>
      <c r="C852" s="37" t="n">
        <v>10</v>
      </c>
      <c r="D852" s="37" t="n">
        <v>5</v>
      </c>
      <c r="E852" s="37" t="n">
        <v>5</v>
      </c>
      <c r="F852" s="37" t="n">
        <v>0</v>
      </c>
      <c r="G852" s="37" t="s">
        <v>195</v>
      </c>
      <c r="H852" s="38" t="n">
        <v>198.820124088955</v>
      </c>
      <c r="I852" s="38" t="n">
        <v>201.639595865065</v>
      </c>
      <c r="J852" s="38" t="n">
        <v>223.458974614829</v>
      </c>
      <c r="K852" s="38" t="n">
        <v>249.578790835482</v>
      </c>
      <c r="L852" s="38" t="n">
        <v>52.4092231165643</v>
      </c>
      <c r="M852" s="38" t="n">
        <v>107.776840939116</v>
      </c>
      <c r="N852" s="38" t="n">
        <v>140.42554028636</v>
      </c>
      <c r="O852" s="38" t="n">
        <v>75.4193835958749</v>
      </c>
      <c r="P852" s="37" t="n">
        <v>0</v>
      </c>
      <c r="Q852" s="38" t="n">
        <v>0</v>
      </c>
      <c r="R852" s="38" t="n">
        <v>70.5241296843246</v>
      </c>
      <c r="S852" s="37" t="n">
        <v>0</v>
      </c>
    </row>
    <row r="853" customFormat="false" ht="15" hidden="false" customHeight="false" outlineLevel="0" collapsed="false">
      <c r="A853" s="37" t="n">
        <v>0</v>
      </c>
      <c r="B853" s="37" t="n">
        <v>10</v>
      </c>
      <c r="C853" s="37" t="n">
        <v>10</v>
      </c>
      <c r="D853" s="37" t="n">
        <v>5</v>
      </c>
      <c r="E853" s="37" t="n">
        <v>5</v>
      </c>
      <c r="F853" s="37" t="n">
        <v>0</v>
      </c>
      <c r="G853" s="37" t="s">
        <v>197</v>
      </c>
      <c r="H853" s="38" t="n">
        <v>198.820124088955</v>
      </c>
      <c r="I853" s="38" t="n">
        <v>201.490033667796</v>
      </c>
      <c r="J853" s="38" t="n">
        <v>223.396310458885</v>
      </c>
      <c r="K853" s="38" t="n">
        <v>251.350924333529</v>
      </c>
      <c r="L853" s="38" t="n">
        <v>49.5811662586456</v>
      </c>
      <c r="M853" s="38" t="n">
        <v>106.900448742814</v>
      </c>
      <c r="N853" s="38" t="n">
        <v>135.866112410917</v>
      </c>
      <c r="O853" s="38" t="n">
        <v>75.7140084696881</v>
      </c>
      <c r="P853" s="37" t="n">
        <v>0</v>
      </c>
      <c r="Q853" s="38" t="n">
        <v>0</v>
      </c>
      <c r="R853" s="38" t="n">
        <v>72</v>
      </c>
      <c r="S853" s="37" t="n">
        <v>0</v>
      </c>
    </row>
    <row r="854" customFormat="false" ht="15" hidden="false" customHeight="false" outlineLevel="0" collapsed="false">
      <c r="A854" s="37" t="n">
        <v>0</v>
      </c>
      <c r="B854" s="37" t="n">
        <v>10</v>
      </c>
      <c r="C854" s="37" t="n">
        <v>10</v>
      </c>
      <c r="D854" s="37" t="n">
        <v>5</v>
      </c>
      <c r="E854" s="37" t="n">
        <v>5</v>
      </c>
      <c r="F854" s="37" t="n">
        <v>0</v>
      </c>
      <c r="G854" s="37" t="s">
        <v>196</v>
      </c>
      <c r="H854" s="38" t="n">
        <v>198.820124088955</v>
      </c>
      <c r="I854" s="38" t="n">
        <v>201.497443679346</v>
      </c>
      <c r="J854" s="38" t="n">
        <v>234.276010278452</v>
      </c>
      <c r="K854" s="38" t="n">
        <v>257.858715196953</v>
      </c>
      <c r="L854" s="38" t="n">
        <v>53.2204001320938</v>
      </c>
      <c r="M854" s="38" t="n">
        <v>107.565438875047</v>
      </c>
      <c r="N854" s="38" t="n">
        <v>147.784212372814</v>
      </c>
      <c r="O854" s="38" t="n">
        <v>76.8028077796694</v>
      </c>
      <c r="P854" s="37" t="n">
        <v>0</v>
      </c>
      <c r="Q854" s="38" t="n">
        <v>0</v>
      </c>
      <c r="R854" s="38" t="n">
        <v>70.9343926400039</v>
      </c>
      <c r="S854" s="37" t="n">
        <v>0</v>
      </c>
    </row>
    <row r="855" customFormat="false" ht="15" hidden="false" customHeight="false" outlineLevel="0" collapsed="false">
      <c r="A855" s="37" t="n">
        <v>0</v>
      </c>
      <c r="B855" s="37" t="n">
        <v>10</v>
      </c>
      <c r="C855" s="37" t="n">
        <v>10</v>
      </c>
      <c r="D855" s="37" t="n">
        <v>10</v>
      </c>
      <c r="E855" s="37" t="n">
        <v>0</v>
      </c>
      <c r="F855" s="37" t="n">
        <v>0</v>
      </c>
      <c r="G855" s="37" t="s">
        <v>188</v>
      </c>
      <c r="H855" s="38" t="n">
        <v>199.071393302733</v>
      </c>
      <c r="I855" s="38" t="n">
        <v>203.034524956894</v>
      </c>
      <c r="J855" s="38" t="n">
        <v>226.548852691668</v>
      </c>
      <c r="K855" s="38" t="n">
        <v>253.798089303275</v>
      </c>
      <c r="L855" s="38" t="n">
        <v>52.483824833991</v>
      </c>
      <c r="M855" s="38" t="n">
        <v>107.425413102568</v>
      </c>
      <c r="N855" s="38" t="n">
        <v>136.709253320613</v>
      </c>
      <c r="O855" s="38" t="n">
        <v>75.856474363077</v>
      </c>
      <c r="P855" s="37" t="n">
        <v>0</v>
      </c>
      <c r="Q855" s="38" t="n">
        <v>0</v>
      </c>
      <c r="R855" s="38" t="n">
        <v>72</v>
      </c>
      <c r="S855" s="37" t="n">
        <v>0</v>
      </c>
    </row>
    <row r="856" customFormat="false" ht="15" hidden="false" customHeight="false" outlineLevel="0" collapsed="false">
      <c r="A856" s="37" t="n">
        <v>0</v>
      </c>
      <c r="B856" s="37" t="n">
        <v>10</v>
      </c>
      <c r="C856" s="37" t="n">
        <v>10</v>
      </c>
      <c r="D856" s="37" t="n">
        <v>10</v>
      </c>
      <c r="E856" s="37" t="n">
        <v>0</v>
      </c>
      <c r="F856" s="37" t="n">
        <v>0</v>
      </c>
      <c r="G856" s="37" t="s">
        <v>192</v>
      </c>
      <c r="H856" s="38" t="n">
        <v>199.071393302733</v>
      </c>
      <c r="I856" s="38" t="n">
        <v>203.035527962825</v>
      </c>
      <c r="J856" s="38" t="n">
        <v>238.096156142041</v>
      </c>
      <c r="K856" s="38" t="n">
        <v>261.757052120396</v>
      </c>
      <c r="L856" s="38" t="n">
        <v>52.9229139785207</v>
      </c>
      <c r="M856" s="38" t="n">
        <v>108.214526142674</v>
      </c>
      <c r="N856" s="38" t="n">
        <v>152.415911797014</v>
      </c>
      <c r="O856" s="38" t="n">
        <v>81.4946443940607</v>
      </c>
      <c r="P856" s="37" t="n">
        <v>0</v>
      </c>
      <c r="Q856" s="38" t="n">
        <v>0</v>
      </c>
      <c r="R856" s="38" t="n">
        <v>72</v>
      </c>
      <c r="S856" s="37" t="n">
        <v>1</v>
      </c>
    </row>
    <row r="857" customFormat="false" ht="15" hidden="false" customHeight="false" outlineLevel="0" collapsed="false">
      <c r="A857" s="37" t="n">
        <v>0</v>
      </c>
      <c r="B857" s="37" t="n">
        <v>10</v>
      </c>
      <c r="C857" s="37" t="n">
        <v>10</v>
      </c>
      <c r="D857" s="37" t="n">
        <v>10</v>
      </c>
      <c r="E857" s="37" t="n">
        <v>0</v>
      </c>
      <c r="F857" s="37" t="n">
        <v>0</v>
      </c>
      <c r="G857" s="37" t="s">
        <v>195</v>
      </c>
      <c r="H857" s="38" t="n">
        <v>199.071393302733</v>
      </c>
      <c r="I857" s="38" t="n">
        <v>203.290982139179</v>
      </c>
      <c r="J857" s="38" t="n">
        <v>229.596077513062</v>
      </c>
      <c r="K857" s="38" t="n">
        <v>258.916830789743</v>
      </c>
      <c r="L857" s="38" t="n">
        <v>65.6668307897428</v>
      </c>
      <c r="M857" s="38" t="n">
        <v>110.641610884543</v>
      </c>
      <c r="N857" s="38" t="n">
        <v>146.992926547189</v>
      </c>
      <c r="O857" s="38" t="n">
        <v>79.2575540126847</v>
      </c>
      <c r="P857" s="37" t="n">
        <v>0</v>
      </c>
      <c r="Q857" s="38" t="n">
        <v>0</v>
      </c>
      <c r="R857" s="38" t="n">
        <v>67.6947376607496</v>
      </c>
      <c r="S857" s="37" t="n">
        <v>0</v>
      </c>
    </row>
    <row r="858" customFormat="false" ht="15" hidden="false" customHeight="false" outlineLevel="0" collapsed="false">
      <c r="A858" s="37" t="n">
        <v>0</v>
      </c>
      <c r="B858" s="37" t="n">
        <v>10</v>
      </c>
      <c r="C858" s="37" t="n">
        <v>10</v>
      </c>
      <c r="D858" s="37" t="n">
        <v>10</v>
      </c>
      <c r="E858" s="37" t="n">
        <v>0</v>
      </c>
      <c r="F858" s="37" t="n">
        <v>0</v>
      </c>
      <c r="G858" s="37" t="s">
        <v>197</v>
      </c>
      <c r="H858" s="38" t="n">
        <v>199.071393302733</v>
      </c>
      <c r="I858" s="38" t="n">
        <v>203.00797491695</v>
      </c>
      <c r="J858" s="38" t="n">
        <v>227.087413050777</v>
      </c>
      <c r="K858" s="38" t="n">
        <v>254.271923196956</v>
      </c>
      <c r="L858" s="38" t="n">
        <v>52.2421831704427</v>
      </c>
      <c r="M858" s="38" t="n">
        <v>105.037891129633</v>
      </c>
      <c r="N858" s="38" t="n">
        <v>126.999690913852</v>
      </c>
      <c r="O858" s="38" t="n">
        <v>73.7829637637333</v>
      </c>
      <c r="P858" s="37" t="n">
        <v>0</v>
      </c>
      <c r="Q858" s="38" t="n">
        <v>0</v>
      </c>
      <c r="R858" s="38" t="n">
        <v>72</v>
      </c>
      <c r="S858" s="37" t="n">
        <v>0</v>
      </c>
    </row>
    <row r="859" customFormat="false" ht="15" hidden="false" customHeight="false" outlineLevel="0" collapsed="false">
      <c r="A859" s="37" t="n">
        <v>0</v>
      </c>
      <c r="B859" s="37" t="n">
        <v>10</v>
      </c>
      <c r="C859" s="37" t="n">
        <v>10</v>
      </c>
      <c r="D859" s="37" t="n">
        <v>10</v>
      </c>
      <c r="E859" s="37" t="n">
        <v>0</v>
      </c>
      <c r="F859" s="37" t="n">
        <v>0</v>
      </c>
      <c r="G859" s="37" t="s">
        <v>196</v>
      </c>
      <c r="H859" s="38" t="n">
        <v>199.071393302733</v>
      </c>
      <c r="I859" s="38" t="n">
        <v>203.024878465096</v>
      </c>
      <c r="J859" s="38" t="n">
        <v>239.363575672081</v>
      </c>
      <c r="K859" s="38" t="n">
        <v>262.628396502567</v>
      </c>
      <c r="L859" s="38" t="n">
        <v>59.4709417182468</v>
      </c>
      <c r="M859" s="38" t="n">
        <v>108.771139699353</v>
      </c>
      <c r="N859" s="38" t="n">
        <v>148.24539014223</v>
      </c>
      <c r="O859" s="38" t="n">
        <v>78.1533928226411</v>
      </c>
      <c r="P859" s="37" t="n">
        <v>0</v>
      </c>
      <c r="Q859" s="38" t="n">
        <v>0</v>
      </c>
      <c r="R859" s="38" t="n">
        <v>71.1270654214283</v>
      </c>
      <c r="S859" s="37" t="n">
        <v>0</v>
      </c>
    </row>
    <row r="860" customFormat="false" ht="15" hidden="false" customHeight="false" outlineLevel="0" collapsed="false">
      <c r="A860" s="37" t="n">
        <v>0</v>
      </c>
      <c r="B860" s="37" t="n">
        <v>10</v>
      </c>
      <c r="C860" s="37" t="n">
        <v>15</v>
      </c>
      <c r="D860" s="37" t="n">
        <v>0</v>
      </c>
      <c r="E860" s="37" t="n">
        <v>0</v>
      </c>
      <c r="F860" s="37" t="n">
        <v>5</v>
      </c>
      <c r="G860" s="37" t="s">
        <v>188</v>
      </c>
      <c r="H860" s="38" t="n">
        <v>198.911787893774</v>
      </c>
      <c r="I860" s="38" t="n">
        <v>201.971888734602</v>
      </c>
      <c r="J860" s="38" t="n">
        <v>216.606448140803</v>
      </c>
      <c r="K860" s="38" t="n">
        <v>250.395411574751</v>
      </c>
      <c r="L860" s="38" t="n">
        <v>87.8636520258843</v>
      </c>
      <c r="M860" s="38" t="n">
        <v>107.582321618688</v>
      </c>
      <c r="N860" s="38" t="n">
        <v>128.197584458934</v>
      </c>
      <c r="O860" s="38" t="n">
        <v>70.0263991882888</v>
      </c>
      <c r="P860" s="37" t="n">
        <v>0</v>
      </c>
      <c r="Q860" s="38" t="n">
        <v>0</v>
      </c>
      <c r="R860" s="38" t="n">
        <v>70.5</v>
      </c>
      <c r="S860" s="37" t="n">
        <v>0</v>
      </c>
    </row>
    <row r="861" customFormat="false" ht="15" hidden="false" customHeight="false" outlineLevel="0" collapsed="false">
      <c r="A861" s="37" t="n">
        <v>0</v>
      </c>
      <c r="B861" s="37" t="n">
        <v>10</v>
      </c>
      <c r="C861" s="37" t="n">
        <v>15</v>
      </c>
      <c r="D861" s="37" t="n">
        <v>0</v>
      </c>
      <c r="E861" s="37" t="n">
        <v>0</v>
      </c>
      <c r="F861" s="37" t="n">
        <v>5</v>
      </c>
      <c r="G861" s="37" t="s">
        <v>192</v>
      </c>
      <c r="H861" s="38" t="n">
        <v>198.911787893774</v>
      </c>
      <c r="I861" s="38" t="n">
        <v>201.967632315603</v>
      </c>
      <c r="J861" s="38" t="n">
        <v>228.358323227443</v>
      </c>
      <c r="K861" s="38" t="n">
        <v>258.62402900421</v>
      </c>
      <c r="L861" s="38" t="n">
        <v>88.8148325559609</v>
      </c>
      <c r="M861" s="38" t="n">
        <v>108.408912593006</v>
      </c>
      <c r="N861" s="38" t="n">
        <v>144.443526207707</v>
      </c>
      <c r="O861" s="38" t="n">
        <v>76.1325388445314</v>
      </c>
      <c r="P861" s="37" t="n">
        <v>0</v>
      </c>
      <c r="Q861" s="38" t="n">
        <v>0</v>
      </c>
      <c r="R861" s="38" t="n">
        <v>70.5</v>
      </c>
      <c r="S861" s="37" t="n">
        <v>1</v>
      </c>
    </row>
    <row r="862" customFormat="false" ht="15" hidden="false" customHeight="false" outlineLevel="0" collapsed="false">
      <c r="A862" s="37" t="n">
        <v>0</v>
      </c>
      <c r="B862" s="37" t="n">
        <v>10</v>
      </c>
      <c r="C862" s="37" t="n">
        <v>15</v>
      </c>
      <c r="D862" s="37" t="n">
        <v>0</v>
      </c>
      <c r="E862" s="37" t="n">
        <v>0</v>
      </c>
      <c r="F862" s="37" t="n">
        <v>5</v>
      </c>
      <c r="G862" s="37" t="s">
        <v>195</v>
      </c>
      <c r="H862" s="38" t="n">
        <v>198.911787893774</v>
      </c>
      <c r="I862" s="38" t="n">
        <v>202.020602304254</v>
      </c>
      <c r="J862" s="38" t="n">
        <v>214.808480875807</v>
      </c>
      <c r="K862" s="38" t="n">
        <v>245.102545781193</v>
      </c>
      <c r="L862" s="38" t="n">
        <v>86.6722892618651</v>
      </c>
      <c r="M862" s="38" t="n">
        <v>107.650445033732</v>
      </c>
      <c r="N862" s="38" t="n">
        <v>123.989536963011</v>
      </c>
      <c r="O862" s="38" t="n">
        <v>68.320737908324</v>
      </c>
      <c r="P862" s="37" t="n">
        <v>0</v>
      </c>
      <c r="Q862" s="38" t="n">
        <v>0</v>
      </c>
      <c r="R862" s="38" t="n">
        <v>68.6459230442017</v>
      </c>
      <c r="S862" s="37" t="n">
        <v>0</v>
      </c>
    </row>
    <row r="863" customFormat="false" ht="15" hidden="false" customHeight="false" outlineLevel="0" collapsed="false">
      <c r="A863" s="37" t="n">
        <v>0</v>
      </c>
      <c r="B863" s="37" t="n">
        <v>10</v>
      </c>
      <c r="C863" s="37" t="n">
        <v>15</v>
      </c>
      <c r="D863" s="37" t="n">
        <v>0</v>
      </c>
      <c r="E863" s="37" t="n">
        <v>0</v>
      </c>
      <c r="F863" s="37" t="n">
        <v>5</v>
      </c>
      <c r="G863" s="37" t="s">
        <v>197</v>
      </c>
      <c r="H863" s="38" t="n">
        <v>198.911787893774</v>
      </c>
      <c r="I863" s="38" t="n">
        <v>201.952267355339</v>
      </c>
      <c r="J863" s="38" t="n">
        <v>217.352164811642</v>
      </c>
      <c r="K863" s="38" t="n">
        <v>251.131007736012</v>
      </c>
      <c r="L863" s="38" t="n">
        <v>88.7203065759173</v>
      </c>
      <c r="M863" s="38" t="n">
        <v>103.896374621571</v>
      </c>
      <c r="N863" s="38" t="n">
        <v>117.787640780881</v>
      </c>
      <c r="O863" s="38" t="n">
        <v>67.82738490903</v>
      </c>
      <c r="P863" s="37" t="n">
        <v>0</v>
      </c>
      <c r="Q863" s="38" t="n">
        <v>0</v>
      </c>
      <c r="R863" s="38" t="n">
        <v>70.5</v>
      </c>
      <c r="S863" s="37" t="n">
        <v>0</v>
      </c>
    </row>
    <row r="864" customFormat="false" ht="15" hidden="false" customHeight="false" outlineLevel="0" collapsed="false">
      <c r="A864" s="37" t="n">
        <v>0</v>
      </c>
      <c r="B864" s="37" t="n">
        <v>10</v>
      </c>
      <c r="C864" s="37" t="n">
        <v>15</v>
      </c>
      <c r="D864" s="37" t="n">
        <v>0</v>
      </c>
      <c r="E864" s="37" t="n">
        <v>0</v>
      </c>
      <c r="F864" s="37" t="n">
        <v>5</v>
      </c>
      <c r="G864" s="37" t="s">
        <v>196</v>
      </c>
      <c r="H864" s="38" t="n">
        <v>198.911787893774</v>
      </c>
      <c r="I864" s="38" t="n">
        <v>201.960403068463</v>
      </c>
      <c r="J864" s="38" t="n">
        <v>229.047041201221</v>
      </c>
      <c r="K864" s="38" t="n">
        <v>258.793248273056</v>
      </c>
      <c r="L864" s="38" t="n">
        <v>94.6719013380938</v>
      </c>
      <c r="M864" s="38" t="n">
        <v>107.085280331857</v>
      </c>
      <c r="N864" s="38" t="n">
        <v>137.340586627589</v>
      </c>
      <c r="O864" s="38" t="n">
        <v>72.8456094506588</v>
      </c>
      <c r="P864" s="37" t="n">
        <v>0</v>
      </c>
      <c r="Q864" s="38" t="n">
        <v>0</v>
      </c>
      <c r="R864" s="38" t="n">
        <v>69.5022058572927</v>
      </c>
      <c r="S864" s="37" t="n">
        <v>0</v>
      </c>
    </row>
    <row r="865" customFormat="false" ht="15" hidden="false" customHeight="false" outlineLevel="0" collapsed="false">
      <c r="A865" s="37" t="n">
        <v>0</v>
      </c>
      <c r="B865" s="37" t="n">
        <v>10</v>
      </c>
      <c r="C865" s="37" t="n">
        <v>15</v>
      </c>
      <c r="D865" s="37" t="n">
        <v>0</v>
      </c>
      <c r="E865" s="37" t="n">
        <v>5</v>
      </c>
      <c r="F865" s="37" t="n">
        <v>0</v>
      </c>
      <c r="G865" s="37" t="s">
        <v>188</v>
      </c>
      <c r="H865" s="38" t="n">
        <v>198.872653518003</v>
      </c>
      <c r="I865" s="38" t="n">
        <v>201.834645374833</v>
      </c>
      <c r="J865" s="38" t="n">
        <v>217.969927421359</v>
      </c>
      <c r="K865" s="38" t="n">
        <v>251.463654186635</v>
      </c>
      <c r="L865" s="38" t="n">
        <v>49.0276190881413</v>
      </c>
      <c r="M865" s="38" t="n">
        <v>107.880700156692</v>
      </c>
      <c r="N865" s="38" t="n">
        <v>133.17133612709</v>
      </c>
      <c r="O865" s="38" t="n">
        <v>69.5148011013177</v>
      </c>
      <c r="P865" s="37" t="n">
        <v>0</v>
      </c>
      <c r="Q865" s="38" t="n">
        <v>0</v>
      </c>
      <c r="R865" s="38" t="n">
        <v>70.5</v>
      </c>
      <c r="S865" s="37" t="n">
        <v>0</v>
      </c>
    </row>
    <row r="866" customFormat="false" ht="15" hidden="false" customHeight="false" outlineLevel="0" collapsed="false">
      <c r="A866" s="37" t="n">
        <v>0</v>
      </c>
      <c r="B866" s="37" t="n">
        <v>10</v>
      </c>
      <c r="C866" s="37" t="n">
        <v>15</v>
      </c>
      <c r="D866" s="37" t="n">
        <v>0</v>
      </c>
      <c r="E866" s="37" t="n">
        <v>5</v>
      </c>
      <c r="F866" s="37" t="n">
        <v>0</v>
      </c>
      <c r="G866" s="37" t="s">
        <v>192</v>
      </c>
      <c r="H866" s="38" t="n">
        <v>198.872653518003</v>
      </c>
      <c r="I866" s="38" t="n">
        <v>201.832788600729</v>
      </c>
      <c r="J866" s="38" t="n">
        <v>229.71804331178</v>
      </c>
      <c r="K866" s="38" t="n">
        <v>259.727057170764</v>
      </c>
      <c r="L866" s="38" t="n">
        <v>49.7716575137286</v>
      </c>
      <c r="M866" s="38" t="n">
        <v>108.529546138502</v>
      </c>
      <c r="N866" s="38" t="n">
        <v>149.364245597367</v>
      </c>
      <c r="O866" s="38" t="n">
        <v>75.7607725256245</v>
      </c>
      <c r="P866" s="37" t="n">
        <v>0</v>
      </c>
      <c r="Q866" s="38" t="n">
        <v>0</v>
      </c>
      <c r="R866" s="38" t="n">
        <v>70.5</v>
      </c>
      <c r="S866" s="37" t="n">
        <v>1</v>
      </c>
    </row>
    <row r="867" customFormat="false" ht="15" hidden="false" customHeight="false" outlineLevel="0" collapsed="false">
      <c r="A867" s="37" t="n">
        <v>0</v>
      </c>
      <c r="B867" s="37" t="n">
        <v>10</v>
      </c>
      <c r="C867" s="37" t="n">
        <v>15</v>
      </c>
      <c r="D867" s="37" t="n">
        <v>0</v>
      </c>
      <c r="E867" s="37" t="n">
        <v>5</v>
      </c>
      <c r="F867" s="37" t="n">
        <v>0</v>
      </c>
      <c r="G867" s="37" t="s">
        <v>195</v>
      </c>
      <c r="H867" s="38" t="n">
        <v>198.872653518003</v>
      </c>
      <c r="I867" s="38" t="n">
        <v>201.887184607331</v>
      </c>
      <c r="J867" s="38" t="n">
        <v>216.05929643985</v>
      </c>
      <c r="K867" s="38" t="n">
        <v>246.011498018092</v>
      </c>
      <c r="L867" s="38" t="n">
        <v>47.479578955988</v>
      </c>
      <c r="M867" s="38" t="n">
        <v>107.954616300745</v>
      </c>
      <c r="N867" s="38" t="n">
        <v>128.858268240433</v>
      </c>
      <c r="O867" s="38" t="n">
        <v>68.0077108036246</v>
      </c>
      <c r="P867" s="37" t="n">
        <v>0</v>
      </c>
      <c r="Q867" s="38" t="n">
        <v>0</v>
      </c>
      <c r="R867" s="38" t="n">
        <v>68.6154242813687</v>
      </c>
      <c r="S867" s="37" t="n">
        <v>0</v>
      </c>
    </row>
    <row r="868" customFormat="false" ht="15" hidden="false" customHeight="false" outlineLevel="0" collapsed="false">
      <c r="A868" s="37" t="n">
        <v>0</v>
      </c>
      <c r="B868" s="37" t="n">
        <v>10</v>
      </c>
      <c r="C868" s="37" t="n">
        <v>15</v>
      </c>
      <c r="D868" s="37" t="n">
        <v>0</v>
      </c>
      <c r="E868" s="37" t="n">
        <v>5</v>
      </c>
      <c r="F868" s="37" t="n">
        <v>0</v>
      </c>
      <c r="G868" s="37" t="s">
        <v>197</v>
      </c>
      <c r="H868" s="38" t="n">
        <v>198.872653518003</v>
      </c>
      <c r="I868" s="38" t="n">
        <v>201.824313380141</v>
      </c>
      <c r="J868" s="38" t="n">
        <v>219.208700379808</v>
      </c>
      <c r="K868" s="38" t="n">
        <v>252.948045565854</v>
      </c>
      <c r="L868" s="38" t="n">
        <v>50.9841458652361</v>
      </c>
      <c r="M868" s="38" t="n">
        <v>107.52621877483</v>
      </c>
      <c r="N868" s="38" t="n">
        <v>130.897715946942</v>
      </c>
      <c r="O868" s="38" t="n">
        <v>71.066231728319</v>
      </c>
      <c r="P868" s="37" t="n">
        <v>0</v>
      </c>
      <c r="Q868" s="38" t="n">
        <v>0</v>
      </c>
      <c r="R868" s="38" t="n">
        <v>70.5</v>
      </c>
      <c r="S868" s="37" t="n">
        <v>0</v>
      </c>
    </row>
    <row r="869" customFormat="false" ht="15" hidden="false" customHeight="false" outlineLevel="0" collapsed="false">
      <c r="A869" s="37" t="n">
        <v>0</v>
      </c>
      <c r="B869" s="37" t="n">
        <v>10</v>
      </c>
      <c r="C869" s="37" t="n">
        <v>15</v>
      </c>
      <c r="D869" s="37" t="n">
        <v>0</v>
      </c>
      <c r="E869" s="37" t="n">
        <v>5</v>
      </c>
      <c r="F869" s="37" t="n">
        <v>0</v>
      </c>
      <c r="G869" s="37" t="s">
        <v>196</v>
      </c>
      <c r="H869" s="38" t="n">
        <v>198.872653518003</v>
      </c>
      <c r="I869" s="38" t="n">
        <v>201.827486642522</v>
      </c>
      <c r="J869" s="38" t="n">
        <v>230.07596086418</v>
      </c>
      <c r="K869" s="38" t="n">
        <v>259.520884626159</v>
      </c>
      <c r="L869" s="38" t="n">
        <v>54.8724303691853</v>
      </c>
      <c r="M869" s="38" t="n">
        <v>108.096077477538</v>
      </c>
      <c r="N869" s="38" t="n">
        <v>142.595301641533</v>
      </c>
      <c r="O869" s="38" t="n">
        <v>72.7156059523277</v>
      </c>
      <c r="P869" s="37" t="n">
        <v>0</v>
      </c>
      <c r="Q869" s="38" t="n">
        <v>0</v>
      </c>
      <c r="R869" s="38" t="n">
        <v>69.3966069542237</v>
      </c>
      <c r="S869" s="37" t="n">
        <v>0</v>
      </c>
    </row>
    <row r="870" customFormat="false" ht="15" hidden="false" customHeight="false" outlineLevel="0" collapsed="false">
      <c r="A870" s="37" t="n">
        <v>0</v>
      </c>
      <c r="B870" s="37" t="n">
        <v>10</v>
      </c>
      <c r="C870" s="37" t="n">
        <v>15</v>
      </c>
      <c r="D870" s="37" t="n">
        <v>5</v>
      </c>
      <c r="E870" s="37" t="n">
        <v>0</v>
      </c>
      <c r="F870" s="37" t="n">
        <v>0</v>
      </c>
      <c r="G870" s="37" t="s">
        <v>188</v>
      </c>
      <c r="H870" s="38" t="n">
        <v>199.11400965776</v>
      </c>
      <c r="I870" s="38" t="n">
        <v>203.676125351796</v>
      </c>
      <c r="J870" s="38" t="n">
        <v>225.4316143527</v>
      </c>
      <c r="K870" s="38" t="n">
        <v>255.255363551842</v>
      </c>
      <c r="L870" s="38" t="n">
        <v>53.8000391338473</v>
      </c>
      <c r="M870" s="38" t="n">
        <v>109.777645819347</v>
      </c>
      <c r="N870" s="38" t="n">
        <v>135.592791233716</v>
      </c>
      <c r="O870" s="38" t="n">
        <v>74.4547754269233</v>
      </c>
      <c r="P870" s="37" t="n">
        <v>0</v>
      </c>
      <c r="Q870" s="38" t="n">
        <v>0</v>
      </c>
      <c r="R870" s="38" t="n">
        <v>72</v>
      </c>
      <c r="S870" s="37" t="n">
        <v>0</v>
      </c>
    </row>
    <row r="871" customFormat="false" ht="15" hidden="false" customHeight="false" outlineLevel="0" collapsed="false">
      <c r="A871" s="37" t="n">
        <v>0</v>
      </c>
      <c r="B871" s="37" t="n">
        <v>10</v>
      </c>
      <c r="C871" s="37" t="n">
        <v>15</v>
      </c>
      <c r="D871" s="37" t="n">
        <v>5</v>
      </c>
      <c r="E871" s="37" t="n">
        <v>0</v>
      </c>
      <c r="F871" s="37" t="n">
        <v>0</v>
      </c>
      <c r="G871" s="37" t="s">
        <v>192</v>
      </c>
      <c r="H871" s="38" t="n">
        <v>199.11400965776</v>
      </c>
      <c r="I871" s="38" t="n">
        <v>203.670728001786</v>
      </c>
      <c r="J871" s="38" t="n">
        <v>236.886628443607</v>
      </c>
      <c r="K871" s="38" t="n">
        <v>263.057847063877</v>
      </c>
      <c r="L871" s="38" t="n">
        <v>54.1441762136111</v>
      </c>
      <c r="M871" s="38" t="n">
        <v>110.480479331221</v>
      </c>
      <c r="N871" s="38" t="n">
        <v>151.071892171428</v>
      </c>
      <c r="O871" s="38" t="n">
        <v>80.1138121085786</v>
      </c>
      <c r="P871" s="37" t="n">
        <v>0</v>
      </c>
      <c r="Q871" s="38" t="n">
        <v>0</v>
      </c>
      <c r="R871" s="38" t="n">
        <v>72</v>
      </c>
      <c r="S871" s="37" t="n">
        <v>1</v>
      </c>
    </row>
    <row r="872" customFormat="false" ht="15" hidden="false" customHeight="false" outlineLevel="0" collapsed="false">
      <c r="A872" s="37" t="n">
        <v>0</v>
      </c>
      <c r="B872" s="37" t="n">
        <v>10</v>
      </c>
      <c r="C872" s="37" t="n">
        <v>15</v>
      </c>
      <c r="D872" s="37" t="n">
        <v>5</v>
      </c>
      <c r="E872" s="37" t="n">
        <v>0</v>
      </c>
      <c r="F872" s="37" t="n">
        <v>0</v>
      </c>
      <c r="G872" s="37" t="s">
        <v>195</v>
      </c>
      <c r="H872" s="38" t="n">
        <v>199.11400965776</v>
      </c>
      <c r="I872" s="38" t="n">
        <v>203.846861461331</v>
      </c>
      <c r="J872" s="38" t="n">
        <v>226.807344159139</v>
      </c>
      <c r="K872" s="38" t="n">
        <v>255.204838081114</v>
      </c>
      <c r="L872" s="38" t="n">
        <v>58.0927819116573</v>
      </c>
      <c r="M872" s="38" t="n">
        <v>111.604225316664</v>
      </c>
      <c r="N872" s="38" t="n">
        <v>139.438994677725</v>
      </c>
      <c r="O872" s="38" t="n">
        <v>75.9826144693986</v>
      </c>
      <c r="P872" s="37" t="n">
        <v>0</v>
      </c>
      <c r="Q872" s="38" t="n">
        <v>0</v>
      </c>
      <c r="R872" s="38" t="n">
        <v>70.5413831491632</v>
      </c>
      <c r="S872" s="37" t="n">
        <v>0</v>
      </c>
    </row>
    <row r="873" customFormat="false" ht="15" hidden="false" customHeight="false" outlineLevel="0" collapsed="false">
      <c r="A873" s="37" t="n">
        <v>0</v>
      </c>
      <c r="B873" s="37" t="n">
        <v>10</v>
      </c>
      <c r="C873" s="37" t="n">
        <v>15</v>
      </c>
      <c r="D873" s="37" t="n">
        <v>5</v>
      </c>
      <c r="E873" s="37" t="n">
        <v>0</v>
      </c>
      <c r="F873" s="37" t="n">
        <v>0</v>
      </c>
      <c r="G873" s="37" t="s">
        <v>197</v>
      </c>
      <c r="H873" s="38" t="n">
        <v>199.11400965776</v>
      </c>
      <c r="I873" s="38" t="n">
        <v>203.645562092835</v>
      </c>
      <c r="J873" s="38" t="n">
        <v>225.812241141714</v>
      </c>
      <c r="K873" s="38" t="n">
        <v>255.47623856847</v>
      </c>
      <c r="L873" s="38" t="n">
        <v>53.3013142000302</v>
      </c>
      <c r="M873" s="38" t="n">
        <v>106.234605911095</v>
      </c>
      <c r="N873" s="38" t="n">
        <v>124.709133099484</v>
      </c>
      <c r="O873" s="38" t="n">
        <v>72.0367356334367</v>
      </c>
      <c r="P873" s="37" t="n">
        <v>0</v>
      </c>
      <c r="Q873" s="38" t="n">
        <v>0</v>
      </c>
      <c r="R873" s="38" t="n">
        <v>72</v>
      </c>
      <c r="S873" s="37" t="n">
        <v>0</v>
      </c>
    </row>
    <row r="874" customFormat="false" ht="15" hidden="false" customHeight="false" outlineLevel="0" collapsed="false">
      <c r="A874" s="37" t="n">
        <v>0</v>
      </c>
      <c r="B874" s="37" t="n">
        <v>10</v>
      </c>
      <c r="C874" s="37" t="n">
        <v>15</v>
      </c>
      <c r="D874" s="37" t="n">
        <v>5</v>
      </c>
      <c r="E874" s="37" t="n">
        <v>0</v>
      </c>
      <c r="F874" s="37" t="n">
        <v>0</v>
      </c>
      <c r="G874" s="37" t="s">
        <v>196</v>
      </c>
      <c r="H874" s="38" t="n">
        <v>199.11400965776</v>
      </c>
      <c r="I874" s="38" t="n">
        <v>203.659416724122</v>
      </c>
      <c r="J874" s="38" t="n">
        <v>237.893213657713</v>
      </c>
      <c r="K874" s="38" t="n">
        <v>263.608794178895</v>
      </c>
      <c r="L874" s="38" t="n">
        <v>60.157811098771</v>
      </c>
      <c r="M874" s="38" t="n">
        <v>109.913711390412</v>
      </c>
      <c r="N874" s="38" t="n">
        <v>145.727410398754</v>
      </c>
      <c r="O874" s="38" t="n">
        <v>76.8598987591294</v>
      </c>
      <c r="P874" s="37" t="n">
        <v>0</v>
      </c>
      <c r="Q874" s="38" t="n">
        <v>0</v>
      </c>
      <c r="R874" s="38" t="n">
        <v>71.0224138618266</v>
      </c>
      <c r="S874" s="37" t="n">
        <v>0</v>
      </c>
    </row>
    <row r="875" customFormat="false" ht="15" hidden="false" customHeight="false" outlineLevel="0" collapsed="false">
      <c r="A875" s="37" t="n">
        <v>0</v>
      </c>
      <c r="B875" s="37" t="n">
        <v>10</v>
      </c>
      <c r="C875" s="37" t="n">
        <v>20</v>
      </c>
      <c r="D875" s="37" t="n">
        <v>0</v>
      </c>
      <c r="E875" s="37" t="n">
        <v>0</v>
      </c>
      <c r="F875" s="37" t="n">
        <v>0</v>
      </c>
      <c r="G875" s="37" t="s">
        <v>188</v>
      </c>
      <c r="H875" s="38" t="n">
        <v>199.178794736755</v>
      </c>
      <c r="I875" s="38" t="n">
        <v>203.45832001683</v>
      </c>
      <c r="J875" s="38" t="n">
        <v>220.382250662528</v>
      </c>
      <c r="K875" s="38" t="n">
        <v>253.883381895026</v>
      </c>
      <c r="L875" s="38" t="n">
        <v>51.8578346450077</v>
      </c>
      <c r="M875" s="38" t="n">
        <v>110.316628176756</v>
      </c>
      <c r="N875" s="38" t="n">
        <v>130.538834703094</v>
      </c>
      <c r="O875" s="38" t="n">
        <v>69.6048390452888</v>
      </c>
      <c r="P875" s="37" t="n">
        <v>0</v>
      </c>
      <c r="Q875" s="38" t="n">
        <v>0</v>
      </c>
      <c r="R875" s="38" t="n">
        <v>70.5</v>
      </c>
      <c r="S875" s="37" t="n">
        <v>0</v>
      </c>
    </row>
    <row r="876" customFormat="false" ht="15" hidden="false" customHeight="false" outlineLevel="0" collapsed="false">
      <c r="A876" s="37" t="n">
        <v>0</v>
      </c>
      <c r="B876" s="37" t="n">
        <v>10</v>
      </c>
      <c r="C876" s="37" t="n">
        <v>20</v>
      </c>
      <c r="D876" s="37" t="n">
        <v>0</v>
      </c>
      <c r="E876" s="37" t="n">
        <v>0</v>
      </c>
      <c r="F876" s="37" t="n">
        <v>0</v>
      </c>
      <c r="G876" s="37" t="s">
        <v>192</v>
      </c>
      <c r="H876" s="38" t="n">
        <v>199.178794736755</v>
      </c>
      <c r="I876" s="38" t="n">
        <v>203.449468300537</v>
      </c>
      <c r="J876" s="38" t="n">
        <v>231.938863092253</v>
      </c>
      <c r="K876" s="38" t="n">
        <v>261.77994484932</v>
      </c>
      <c r="L876" s="38" t="n">
        <v>52.3129201846727</v>
      </c>
      <c r="M876" s="38" t="n">
        <v>110.99252547607</v>
      </c>
      <c r="N876" s="38" t="n">
        <v>146.411565876968</v>
      </c>
      <c r="O876" s="38" t="n">
        <v>75.5327243179715</v>
      </c>
      <c r="P876" s="37" t="n">
        <v>0</v>
      </c>
      <c r="Q876" s="38" t="n">
        <v>0</v>
      </c>
      <c r="R876" s="38" t="n">
        <v>70.5</v>
      </c>
      <c r="S876" s="37" t="n">
        <v>1</v>
      </c>
    </row>
    <row r="877" customFormat="false" ht="15" hidden="false" customHeight="false" outlineLevel="0" collapsed="false">
      <c r="A877" s="37" t="n">
        <v>0</v>
      </c>
      <c r="B877" s="37" t="n">
        <v>10</v>
      </c>
      <c r="C877" s="37" t="n">
        <v>20</v>
      </c>
      <c r="D877" s="37" t="n">
        <v>0</v>
      </c>
      <c r="E877" s="37" t="n">
        <v>0</v>
      </c>
      <c r="F877" s="37" t="n">
        <v>0</v>
      </c>
      <c r="G877" s="37" t="s">
        <v>195</v>
      </c>
      <c r="H877" s="38" t="n">
        <v>199.178794736755</v>
      </c>
      <c r="I877" s="38" t="n">
        <v>203.507575671719</v>
      </c>
      <c r="J877" s="38" t="n">
        <v>218.31721138911</v>
      </c>
      <c r="K877" s="38" t="n">
        <v>248.142150191825</v>
      </c>
      <c r="L877" s="38" t="n">
        <v>49.6563617895054</v>
      </c>
      <c r="M877" s="38" t="n">
        <v>110.36855941039</v>
      </c>
      <c r="N877" s="38" t="n">
        <v>126.042316877909</v>
      </c>
      <c r="O877" s="38" t="n">
        <v>67.8195566704692</v>
      </c>
      <c r="P877" s="37" t="n">
        <v>0</v>
      </c>
      <c r="Q877" s="38" t="n">
        <v>0</v>
      </c>
      <c r="R877" s="38" t="n">
        <v>68.6292634793041</v>
      </c>
      <c r="S877" s="37" t="n">
        <v>0</v>
      </c>
    </row>
    <row r="878" customFormat="false" ht="15" hidden="false" customHeight="false" outlineLevel="0" collapsed="false">
      <c r="A878" s="37" t="n">
        <v>0</v>
      </c>
      <c r="B878" s="37" t="n">
        <v>10</v>
      </c>
      <c r="C878" s="37" t="n">
        <v>20</v>
      </c>
      <c r="D878" s="37" t="n">
        <v>0</v>
      </c>
      <c r="E878" s="37" t="n">
        <v>0</v>
      </c>
      <c r="F878" s="37" t="n">
        <v>0</v>
      </c>
      <c r="G878" s="37" t="s">
        <v>197</v>
      </c>
      <c r="H878" s="38" t="n">
        <v>199.178794736755</v>
      </c>
      <c r="I878" s="38" t="n">
        <v>203.424108946086</v>
      </c>
      <c r="J878" s="38" t="n">
        <v>220.691750259105</v>
      </c>
      <c r="K878" s="38" t="n">
        <v>253.857278600431</v>
      </c>
      <c r="L878" s="38" t="n">
        <v>51.4985449596095</v>
      </c>
      <c r="M878" s="38" t="n">
        <v>105.577785505694</v>
      </c>
      <c r="N878" s="38" t="n">
        <v>119.537258625543</v>
      </c>
      <c r="O878" s="38" t="n">
        <v>67.2038704750011</v>
      </c>
      <c r="P878" s="37" t="n">
        <v>0</v>
      </c>
      <c r="Q878" s="38" t="n">
        <v>0</v>
      </c>
      <c r="R878" s="38" t="n">
        <v>70.5</v>
      </c>
      <c r="S878" s="37" t="n">
        <v>0</v>
      </c>
    </row>
    <row r="879" customFormat="false" ht="15" hidden="false" customHeight="false" outlineLevel="0" collapsed="false">
      <c r="A879" s="37" t="n">
        <v>0</v>
      </c>
      <c r="B879" s="37" t="n">
        <v>10</v>
      </c>
      <c r="C879" s="37" t="n">
        <v>20</v>
      </c>
      <c r="D879" s="37" t="n">
        <v>0</v>
      </c>
      <c r="E879" s="37" t="n">
        <v>0</v>
      </c>
      <c r="F879" s="37" t="n">
        <v>0</v>
      </c>
      <c r="G879" s="37" t="s">
        <v>196</v>
      </c>
      <c r="H879" s="38" t="n">
        <v>199.178794736755</v>
      </c>
      <c r="I879" s="38" t="n">
        <v>203.43744734015</v>
      </c>
      <c r="J879" s="38" t="n">
        <v>232.517488394634</v>
      </c>
      <c r="K879" s="38" t="n">
        <v>261.75844226943</v>
      </c>
      <c r="L879" s="38" t="n">
        <v>57.8156189651692</v>
      </c>
      <c r="M879" s="38" t="n">
        <v>109.123815497645</v>
      </c>
      <c r="N879" s="38" t="n">
        <v>138.94889634993</v>
      </c>
      <c r="O879" s="38" t="n">
        <v>72.0812623247611</v>
      </c>
      <c r="P879" s="37" t="n">
        <v>0</v>
      </c>
      <c r="Q879" s="38" t="n">
        <v>0</v>
      </c>
      <c r="R879" s="38" t="n">
        <v>69.4745318153108</v>
      </c>
      <c r="S879" s="37" t="n">
        <v>0</v>
      </c>
    </row>
    <row r="880" customFormat="false" ht="15" hidden="false" customHeight="false" outlineLevel="0" collapsed="false">
      <c r="A880" s="37" t="n">
        <v>0</v>
      </c>
      <c r="B880" s="37" t="n">
        <v>15</v>
      </c>
      <c r="C880" s="37" t="n">
        <v>0</v>
      </c>
      <c r="D880" s="37" t="n">
        <v>0</v>
      </c>
      <c r="E880" s="37" t="n">
        <v>0</v>
      </c>
      <c r="F880" s="37" t="n">
        <v>15</v>
      </c>
      <c r="G880" s="37" t="s">
        <v>188</v>
      </c>
      <c r="H880" s="38" t="n">
        <v>198.276665993524</v>
      </c>
      <c r="I880" s="38" t="n">
        <v>195.03616279114</v>
      </c>
      <c r="J880" s="38" t="n">
        <v>182.085178991356</v>
      </c>
      <c r="K880" s="38" t="n">
        <v>187.367056428433</v>
      </c>
      <c r="L880" s="38" t="n">
        <v>113.240409751194</v>
      </c>
      <c r="M880" s="38" t="n">
        <v>90.5526417697041</v>
      </c>
      <c r="N880" s="38" t="n">
        <v>71.4626961445916</v>
      </c>
      <c r="O880" s="38" t="n">
        <v>49.9301325175568</v>
      </c>
      <c r="P880" s="37" t="n">
        <v>0</v>
      </c>
      <c r="Q880" s="38" t="n">
        <v>0</v>
      </c>
      <c r="R880" s="38" t="n">
        <v>70.5</v>
      </c>
      <c r="S880" s="37" t="n">
        <v>0</v>
      </c>
    </row>
    <row r="881" customFormat="false" ht="15" hidden="false" customHeight="false" outlineLevel="0" collapsed="false">
      <c r="A881" s="37" t="n">
        <v>0</v>
      </c>
      <c r="B881" s="37" t="n">
        <v>15</v>
      </c>
      <c r="C881" s="37" t="n">
        <v>0</v>
      </c>
      <c r="D881" s="37" t="n">
        <v>0</v>
      </c>
      <c r="E881" s="37" t="n">
        <v>0</v>
      </c>
      <c r="F881" s="37" t="n">
        <v>15</v>
      </c>
      <c r="G881" s="37" t="s">
        <v>192</v>
      </c>
      <c r="H881" s="38" t="n">
        <v>198.276665993524</v>
      </c>
      <c r="I881" s="38" t="n">
        <v>195.038483567689</v>
      </c>
      <c r="J881" s="38" t="n">
        <v>195.104906781907</v>
      </c>
      <c r="K881" s="38" t="n">
        <v>198.172466204559</v>
      </c>
      <c r="L881" s="38" t="n">
        <v>103.765833977128</v>
      </c>
      <c r="M881" s="38" t="n">
        <v>92.6089549396822</v>
      </c>
      <c r="N881" s="38" t="n">
        <v>92.5516165350808</v>
      </c>
      <c r="O881" s="38" t="n">
        <v>61.6457927279758</v>
      </c>
      <c r="P881" s="37" t="n">
        <v>0</v>
      </c>
      <c r="Q881" s="38" t="n">
        <v>0</v>
      </c>
      <c r="R881" s="38" t="n">
        <v>70.5</v>
      </c>
      <c r="S881" s="37" t="n">
        <v>1</v>
      </c>
    </row>
    <row r="882" customFormat="false" ht="15" hidden="false" customHeight="false" outlineLevel="0" collapsed="false">
      <c r="A882" s="37" t="n">
        <v>0</v>
      </c>
      <c r="B882" s="37" t="n">
        <v>15</v>
      </c>
      <c r="C882" s="37" t="n">
        <v>0</v>
      </c>
      <c r="D882" s="37" t="n">
        <v>0</v>
      </c>
      <c r="E882" s="37" t="n">
        <v>0</v>
      </c>
      <c r="F882" s="37" t="n">
        <v>15</v>
      </c>
      <c r="G882" s="37" t="s">
        <v>195</v>
      </c>
      <c r="H882" s="38" t="n">
        <v>198.276665993524</v>
      </c>
      <c r="I882" s="38" t="n">
        <v>195.037610961664</v>
      </c>
      <c r="J882" s="38" t="n">
        <v>181.930134711109</v>
      </c>
      <c r="K882" s="38" t="n">
        <v>183.47273287587</v>
      </c>
      <c r="L882" s="38" t="n">
        <v>115.692447161584</v>
      </c>
      <c r="M882" s="38" t="n">
        <v>90.5547918891744</v>
      </c>
      <c r="N882" s="38" t="n">
        <v>69.3221384250742</v>
      </c>
      <c r="O882" s="38" t="n">
        <v>49.1804662322577</v>
      </c>
      <c r="P882" s="37" t="n">
        <v>0</v>
      </c>
      <c r="Q882" s="38" t="n">
        <v>0</v>
      </c>
      <c r="R882" s="38" t="n">
        <v>68.4659142857143</v>
      </c>
      <c r="S882" s="37" t="n">
        <v>0</v>
      </c>
    </row>
    <row r="883" customFormat="false" ht="15" hidden="false" customHeight="false" outlineLevel="0" collapsed="false">
      <c r="A883" s="37" t="n">
        <v>0</v>
      </c>
      <c r="B883" s="37" t="n">
        <v>15</v>
      </c>
      <c r="C883" s="37" t="n">
        <v>0</v>
      </c>
      <c r="D883" s="37" t="n">
        <v>0</v>
      </c>
      <c r="E883" s="37" t="n">
        <v>0</v>
      </c>
      <c r="F883" s="37" t="n">
        <v>15</v>
      </c>
      <c r="G883" s="37" t="s">
        <v>197</v>
      </c>
      <c r="H883" s="38" t="n">
        <v>198.276665993524</v>
      </c>
      <c r="I883" s="38" t="n">
        <v>195.037711547989</v>
      </c>
      <c r="J883" s="38" t="n">
        <v>185.328404244611</v>
      </c>
      <c r="K883" s="38" t="n">
        <v>191.613200137102</v>
      </c>
      <c r="L883" s="38" t="n">
        <v>123.884213886569</v>
      </c>
      <c r="M883" s="38" t="n">
        <v>92.3551214444274</v>
      </c>
      <c r="N883" s="38" t="n">
        <v>75.9424552288177</v>
      </c>
      <c r="O883" s="38" t="n">
        <v>52.0080011153122</v>
      </c>
      <c r="P883" s="37" t="n">
        <v>0</v>
      </c>
      <c r="Q883" s="38" t="n">
        <v>0</v>
      </c>
      <c r="R883" s="38" t="n">
        <v>70.5</v>
      </c>
      <c r="S883" s="37" t="n">
        <v>0</v>
      </c>
    </row>
    <row r="884" customFormat="false" ht="15" hidden="false" customHeight="false" outlineLevel="0" collapsed="false">
      <c r="A884" s="37" t="n">
        <v>0</v>
      </c>
      <c r="B884" s="37" t="n">
        <v>15</v>
      </c>
      <c r="C884" s="37" t="n">
        <v>0</v>
      </c>
      <c r="D884" s="37" t="n">
        <v>0</v>
      </c>
      <c r="E884" s="37" t="n">
        <v>0</v>
      </c>
      <c r="F884" s="37" t="n">
        <v>15</v>
      </c>
      <c r="G884" s="37" t="s">
        <v>196</v>
      </c>
      <c r="H884" s="38" t="n">
        <v>198.276665993524</v>
      </c>
      <c r="I884" s="38" t="n">
        <v>195.038113893291</v>
      </c>
      <c r="J884" s="38" t="n">
        <v>186.364729256336</v>
      </c>
      <c r="K884" s="38" t="n">
        <v>193.055442311031</v>
      </c>
      <c r="L884" s="38" t="n">
        <v>117.01679151738</v>
      </c>
      <c r="M884" s="38" t="n">
        <v>93.8537643665089</v>
      </c>
      <c r="N884" s="38" t="n">
        <v>83.9922742255021</v>
      </c>
      <c r="O884" s="38" t="n">
        <v>56.7666054412695</v>
      </c>
      <c r="P884" s="37" t="n">
        <v>0</v>
      </c>
      <c r="Q884" s="38" t="n">
        <v>0</v>
      </c>
      <c r="R884" s="38" t="n">
        <v>69.6040571428571</v>
      </c>
      <c r="S884" s="37" t="n">
        <v>0</v>
      </c>
    </row>
    <row r="885" customFormat="false" ht="15" hidden="false" customHeight="false" outlineLevel="0" collapsed="false">
      <c r="A885" s="37" t="n">
        <v>0</v>
      </c>
      <c r="B885" s="37" t="n">
        <v>15</v>
      </c>
      <c r="C885" s="37" t="n">
        <v>0</v>
      </c>
      <c r="D885" s="37" t="n">
        <v>0</v>
      </c>
      <c r="E885" s="37" t="n">
        <v>5</v>
      </c>
      <c r="F885" s="37" t="n">
        <v>10</v>
      </c>
      <c r="G885" s="37" t="s">
        <v>188</v>
      </c>
      <c r="H885" s="38" t="n">
        <v>198.309818289442</v>
      </c>
      <c r="I885" s="38" t="n">
        <v>195.327387159263</v>
      </c>
      <c r="J885" s="38" t="n">
        <v>184.830795033245</v>
      </c>
      <c r="K885" s="38" t="n">
        <v>192.385640188867</v>
      </c>
      <c r="L885" s="38" t="n">
        <v>78.4336670334419</v>
      </c>
      <c r="M885" s="38" t="n">
        <v>91.9831348622141</v>
      </c>
      <c r="N885" s="38" t="n">
        <v>78.7259785125667</v>
      </c>
      <c r="O885" s="38" t="n">
        <v>50.0175703203396</v>
      </c>
      <c r="P885" s="37" t="n">
        <v>0</v>
      </c>
      <c r="Q885" s="38" t="n">
        <v>0</v>
      </c>
      <c r="R885" s="38" t="n">
        <v>70.5</v>
      </c>
      <c r="S885" s="37" t="n">
        <v>0</v>
      </c>
    </row>
    <row r="886" customFormat="false" ht="15" hidden="false" customHeight="false" outlineLevel="0" collapsed="false">
      <c r="A886" s="37" t="n">
        <v>0</v>
      </c>
      <c r="B886" s="37" t="n">
        <v>15</v>
      </c>
      <c r="C886" s="37" t="n">
        <v>0</v>
      </c>
      <c r="D886" s="37" t="n">
        <v>0</v>
      </c>
      <c r="E886" s="37" t="n">
        <v>5</v>
      </c>
      <c r="F886" s="37" t="n">
        <v>10</v>
      </c>
      <c r="G886" s="37" t="s">
        <v>192</v>
      </c>
      <c r="H886" s="38" t="n">
        <v>198.309818289442</v>
      </c>
      <c r="I886" s="38" t="n">
        <v>195.330315876278</v>
      </c>
      <c r="J886" s="38" t="n">
        <v>197.923852363891</v>
      </c>
      <c r="K886" s="38" t="n">
        <v>203.264703953569</v>
      </c>
      <c r="L886" s="38" t="n">
        <v>68.9021141038165</v>
      </c>
      <c r="M886" s="38" t="n">
        <v>94.018353600299</v>
      </c>
      <c r="N886" s="38" t="n">
        <v>99.9038051664101</v>
      </c>
      <c r="O886" s="38" t="n">
        <v>61.8865462206003</v>
      </c>
      <c r="P886" s="37" t="n">
        <v>0</v>
      </c>
      <c r="Q886" s="38" t="n">
        <v>0</v>
      </c>
      <c r="R886" s="38" t="n">
        <v>70.5</v>
      </c>
      <c r="S886" s="37" t="n">
        <v>1</v>
      </c>
    </row>
    <row r="887" customFormat="false" ht="15" hidden="false" customHeight="false" outlineLevel="0" collapsed="false">
      <c r="A887" s="37" t="n">
        <v>0</v>
      </c>
      <c r="B887" s="37" t="n">
        <v>15</v>
      </c>
      <c r="C887" s="37" t="n">
        <v>0</v>
      </c>
      <c r="D887" s="37" t="n">
        <v>0</v>
      </c>
      <c r="E887" s="37" t="n">
        <v>5</v>
      </c>
      <c r="F887" s="37" t="n">
        <v>10</v>
      </c>
      <c r="G887" s="37" t="s">
        <v>195</v>
      </c>
      <c r="H887" s="38" t="n">
        <v>198.309818289442</v>
      </c>
      <c r="I887" s="38" t="n">
        <v>195.329123133964</v>
      </c>
      <c r="J887" s="38" t="n">
        <v>184.584560903101</v>
      </c>
      <c r="K887" s="38" t="n">
        <v>188.374846864463</v>
      </c>
      <c r="L887" s="38" t="n">
        <v>80.5318099486857</v>
      </c>
      <c r="M887" s="38" t="n">
        <v>91.9856216464986</v>
      </c>
      <c r="N887" s="38" t="n">
        <v>76.7351256253767</v>
      </c>
      <c r="O887" s="38" t="n">
        <v>49.5424887755866</v>
      </c>
      <c r="P887" s="37" t="n">
        <v>0</v>
      </c>
      <c r="Q887" s="38" t="n">
        <v>0</v>
      </c>
      <c r="R887" s="38" t="n">
        <v>68.4470889252669</v>
      </c>
      <c r="S887" s="37" t="n">
        <v>0</v>
      </c>
    </row>
    <row r="888" customFormat="false" ht="15" hidden="false" customHeight="false" outlineLevel="0" collapsed="false">
      <c r="A888" s="37" t="n">
        <v>0</v>
      </c>
      <c r="B888" s="37" t="n">
        <v>15</v>
      </c>
      <c r="C888" s="37" t="n">
        <v>0</v>
      </c>
      <c r="D888" s="37" t="n">
        <v>0</v>
      </c>
      <c r="E888" s="37" t="n">
        <v>5</v>
      </c>
      <c r="F888" s="37" t="n">
        <v>10</v>
      </c>
      <c r="G888" s="37" t="s">
        <v>197</v>
      </c>
      <c r="H888" s="38" t="n">
        <v>198.309818289442</v>
      </c>
      <c r="I888" s="38" t="n">
        <v>195.337180966348</v>
      </c>
      <c r="J888" s="38" t="n">
        <v>188.66341759949</v>
      </c>
      <c r="K888" s="38" t="n">
        <v>197.525650945966</v>
      </c>
      <c r="L888" s="38" t="n">
        <v>75.3608326059962</v>
      </c>
      <c r="M888" s="38" t="n">
        <v>97.1625726182218</v>
      </c>
      <c r="N888" s="38" t="n">
        <v>93.6184489745085</v>
      </c>
      <c r="O888" s="38" t="n">
        <v>58.9338581179475</v>
      </c>
      <c r="P888" s="37" t="n">
        <v>0</v>
      </c>
      <c r="Q888" s="38" t="n">
        <v>0</v>
      </c>
      <c r="R888" s="38" t="n">
        <v>70.5</v>
      </c>
      <c r="S888" s="37" t="n">
        <v>0</v>
      </c>
    </row>
    <row r="889" customFormat="false" ht="15" hidden="false" customHeight="false" outlineLevel="0" collapsed="false">
      <c r="A889" s="37" t="n">
        <v>0</v>
      </c>
      <c r="B889" s="37" t="n">
        <v>15</v>
      </c>
      <c r="C889" s="37" t="n">
        <v>0</v>
      </c>
      <c r="D889" s="37" t="n">
        <v>0</v>
      </c>
      <c r="E889" s="37" t="n">
        <v>5</v>
      </c>
      <c r="F889" s="37" t="n">
        <v>10</v>
      </c>
      <c r="G889" s="37" t="s">
        <v>196</v>
      </c>
      <c r="H889" s="38" t="n">
        <v>198.309818289442</v>
      </c>
      <c r="I889" s="38" t="n">
        <v>195.330144221935</v>
      </c>
      <c r="J889" s="38" t="n">
        <v>189.096909348023</v>
      </c>
      <c r="K889" s="38" t="n">
        <v>198.06359405794</v>
      </c>
      <c r="L889" s="38" t="n">
        <v>82.0249432642888</v>
      </c>
      <c r="M889" s="38" t="n">
        <v>95.9455699396656</v>
      </c>
      <c r="N889" s="38" t="n">
        <v>93.0068361914395</v>
      </c>
      <c r="O889" s="38" t="n">
        <v>58.4057534295078</v>
      </c>
      <c r="P889" s="37" t="n">
        <v>0</v>
      </c>
      <c r="Q889" s="38" t="n">
        <v>0</v>
      </c>
      <c r="R889" s="38" t="n">
        <v>69.6040571428571</v>
      </c>
      <c r="S889" s="37" t="n">
        <v>0</v>
      </c>
    </row>
    <row r="890" customFormat="false" ht="15" hidden="false" customHeight="false" outlineLevel="0" collapsed="false">
      <c r="A890" s="37" t="n">
        <v>0</v>
      </c>
      <c r="B890" s="37" t="n">
        <v>15</v>
      </c>
      <c r="C890" s="37" t="n">
        <v>0</v>
      </c>
      <c r="D890" s="37" t="n">
        <v>0</v>
      </c>
      <c r="E890" s="37" t="n">
        <v>10</v>
      </c>
      <c r="F890" s="37" t="n">
        <v>5</v>
      </c>
      <c r="G890" s="37" t="s">
        <v>188</v>
      </c>
      <c r="H890" s="38" t="n">
        <v>198.338917570948</v>
      </c>
      <c r="I890" s="38" t="n">
        <v>195.620162554416</v>
      </c>
      <c r="J890" s="38" t="n">
        <v>187.15114621733</v>
      </c>
      <c r="K890" s="38" t="n">
        <v>196.725140751837</v>
      </c>
      <c r="L890" s="38" t="n">
        <v>31.6895184146564</v>
      </c>
      <c r="M890" s="38" t="n">
        <v>93.2935993154689</v>
      </c>
      <c r="N890" s="38" t="n">
        <v>78.2597933587167</v>
      </c>
      <c r="O890" s="38" t="n">
        <v>52.7161302955056</v>
      </c>
      <c r="P890" s="37" t="n">
        <v>0</v>
      </c>
      <c r="Q890" s="38" t="n">
        <v>0</v>
      </c>
      <c r="R890" s="38" t="n">
        <v>70.5</v>
      </c>
      <c r="S890" s="37" t="n">
        <v>0</v>
      </c>
    </row>
    <row r="891" customFormat="false" ht="15" hidden="false" customHeight="false" outlineLevel="0" collapsed="false">
      <c r="A891" s="37" t="n">
        <v>0</v>
      </c>
      <c r="B891" s="37" t="n">
        <v>15</v>
      </c>
      <c r="C891" s="37" t="n">
        <v>0</v>
      </c>
      <c r="D891" s="37" t="n">
        <v>0</v>
      </c>
      <c r="E891" s="37" t="n">
        <v>10</v>
      </c>
      <c r="F891" s="37" t="n">
        <v>5</v>
      </c>
      <c r="G891" s="37" t="s">
        <v>192</v>
      </c>
      <c r="H891" s="38" t="n">
        <v>198.338917570948</v>
      </c>
      <c r="I891" s="38" t="n">
        <v>195.623606266182</v>
      </c>
      <c r="J891" s="38" t="n">
        <v>200.182917081919</v>
      </c>
      <c r="K891" s="38" t="n">
        <v>207.572244461115</v>
      </c>
      <c r="L891" s="38" t="n">
        <v>33.2426840007293</v>
      </c>
      <c r="M891" s="38" t="n">
        <v>95.2467696431156</v>
      </c>
      <c r="N891" s="38" t="n">
        <v>99.8675163761667</v>
      </c>
      <c r="O891" s="38" t="n">
        <v>61.8183849050672</v>
      </c>
      <c r="P891" s="37" t="n">
        <v>0</v>
      </c>
      <c r="Q891" s="38" t="n">
        <v>0</v>
      </c>
      <c r="R891" s="38" t="n">
        <v>70.5</v>
      </c>
      <c r="S891" s="37" t="n">
        <v>0</v>
      </c>
    </row>
    <row r="892" customFormat="false" ht="15" hidden="false" customHeight="false" outlineLevel="0" collapsed="false">
      <c r="A892" s="37" t="n">
        <v>0</v>
      </c>
      <c r="B892" s="37" t="n">
        <v>15</v>
      </c>
      <c r="C892" s="37" t="n">
        <v>0</v>
      </c>
      <c r="D892" s="37" t="n">
        <v>0</v>
      </c>
      <c r="E892" s="37" t="n">
        <v>10</v>
      </c>
      <c r="F892" s="37" t="n">
        <v>5</v>
      </c>
      <c r="G892" s="37" t="s">
        <v>195</v>
      </c>
      <c r="H892" s="38" t="n">
        <v>198.338917570948</v>
      </c>
      <c r="I892" s="38" t="n">
        <v>195.622910394199</v>
      </c>
      <c r="J892" s="38" t="n">
        <v>186.776704950496</v>
      </c>
      <c r="K892" s="38" t="n">
        <v>192.605702989614</v>
      </c>
      <c r="L892" s="38" t="n">
        <v>44.7103067039144</v>
      </c>
      <c r="M892" s="38" t="n">
        <v>93.2985252942138</v>
      </c>
      <c r="N892" s="38" t="n">
        <v>82.7189049117499</v>
      </c>
      <c r="O892" s="38" t="n">
        <v>49.6012407042191</v>
      </c>
      <c r="P892" s="37" t="n">
        <v>0</v>
      </c>
      <c r="Q892" s="38" t="n">
        <v>0</v>
      </c>
      <c r="R892" s="38" t="n">
        <v>68.4313811142901</v>
      </c>
      <c r="S892" s="37" t="n">
        <v>0</v>
      </c>
    </row>
    <row r="893" customFormat="false" ht="15" hidden="false" customHeight="false" outlineLevel="0" collapsed="false">
      <c r="A893" s="37" t="n">
        <v>0</v>
      </c>
      <c r="B893" s="37" t="n">
        <v>15</v>
      </c>
      <c r="C893" s="37" t="n">
        <v>0</v>
      </c>
      <c r="D893" s="37" t="n">
        <v>0</v>
      </c>
      <c r="E893" s="37" t="n">
        <v>10</v>
      </c>
      <c r="F893" s="37" t="n">
        <v>5</v>
      </c>
      <c r="G893" s="37" t="s">
        <v>197</v>
      </c>
      <c r="H893" s="38" t="n">
        <v>198.338917570948</v>
      </c>
      <c r="I893" s="38" t="n">
        <v>195.647532706614</v>
      </c>
      <c r="J893" s="38" t="n">
        <v>191.71627201481</v>
      </c>
      <c r="K893" s="38" t="n">
        <v>203.017107625432</v>
      </c>
      <c r="L893" s="38" t="n">
        <v>41.5599538897821</v>
      </c>
      <c r="M893" s="38" t="n">
        <v>101.131807482615</v>
      </c>
      <c r="N893" s="38" t="n">
        <v>107.955571344625</v>
      </c>
      <c r="O893" s="38" t="n">
        <v>60.4860383542062</v>
      </c>
      <c r="P893" s="37" t="n">
        <v>0</v>
      </c>
      <c r="Q893" s="38" t="n">
        <v>0</v>
      </c>
      <c r="R893" s="38" t="n">
        <v>70.5</v>
      </c>
      <c r="S893" s="37" t="n">
        <v>1</v>
      </c>
    </row>
    <row r="894" customFormat="false" ht="15" hidden="false" customHeight="false" outlineLevel="0" collapsed="false">
      <c r="A894" s="37" t="n">
        <v>0</v>
      </c>
      <c r="B894" s="37" t="n">
        <v>15</v>
      </c>
      <c r="C894" s="37" t="n">
        <v>0</v>
      </c>
      <c r="D894" s="37" t="n">
        <v>0</v>
      </c>
      <c r="E894" s="37" t="n">
        <v>10</v>
      </c>
      <c r="F894" s="37" t="n">
        <v>5</v>
      </c>
      <c r="G894" s="37" t="s">
        <v>196</v>
      </c>
      <c r="H894" s="38" t="n">
        <v>198.338917570948</v>
      </c>
      <c r="I894" s="38" t="n">
        <v>195.623818392731</v>
      </c>
      <c r="J894" s="38" t="n">
        <v>191.300081601967</v>
      </c>
      <c r="K894" s="38" t="n">
        <v>202.32034381635</v>
      </c>
      <c r="L894" s="38" t="n">
        <v>46.2351434266165</v>
      </c>
      <c r="M894" s="38" t="n">
        <v>97.7420872330399</v>
      </c>
      <c r="N894" s="38" t="n">
        <v>100.138873362515</v>
      </c>
      <c r="O894" s="38" t="n">
        <v>58.807602138794</v>
      </c>
      <c r="P894" s="37" t="n">
        <v>0</v>
      </c>
      <c r="Q894" s="38" t="n">
        <v>0</v>
      </c>
      <c r="R894" s="38" t="n">
        <v>69.5928852397974</v>
      </c>
      <c r="S894" s="37" t="n">
        <v>0</v>
      </c>
    </row>
    <row r="895" customFormat="false" ht="15" hidden="false" customHeight="false" outlineLevel="0" collapsed="false">
      <c r="A895" s="37" t="n">
        <v>0</v>
      </c>
      <c r="B895" s="37" t="n">
        <v>15</v>
      </c>
      <c r="C895" s="37" t="n">
        <v>0</v>
      </c>
      <c r="D895" s="37" t="n">
        <v>0</v>
      </c>
      <c r="E895" s="37" t="n">
        <v>15</v>
      </c>
      <c r="F895" s="37" t="n">
        <v>0</v>
      </c>
      <c r="G895" s="37" t="s">
        <v>188</v>
      </c>
      <c r="H895" s="38" t="n">
        <v>198.366487155272</v>
      </c>
      <c r="I895" s="38" t="n">
        <v>195.846743165129</v>
      </c>
      <c r="J895" s="38" t="n">
        <v>188.58384269366</v>
      </c>
      <c r="K895" s="38" t="n">
        <v>199.918422994693</v>
      </c>
      <c r="L895" s="38" t="n">
        <v>24.9834774684959</v>
      </c>
      <c r="M895" s="38" t="n">
        <v>94.3206284889971</v>
      </c>
      <c r="N895" s="38" t="n">
        <v>75.8570250533708</v>
      </c>
      <c r="O895" s="38" t="n">
        <v>49.9462293938324</v>
      </c>
      <c r="P895" s="37" t="n">
        <v>0</v>
      </c>
      <c r="Q895" s="38" t="n">
        <v>0.01652253150408</v>
      </c>
      <c r="R895" s="38" t="n">
        <v>70.5</v>
      </c>
      <c r="S895" s="37" t="n">
        <v>0</v>
      </c>
    </row>
    <row r="896" customFormat="false" ht="15" hidden="false" customHeight="false" outlineLevel="0" collapsed="false">
      <c r="A896" s="37" t="n">
        <v>0</v>
      </c>
      <c r="B896" s="37" t="n">
        <v>15</v>
      </c>
      <c r="C896" s="37" t="n">
        <v>0</v>
      </c>
      <c r="D896" s="37" t="n">
        <v>0</v>
      </c>
      <c r="E896" s="37" t="n">
        <v>15</v>
      </c>
      <c r="F896" s="37" t="n">
        <v>0</v>
      </c>
      <c r="G896" s="37" t="s">
        <v>192</v>
      </c>
      <c r="H896" s="38" t="n">
        <v>198.366487155272</v>
      </c>
      <c r="I896" s="38" t="n">
        <v>195.850412991075</v>
      </c>
      <c r="J896" s="38" t="n">
        <v>200.154824116233</v>
      </c>
      <c r="K896" s="38" t="n">
        <v>224.120036781024</v>
      </c>
      <c r="L896" s="38" t="n">
        <v>25.818558738452</v>
      </c>
      <c r="M896" s="38" t="n">
        <v>96.1978029783414</v>
      </c>
      <c r="N896" s="38" t="n">
        <v>98.6845049823436</v>
      </c>
      <c r="O896" s="38" t="n">
        <v>56.1869872863434</v>
      </c>
      <c r="P896" s="37" t="n">
        <v>0</v>
      </c>
      <c r="Q896" s="38" t="n">
        <v>0.000567764025365847</v>
      </c>
      <c r="R896" s="38" t="n">
        <v>61.5</v>
      </c>
      <c r="S896" s="37" t="n">
        <v>0</v>
      </c>
    </row>
    <row r="897" customFormat="false" ht="15" hidden="false" customHeight="false" outlineLevel="0" collapsed="false">
      <c r="A897" s="37" t="n">
        <v>0</v>
      </c>
      <c r="B897" s="37" t="n">
        <v>15</v>
      </c>
      <c r="C897" s="37" t="n">
        <v>0</v>
      </c>
      <c r="D897" s="37" t="n">
        <v>0</v>
      </c>
      <c r="E897" s="37" t="n">
        <v>15</v>
      </c>
      <c r="F897" s="37" t="n">
        <v>0</v>
      </c>
      <c r="G897" s="37" t="s">
        <v>195</v>
      </c>
      <c r="H897" s="38" t="n">
        <v>198.366487155272</v>
      </c>
      <c r="I897" s="38" t="n">
        <v>195.851040076365</v>
      </c>
      <c r="J897" s="38" t="n">
        <v>188.3656026869</v>
      </c>
      <c r="K897" s="38" t="n">
        <v>195.825096459711</v>
      </c>
      <c r="L897" s="38" t="n">
        <v>24.9820515113033</v>
      </c>
      <c r="M897" s="38" t="n">
        <v>94.3295073912749</v>
      </c>
      <c r="N897" s="38" t="n">
        <v>74.0159750389446</v>
      </c>
      <c r="O897" s="38" t="n">
        <v>49.9017402726994</v>
      </c>
      <c r="P897" s="37" t="n">
        <v>0</v>
      </c>
      <c r="Q897" s="38" t="n">
        <v>0.0179484886966783</v>
      </c>
      <c r="R897" s="38" t="n">
        <v>68.4177056623412</v>
      </c>
      <c r="S897" s="37" t="n">
        <v>0</v>
      </c>
    </row>
    <row r="898" customFormat="false" ht="15" hidden="false" customHeight="false" outlineLevel="0" collapsed="false">
      <c r="A898" s="37" t="n">
        <v>0</v>
      </c>
      <c r="B898" s="37" t="n">
        <v>15</v>
      </c>
      <c r="C898" s="37" t="n">
        <v>0</v>
      </c>
      <c r="D898" s="37" t="n">
        <v>0</v>
      </c>
      <c r="E898" s="37" t="n">
        <v>15</v>
      </c>
      <c r="F898" s="37" t="n">
        <v>0</v>
      </c>
      <c r="G898" s="37" t="s">
        <v>197</v>
      </c>
      <c r="H898" s="38" t="n">
        <v>198.366487155272</v>
      </c>
      <c r="I898" s="38" t="n">
        <v>195.889155702381</v>
      </c>
      <c r="J898" s="38" t="n">
        <v>193.915008449999</v>
      </c>
      <c r="K898" s="38" t="n">
        <v>207.055659062983</v>
      </c>
      <c r="L898" s="38" t="n">
        <v>24.9954340477846</v>
      </c>
      <c r="M898" s="38" t="n">
        <v>103.766462485191</v>
      </c>
      <c r="N898" s="38" t="n">
        <v>101.022052056399</v>
      </c>
      <c r="O898" s="38" t="n">
        <v>58.4159146027814</v>
      </c>
      <c r="P898" s="37" t="n">
        <v>0</v>
      </c>
      <c r="Q898" s="38" t="n">
        <v>0.00456595221538692</v>
      </c>
      <c r="R898" s="38" t="n">
        <v>70.5</v>
      </c>
      <c r="S898" s="37" t="n">
        <v>1</v>
      </c>
    </row>
    <row r="899" customFormat="false" ht="15" hidden="false" customHeight="false" outlineLevel="0" collapsed="false">
      <c r="A899" s="37" t="n">
        <v>0</v>
      </c>
      <c r="B899" s="37" t="n">
        <v>15</v>
      </c>
      <c r="C899" s="37" t="n">
        <v>0</v>
      </c>
      <c r="D899" s="37" t="n">
        <v>0</v>
      </c>
      <c r="E899" s="37" t="n">
        <v>15</v>
      </c>
      <c r="F899" s="37" t="n">
        <v>0</v>
      </c>
      <c r="G899" s="37" t="s">
        <v>196</v>
      </c>
      <c r="H899" s="38" t="n">
        <v>198.366487155272</v>
      </c>
      <c r="I899" s="38" t="n">
        <v>195.850969206645</v>
      </c>
      <c r="J899" s="38" t="n">
        <v>192.767377478919</v>
      </c>
      <c r="K899" s="38" t="n">
        <v>205.359097918977</v>
      </c>
      <c r="L899" s="38" t="n">
        <v>24.9951807262447</v>
      </c>
      <c r="M899" s="38" t="n">
        <v>99.0475728861722</v>
      </c>
      <c r="N899" s="38" t="n">
        <v>90.9927303659536</v>
      </c>
      <c r="O899" s="38" t="n">
        <v>55.8208738310976</v>
      </c>
      <c r="P899" s="37" t="n">
        <v>0</v>
      </c>
      <c r="Q899" s="38" t="n">
        <v>0.00481927375528812</v>
      </c>
      <c r="R899" s="38" t="n">
        <v>69.5779416372046</v>
      </c>
      <c r="S899" s="37" t="n">
        <v>0</v>
      </c>
    </row>
    <row r="900" customFormat="false" ht="15" hidden="false" customHeight="false" outlineLevel="0" collapsed="false">
      <c r="A900" s="37" t="n">
        <v>0</v>
      </c>
      <c r="B900" s="37" t="n">
        <v>15</v>
      </c>
      <c r="C900" s="37" t="n">
        <v>0</v>
      </c>
      <c r="D900" s="37" t="n">
        <v>5</v>
      </c>
      <c r="E900" s="37" t="n">
        <v>0</v>
      </c>
      <c r="F900" s="37" t="n">
        <v>10</v>
      </c>
      <c r="G900" s="37" t="s">
        <v>188</v>
      </c>
      <c r="H900" s="38" t="n">
        <v>198.451370985866</v>
      </c>
      <c r="I900" s="38" t="n">
        <v>196.06057715644</v>
      </c>
      <c r="J900" s="38" t="n">
        <v>186.524270802077</v>
      </c>
      <c r="K900" s="38" t="n">
        <v>184.039032061839</v>
      </c>
      <c r="L900" s="38" t="n">
        <v>70.4003335836926</v>
      </c>
      <c r="M900" s="38" t="n">
        <v>91.6252735143767</v>
      </c>
      <c r="N900" s="38" t="n">
        <v>74.5569768785737</v>
      </c>
      <c r="O900" s="38" t="n">
        <v>53.127880575237</v>
      </c>
      <c r="P900" s="37" t="n">
        <v>0</v>
      </c>
      <c r="Q900" s="38" t="n">
        <v>0</v>
      </c>
      <c r="R900" s="38" t="n">
        <v>72</v>
      </c>
      <c r="S900" s="37" t="n">
        <v>0</v>
      </c>
    </row>
    <row r="901" customFormat="false" ht="15" hidden="false" customHeight="false" outlineLevel="0" collapsed="false">
      <c r="A901" s="37" t="n">
        <v>0</v>
      </c>
      <c r="B901" s="37" t="n">
        <v>15</v>
      </c>
      <c r="C901" s="37" t="n">
        <v>0</v>
      </c>
      <c r="D901" s="37" t="n">
        <v>5</v>
      </c>
      <c r="E901" s="37" t="n">
        <v>0</v>
      </c>
      <c r="F901" s="37" t="n">
        <v>10</v>
      </c>
      <c r="G901" s="37" t="s">
        <v>192</v>
      </c>
      <c r="H901" s="38" t="n">
        <v>198.451370985866</v>
      </c>
      <c r="I901" s="38" t="n">
        <v>196.064311440355</v>
      </c>
      <c r="J901" s="38" t="n">
        <v>199.716525073167</v>
      </c>
      <c r="K901" s="38" t="n">
        <v>195.020351742354</v>
      </c>
      <c r="L901" s="38" t="n">
        <v>72.8845094368893</v>
      </c>
      <c r="M901" s="38" t="n">
        <v>93.6824552571623</v>
      </c>
      <c r="N901" s="38" t="n">
        <v>95.8169281832885</v>
      </c>
      <c r="O901" s="38" t="n">
        <v>62.2644072578136</v>
      </c>
      <c r="P901" s="37" t="n">
        <v>0</v>
      </c>
      <c r="Q901" s="38" t="n">
        <v>0</v>
      </c>
      <c r="R901" s="38" t="n">
        <v>72</v>
      </c>
      <c r="S901" s="37" t="n">
        <v>1</v>
      </c>
    </row>
    <row r="902" customFormat="false" ht="15" hidden="false" customHeight="false" outlineLevel="0" collapsed="false">
      <c r="A902" s="37" t="n">
        <v>0</v>
      </c>
      <c r="B902" s="37" t="n">
        <v>15</v>
      </c>
      <c r="C902" s="37" t="n">
        <v>0</v>
      </c>
      <c r="D902" s="37" t="n">
        <v>5</v>
      </c>
      <c r="E902" s="37" t="n">
        <v>0</v>
      </c>
      <c r="F902" s="37" t="n">
        <v>10</v>
      </c>
      <c r="G902" s="37" t="s">
        <v>195</v>
      </c>
      <c r="H902" s="38" t="n">
        <v>198.451370985866</v>
      </c>
      <c r="I902" s="38" t="n">
        <v>196.09059289707</v>
      </c>
      <c r="J902" s="38" t="n">
        <v>188.033921744448</v>
      </c>
      <c r="K902" s="38" t="n">
        <v>183.216957098316</v>
      </c>
      <c r="L902" s="38" t="n">
        <v>76.7457708382965</v>
      </c>
      <c r="M902" s="38" t="n">
        <v>93.2944552163035</v>
      </c>
      <c r="N902" s="38" t="n">
        <v>79.3857690325293</v>
      </c>
      <c r="O902" s="38" t="n">
        <v>55.2286704123144</v>
      </c>
      <c r="P902" s="37" t="n">
        <v>0</v>
      </c>
      <c r="Q902" s="38" t="n">
        <v>0</v>
      </c>
      <c r="R902" s="38" t="n">
        <v>70.3586441219943</v>
      </c>
      <c r="S902" s="37" t="n">
        <v>0</v>
      </c>
    </row>
    <row r="903" customFormat="false" ht="15" hidden="false" customHeight="false" outlineLevel="0" collapsed="false">
      <c r="A903" s="37" t="n">
        <v>0</v>
      </c>
      <c r="B903" s="37" t="n">
        <v>15</v>
      </c>
      <c r="C903" s="37" t="n">
        <v>0</v>
      </c>
      <c r="D903" s="37" t="n">
        <v>5</v>
      </c>
      <c r="E903" s="37" t="n">
        <v>0</v>
      </c>
      <c r="F903" s="37" t="n">
        <v>10</v>
      </c>
      <c r="G903" s="37" t="s">
        <v>197</v>
      </c>
      <c r="H903" s="38" t="n">
        <v>198.451370985866</v>
      </c>
      <c r="I903" s="38" t="n">
        <v>196.062545669461</v>
      </c>
      <c r="J903" s="38" t="n">
        <v>189.806986481126</v>
      </c>
      <c r="K903" s="38" t="n">
        <v>188.319933332154</v>
      </c>
      <c r="L903" s="38" t="n">
        <v>80.8502267711194</v>
      </c>
      <c r="M903" s="38" t="n">
        <v>93.4283660236784</v>
      </c>
      <c r="N903" s="38" t="n">
        <v>79.3633781086369</v>
      </c>
      <c r="O903" s="38" t="n">
        <v>55.1911061212799</v>
      </c>
      <c r="P903" s="37" t="n">
        <v>0</v>
      </c>
      <c r="Q903" s="38" t="n">
        <v>0</v>
      </c>
      <c r="R903" s="38" t="n">
        <v>72</v>
      </c>
      <c r="S903" s="37" t="n">
        <v>0</v>
      </c>
    </row>
    <row r="904" customFormat="false" ht="15" hidden="false" customHeight="false" outlineLevel="0" collapsed="false">
      <c r="A904" s="37" t="n">
        <v>0</v>
      </c>
      <c r="B904" s="37" t="n">
        <v>15</v>
      </c>
      <c r="C904" s="37" t="n">
        <v>0</v>
      </c>
      <c r="D904" s="37" t="n">
        <v>5</v>
      </c>
      <c r="E904" s="37" t="n">
        <v>0</v>
      </c>
      <c r="F904" s="37" t="n">
        <v>10</v>
      </c>
      <c r="G904" s="37" t="s">
        <v>196</v>
      </c>
      <c r="H904" s="38" t="n">
        <v>198.451370985866</v>
      </c>
      <c r="I904" s="38" t="n">
        <v>196.063495371048</v>
      </c>
      <c r="J904" s="38" t="n">
        <v>183.864184003163</v>
      </c>
      <c r="K904" s="38" t="n">
        <v>191.642093371332</v>
      </c>
      <c r="L904" s="38" t="n">
        <v>78.0865378157761</v>
      </c>
      <c r="M904" s="38" t="n">
        <v>95.567524373008</v>
      </c>
      <c r="N904" s="38" t="n">
        <v>87.384572933387</v>
      </c>
      <c r="O904" s="38" t="n">
        <v>58.3483734513116</v>
      </c>
      <c r="P904" s="37" t="n">
        <v>0</v>
      </c>
      <c r="Q904" s="38" t="n">
        <v>0</v>
      </c>
      <c r="R904" s="38" t="n">
        <v>70.6402002374205</v>
      </c>
      <c r="S904" s="37" t="n">
        <v>0</v>
      </c>
    </row>
    <row r="905" customFormat="false" ht="15" hidden="false" customHeight="false" outlineLevel="0" collapsed="false">
      <c r="A905" s="37" t="n">
        <v>0</v>
      </c>
      <c r="B905" s="37" t="n">
        <v>15</v>
      </c>
      <c r="C905" s="37" t="n">
        <v>0</v>
      </c>
      <c r="D905" s="37" t="n">
        <v>5</v>
      </c>
      <c r="E905" s="37" t="n">
        <v>5</v>
      </c>
      <c r="F905" s="37" t="n">
        <v>5</v>
      </c>
      <c r="G905" s="37" t="s">
        <v>188</v>
      </c>
      <c r="H905" s="38" t="n">
        <v>198.475286889108</v>
      </c>
      <c r="I905" s="38" t="n">
        <v>196.32211980841</v>
      </c>
      <c r="J905" s="38" t="n">
        <v>189.420965576689</v>
      </c>
      <c r="K905" s="38" t="n">
        <v>189.108172322217</v>
      </c>
      <c r="L905" s="38" t="n">
        <v>35.6741792978044</v>
      </c>
      <c r="M905" s="38" t="n">
        <v>92.9767968065304</v>
      </c>
      <c r="N905" s="38" t="n">
        <v>78.548956877423</v>
      </c>
      <c r="O905" s="38" t="n">
        <v>53.1486805016614</v>
      </c>
      <c r="P905" s="37" t="n">
        <v>0</v>
      </c>
      <c r="Q905" s="38" t="n">
        <v>0</v>
      </c>
      <c r="R905" s="38" t="n">
        <v>72</v>
      </c>
      <c r="S905" s="37" t="n">
        <v>0</v>
      </c>
    </row>
    <row r="906" customFormat="false" ht="15" hidden="false" customHeight="false" outlineLevel="0" collapsed="false">
      <c r="A906" s="37" t="n">
        <v>0</v>
      </c>
      <c r="B906" s="37" t="n">
        <v>15</v>
      </c>
      <c r="C906" s="37" t="n">
        <v>0</v>
      </c>
      <c r="D906" s="37" t="n">
        <v>5</v>
      </c>
      <c r="E906" s="37" t="n">
        <v>5</v>
      </c>
      <c r="F906" s="37" t="n">
        <v>5</v>
      </c>
      <c r="G906" s="37" t="s">
        <v>192</v>
      </c>
      <c r="H906" s="38" t="n">
        <v>198.475286889108</v>
      </c>
      <c r="I906" s="38" t="n">
        <v>196.327627467046</v>
      </c>
      <c r="J906" s="38" t="n">
        <v>202.630993608424</v>
      </c>
      <c r="K906" s="38" t="n">
        <v>200.105190934229</v>
      </c>
      <c r="L906" s="38" t="n">
        <v>38.0053097106354</v>
      </c>
      <c r="M906" s="38" t="n">
        <v>94.9281197830459</v>
      </c>
      <c r="N906" s="38" t="n">
        <v>101.647830584369</v>
      </c>
      <c r="O906" s="38" t="n">
        <v>62.4396458887848</v>
      </c>
      <c r="P906" s="37" t="n">
        <v>0</v>
      </c>
      <c r="Q906" s="38" t="n">
        <v>0</v>
      </c>
      <c r="R906" s="38" t="n">
        <v>72</v>
      </c>
      <c r="S906" s="37" t="n">
        <v>1</v>
      </c>
    </row>
    <row r="907" customFormat="false" ht="15" hidden="false" customHeight="false" outlineLevel="0" collapsed="false">
      <c r="A907" s="37" t="n">
        <v>0</v>
      </c>
      <c r="B907" s="37" t="n">
        <v>15</v>
      </c>
      <c r="C907" s="37" t="n">
        <v>0</v>
      </c>
      <c r="D907" s="37" t="n">
        <v>5</v>
      </c>
      <c r="E907" s="37" t="n">
        <v>5</v>
      </c>
      <c r="F907" s="37" t="n">
        <v>5</v>
      </c>
      <c r="G907" s="37" t="s">
        <v>195</v>
      </c>
      <c r="H907" s="38" t="n">
        <v>198.475286889108</v>
      </c>
      <c r="I907" s="38" t="n">
        <v>196.358561642166</v>
      </c>
      <c r="J907" s="38" t="n">
        <v>190.925533474234</v>
      </c>
      <c r="K907" s="38" t="n">
        <v>188.346214014392</v>
      </c>
      <c r="L907" s="38" t="n">
        <v>41.8439604069505</v>
      </c>
      <c r="M907" s="38" t="n">
        <v>94.6237489404877</v>
      </c>
      <c r="N907" s="38" t="n">
        <v>87.0867510078369</v>
      </c>
      <c r="O907" s="38" t="n">
        <v>55.5624782198625</v>
      </c>
      <c r="P907" s="37" t="n">
        <v>0</v>
      </c>
      <c r="Q907" s="38" t="n">
        <v>0</v>
      </c>
      <c r="R907" s="38" t="n">
        <v>70.3493239177675</v>
      </c>
      <c r="S907" s="37" t="n">
        <v>0</v>
      </c>
    </row>
    <row r="908" customFormat="false" ht="15" hidden="false" customHeight="false" outlineLevel="0" collapsed="false">
      <c r="A908" s="37" t="n">
        <v>0</v>
      </c>
      <c r="B908" s="37" t="n">
        <v>15</v>
      </c>
      <c r="C908" s="37" t="n">
        <v>0</v>
      </c>
      <c r="D908" s="37" t="n">
        <v>5</v>
      </c>
      <c r="E908" s="37" t="n">
        <v>5</v>
      </c>
      <c r="F908" s="37" t="n">
        <v>5</v>
      </c>
      <c r="G908" s="37" t="s">
        <v>197</v>
      </c>
      <c r="H908" s="38" t="n">
        <v>198.475286889108</v>
      </c>
      <c r="I908" s="38" t="n">
        <v>196.333931025552</v>
      </c>
      <c r="J908" s="38" t="n">
        <v>193.291761916636</v>
      </c>
      <c r="K908" s="38" t="n">
        <v>194.29739498986</v>
      </c>
      <c r="L908" s="38" t="n">
        <v>32.3757037469191</v>
      </c>
      <c r="M908" s="38" t="n">
        <v>98.1024214399481</v>
      </c>
      <c r="N908" s="38" t="n">
        <v>90.6259016359836</v>
      </c>
      <c r="O908" s="38" t="n">
        <v>62.048704450667</v>
      </c>
      <c r="P908" s="37" t="n">
        <v>0</v>
      </c>
      <c r="Q908" s="38" t="n">
        <v>0</v>
      </c>
      <c r="R908" s="38" t="n">
        <v>72</v>
      </c>
      <c r="S908" s="37" t="n">
        <v>0</v>
      </c>
    </row>
    <row r="909" customFormat="false" ht="15" hidden="false" customHeight="false" outlineLevel="0" collapsed="false">
      <c r="A909" s="37" t="n">
        <v>0</v>
      </c>
      <c r="B909" s="37" t="n">
        <v>15</v>
      </c>
      <c r="C909" s="37" t="n">
        <v>0</v>
      </c>
      <c r="D909" s="37" t="n">
        <v>5</v>
      </c>
      <c r="E909" s="37" t="n">
        <v>5</v>
      </c>
      <c r="F909" s="37" t="n">
        <v>5</v>
      </c>
      <c r="G909" s="37" t="s">
        <v>196</v>
      </c>
      <c r="H909" s="38" t="n">
        <v>198.475286889108</v>
      </c>
      <c r="I909" s="38" t="n">
        <v>196.327328275762</v>
      </c>
      <c r="J909" s="38" t="n">
        <v>193.606477481405</v>
      </c>
      <c r="K909" s="38" t="n">
        <v>194.680590504203</v>
      </c>
      <c r="L909" s="38" t="n">
        <v>38.6368145836906</v>
      </c>
      <c r="M909" s="38" t="n">
        <v>97.524329344851</v>
      </c>
      <c r="N909" s="38" t="n">
        <v>96.5300579712781</v>
      </c>
      <c r="O909" s="38" t="n">
        <v>61.0729335130722</v>
      </c>
      <c r="P909" s="37" t="n">
        <v>0</v>
      </c>
      <c r="Q909" s="38" t="n">
        <v>0</v>
      </c>
      <c r="R909" s="38" t="n">
        <v>71.1028271124104</v>
      </c>
      <c r="S909" s="37" t="n">
        <v>0</v>
      </c>
    </row>
    <row r="910" customFormat="false" ht="15" hidden="false" customHeight="false" outlineLevel="0" collapsed="false">
      <c r="A910" s="37" t="n">
        <v>0</v>
      </c>
      <c r="B910" s="37" t="n">
        <v>15</v>
      </c>
      <c r="C910" s="37" t="n">
        <v>0</v>
      </c>
      <c r="D910" s="37" t="n">
        <v>5</v>
      </c>
      <c r="E910" s="37" t="n">
        <v>10</v>
      </c>
      <c r="F910" s="37" t="n">
        <v>0</v>
      </c>
      <c r="G910" s="37" t="s">
        <v>188</v>
      </c>
      <c r="H910" s="38" t="n">
        <v>198.500170992243</v>
      </c>
      <c r="I910" s="38" t="n">
        <v>196.607944869813</v>
      </c>
      <c r="J910" s="38" t="n">
        <v>186.080919593854</v>
      </c>
      <c r="K910" s="38" t="n">
        <v>185.913220862853</v>
      </c>
      <c r="L910" s="38" t="n">
        <v>24.1344259661429</v>
      </c>
      <c r="M910" s="38" t="n">
        <v>94.2636396472876</v>
      </c>
      <c r="N910" s="38" t="n">
        <v>65.8271507157534</v>
      </c>
      <c r="O910" s="38" t="n">
        <v>51.3813123653338</v>
      </c>
      <c r="P910" s="37" t="n">
        <v>0</v>
      </c>
      <c r="Q910" s="38" t="n">
        <v>0.865574033857058</v>
      </c>
      <c r="R910" s="38" t="n">
        <v>72</v>
      </c>
      <c r="S910" s="37" t="n">
        <v>0</v>
      </c>
    </row>
    <row r="911" customFormat="false" ht="15" hidden="false" customHeight="false" outlineLevel="0" collapsed="false">
      <c r="A911" s="37" t="n">
        <v>0</v>
      </c>
      <c r="B911" s="37" t="n">
        <v>15</v>
      </c>
      <c r="C911" s="37" t="n">
        <v>0</v>
      </c>
      <c r="D911" s="37" t="n">
        <v>5</v>
      </c>
      <c r="E911" s="37" t="n">
        <v>10</v>
      </c>
      <c r="F911" s="37" t="n">
        <v>0</v>
      </c>
      <c r="G911" s="37" t="s">
        <v>192</v>
      </c>
      <c r="H911" s="38" t="n">
        <v>198.500170992243</v>
      </c>
      <c r="I911" s="38" t="n">
        <v>196.613787132347</v>
      </c>
      <c r="J911" s="38" t="n">
        <v>198.008702011771</v>
      </c>
      <c r="K911" s="38" t="n">
        <v>211.374864025898</v>
      </c>
      <c r="L911" s="38" t="n">
        <v>24.9936314766076</v>
      </c>
      <c r="M911" s="38" t="n">
        <v>96.1315203443476</v>
      </c>
      <c r="N911" s="38" t="n">
        <v>90.0907884573852</v>
      </c>
      <c r="O911" s="38" t="n">
        <v>57.9155715512424</v>
      </c>
      <c r="P911" s="37" t="n">
        <v>0</v>
      </c>
      <c r="Q911" s="38" t="n">
        <v>0.00636852339241045</v>
      </c>
      <c r="R911" s="38" t="n">
        <v>63</v>
      </c>
      <c r="S911" s="37" t="n">
        <v>0</v>
      </c>
    </row>
    <row r="912" customFormat="false" ht="15" hidden="false" customHeight="false" outlineLevel="0" collapsed="false">
      <c r="A912" s="37" t="n">
        <v>0</v>
      </c>
      <c r="B912" s="37" t="n">
        <v>15</v>
      </c>
      <c r="C912" s="37" t="n">
        <v>0</v>
      </c>
      <c r="D912" s="37" t="n">
        <v>5</v>
      </c>
      <c r="E912" s="37" t="n">
        <v>10</v>
      </c>
      <c r="F912" s="37" t="n">
        <v>0</v>
      </c>
      <c r="G912" s="37" t="s">
        <v>195</v>
      </c>
      <c r="H912" s="38" t="n">
        <v>198.500170992243</v>
      </c>
      <c r="I912" s="38" t="n">
        <v>196.650858286083</v>
      </c>
      <c r="J912" s="38" t="n">
        <v>193.229876781052</v>
      </c>
      <c r="K912" s="38" t="n">
        <v>192.876474081945</v>
      </c>
      <c r="L912" s="38" t="n">
        <v>24.978156519384</v>
      </c>
      <c r="M912" s="38" t="n">
        <v>95.8978899031531</v>
      </c>
      <c r="N912" s="38" t="n">
        <v>80.1344869727993</v>
      </c>
      <c r="O912" s="38" t="n">
        <v>56.14813355081</v>
      </c>
      <c r="P912" s="37" t="n">
        <v>0</v>
      </c>
      <c r="Q912" s="38" t="n">
        <v>0.0218434806160133</v>
      </c>
      <c r="R912" s="38" t="n">
        <v>70.3281945068218</v>
      </c>
      <c r="S912" s="37" t="n">
        <v>0</v>
      </c>
    </row>
    <row r="913" customFormat="false" ht="15" hidden="false" customHeight="false" outlineLevel="0" collapsed="false">
      <c r="A913" s="37" t="n">
        <v>0</v>
      </c>
      <c r="B913" s="37" t="n">
        <v>15</v>
      </c>
      <c r="C913" s="37" t="n">
        <v>0</v>
      </c>
      <c r="D913" s="37" t="n">
        <v>5</v>
      </c>
      <c r="E913" s="37" t="n">
        <v>10</v>
      </c>
      <c r="F913" s="37" t="n">
        <v>0</v>
      </c>
      <c r="G913" s="37" t="s">
        <v>197</v>
      </c>
      <c r="H913" s="38" t="n">
        <v>198.500170992243</v>
      </c>
      <c r="I913" s="38" t="n">
        <v>196.638812393119</v>
      </c>
      <c r="J913" s="38" t="n">
        <v>196.434803929572</v>
      </c>
      <c r="K913" s="38" t="n">
        <v>200.045897304763</v>
      </c>
      <c r="L913" s="38" t="n">
        <v>24.9664256131684</v>
      </c>
      <c r="M913" s="38" t="n">
        <v>102.00632387567</v>
      </c>
      <c r="N913" s="38" t="n">
        <v>98.3490963476233</v>
      </c>
      <c r="O913" s="38" t="n">
        <v>61.5188872428395</v>
      </c>
      <c r="P913" s="37" t="n">
        <v>0</v>
      </c>
      <c r="Q913" s="38" t="n">
        <v>0.0335743868316456</v>
      </c>
      <c r="R913" s="38" t="n">
        <v>72</v>
      </c>
      <c r="S913" s="37" t="n">
        <v>1</v>
      </c>
    </row>
    <row r="914" customFormat="false" ht="15" hidden="false" customHeight="false" outlineLevel="0" collapsed="false">
      <c r="A914" s="37" t="n">
        <v>0</v>
      </c>
      <c r="B914" s="37" t="n">
        <v>15</v>
      </c>
      <c r="C914" s="37" t="n">
        <v>0</v>
      </c>
      <c r="D914" s="37" t="n">
        <v>5</v>
      </c>
      <c r="E914" s="37" t="n">
        <v>10</v>
      </c>
      <c r="F914" s="37" t="n">
        <v>0</v>
      </c>
      <c r="G914" s="37" t="s">
        <v>196</v>
      </c>
      <c r="H914" s="38" t="n">
        <v>198.500170992243</v>
      </c>
      <c r="I914" s="38" t="n">
        <v>196.614462963064</v>
      </c>
      <c r="J914" s="38" t="n">
        <v>195.778101283504</v>
      </c>
      <c r="K914" s="38" t="n">
        <v>199.031387127172</v>
      </c>
      <c r="L914" s="38" t="n">
        <v>24.9740945844972</v>
      </c>
      <c r="M914" s="38" t="n">
        <v>99.2768855163633</v>
      </c>
      <c r="N914" s="38" t="n">
        <v>91.4478227867123</v>
      </c>
      <c r="O914" s="38" t="n">
        <v>59.0275598965199</v>
      </c>
      <c r="P914" s="37" t="n">
        <v>0</v>
      </c>
      <c r="Q914" s="38" t="n">
        <v>0.0259054155027627</v>
      </c>
      <c r="R914" s="38" t="n">
        <v>71.1012142487244</v>
      </c>
      <c r="S914" s="37" t="n">
        <v>0</v>
      </c>
    </row>
    <row r="915" customFormat="false" ht="15" hidden="false" customHeight="false" outlineLevel="0" collapsed="false">
      <c r="A915" s="37" t="n">
        <v>0</v>
      </c>
      <c r="B915" s="37" t="n">
        <v>15</v>
      </c>
      <c r="C915" s="37" t="n">
        <v>0</v>
      </c>
      <c r="D915" s="37" t="n">
        <v>10</v>
      </c>
      <c r="E915" s="37" t="n">
        <v>0</v>
      </c>
      <c r="F915" s="37" t="n">
        <v>5</v>
      </c>
      <c r="G915" s="37" t="s">
        <v>188</v>
      </c>
      <c r="H915" s="38" t="n">
        <v>198.672755547619</v>
      </c>
      <c r="I915" s="38" t="n">
        <v>196.949830703719</v>
      </c>
      <c r="J915" s="38" t="n">
        <v>189.758321886926</v>
      </c>
      <c r="K915" s="38" t="n">
        <v>183.623957606535</v>
      </c>
      <c r="L915" s="38" t="n">
        <v>30.4465215849325</v>
      </c>
      <c r="M915" s="38" t="n">
        <v>92.3635150645109</v>
      </c>
      <c r="N915" s="38" t="n">
        <v>69.212601993876</v>
      </c>
      <c r="O915" s="38" t="n">
        <v>53.5496547174775</v>
      </c>
      <c r="P915" s="37" t="n">
        <v>0</v>
      </c>
      <c r="Q915" s="38" t="n">
        <v>0</v>
      </c>
      <c r="R915" s="38" t="n">
        <v>72</v>
      </c>
      <c r="S915" s="37" t="n">
        <v>0</v>
      </c>
    </row>
    <row r="916" customFormat="false" ht="15" hidden="false" customHeight="false" outlineLevel="0" collapsed="false">
      <c r="A916" s="37" t="n">
        <v>0</v>
      </c>
      <c r="B916" s="37" t="n">
        <v>15</v>
      </c>
      <c r="C916" s="37" t="n">
        <v>0</v>
      </c>
      <c r="D916" s="37" t="n">
        <v>10</v>
      </c>
      <c r="E916" s="37" t="n">
        <v>0</v>
      </c>
      <c r="F916" s="37" t="n">
        <v>5</v>
      </c>
      <c r="G916" s="37" t="s">
        <v>192</v>
      </c>
      <c r="H916" s="38" t="n">
        <v>198.672755547619</v>
      </c>
      <c r="I916" s="38" t="n">
        <v>196.95395413424</v>
      </c>
      <c r="J916" s="38" t="n">
        <v>203.027554198652</v>
      </c>
      <c r="K916" s="38" t="n">
        <v>194.645239835541</v>
      </c>
      <c r="L916" s="38" t="n">
        <v>33.3831180711673</v>
      </c>
      <c r="M916" s="38" t="n">
        <v>94.3818252767994</v>
      </c>
      <c r="N916" s="38" t="n">
        <v>93.0536445085704</v>
      </c>
      <c r="O916" s="38" t="n">
        <v>62.5349659663465</v>
      </c>
      <c r="P916" s="37" t="n">
        <v>0</v>
      </c>
      <c r="Q916" s="38" t="n">
        <v>0</v>
      </c>
      <c r="R916" s="38" t="n">
        <v>72</v>
      </c>
      <c r="S916" s="37" t="n">
        <v>1</v>
      </c>
    </row>
    <row r="917" customFormat="false" ht="15" hidden="false" customHeight="false" outlineLevel="0" collapsed="false">
      <c r="A917" s="37" t="n">
        <v>0</v>
      </c>
      <c r="B917" s="37" t="n">
        <v>15</v>
      </c>
      <c r="C917" s="37" t="n">
        <v>0</v>
      </c>
      <c r="D917" s="37" t="n">
        <v>10</v>
      </c>
      <c r="E917" s="37" t="n">
        <v>0</v>
      </c>
      <c r="F917" s="37" t="n">
        <v>5</v>
      </c>
      <c r="G917" s="37" t="s">
        <v>195</v>
      </c>
      <c r="H917" s="38" t="n">
        <v>198.672755547619</v>
      </c>
      <c r="I917" s="38" t="n">
        <v>197.034702578735</v>
      </c>
      <c r="J917" s="38" t="n">
        <v>191.712178598671</v>
      </c>
      <c r="K917" s="38" t="n">
        <v>186.536905598573</v>
      </c>
      <c r="L917" s="38" t="n">
        <v>44.5369055985725</v>
      </c>
      <c r="M917" s="38" t="n">
        <v>95.3479871015789</v>
      </c>
      <c r="N917" s="38" t="n">
        <v>87.3652289900024</v>
      </c>
      <c r="O917" s="38" t="n">
        <v>57.1885658379895</v>
      </c>
      <c r="P917" s="37" t="n">
        <v>0</v>
      </c>
      <c r="Q917" s="38" t="n">
        <v>0</v>
      </c>
      <c r="R917" s="38" t="n">
        <v>67.2920805459176</v>
      </c>
      <c r="S917" s="37" t="n">
        <v>0</v>
      </c>
    </row>
    <row r="918" customFormat="false" ht="15" hidden="false" customHeight="false" outlineLevel="0" collapsed="false">
      <c r="A918" s="37" t="n">
        <v>0</v>
      </c>
      <c r="B918" s="37" t="n">
        <v>15</v>
      </c>
      <c r="C918" s="37" t="n">
        <v>0</v>
      </c>
      <c r="D918" s="37" t="n">
        <v>10</v>
      </c>
      <c r="E918" s="37" t="n">
        <v>0</v>
      </c>
      <c r="F918" s="37" t="n">
        <v>5</v>
      </c>
      <c r="G918" s="37" t="s">
        <v>197</v>
      </c>
      <c r="H918" s="38" t="n">
        <v>198.672755547619</v>
      </c>
      <c r="I918" s="38" t="n">
        <v>196.951941104473</v>
      </c>
      <c r="J918" s="38" t="n">
        <v>193.037394254879</v>
      </c>
      <c r="K918" s="38" t="n">
        <v>187.885304580712</v>
      </c>
      <c r="L918" s="38" t="n">
        <v>40.6215756312159</v>
      </c>
      <c r="M918" s="38" t="n">
        <v>94.1667870995627</v>
      </c>
      <c r="N918" s="38" t="n">
        <v>82.3025844269486</v>
      </c>
      <c r="O918" s="38" t="n">
        <v>55.6104554364449</v>
      </c>
      <c r="P918" s="37" t="n">
        <v>0</v>
      </c>
      <c r="Q918" s="38" t="n">
        <v>0</v>
      </c>
      <c r="R918" s="38" t="n">
        <v>72</v>
      </c>
      <c r="S918" s="37" t="n">
        <v>0</v>
      </c>
    </row>
    <row r="919" customFormat="false" ht="15" hidden="false" customHeight="false" outlineLevel="0" collapsed="false">
      <c r="A919" s="37" t="n">
        <v>0</v>
      </c>
      <c r="B919" s="37" t="n">
        <v>15</v>
      </c>
      <c r="C919" s="37" t="n">
        <v>0</v>
      </c>
      <c r="D919" s="37" t="n">
        <v>10</v>
      </c>
      <c r="E919" s="37" t="n">
        <v>0</v>
      </c>
      <c r="F919" s="37" t="n">
        <v>5</v>
      </c>
      <c r="G919" s="37" t="s">
        <v>196</v>
      </c>
      <c r="H919" s="38" t="n">
        <v>198.672755547619</v>
      </c>
      <c r="I919" s="38" t="n">
        <v>196.952991489665</v>
      </c>
      <c r="J919" s="38" t="n">
        <v>187.058382188099</v>
      </c>
      <c r="K919" s="38" t="n">
        <v>191.127682647462</v>
      </c>
      <c r="L919" s="38" t="n">
        <v>37.5721270919064</v>
      </c>
      <c r="M919" s="38" t="n">
        <v>96.7633929979691</v>
      </c>
      <c r="N919" s="38" t="n">
        <v>88.8751735346859</v>
      </c>
      <c r="O919" s="38" t="n">
        <v>58.6685509336418</v>
      </c>
      <c r="P919" s="37" t="n">
        <v>0</v>
      </c>
      <c r="Q919" s="38" t="n">
        <v>0</v>
      </c>
      <c r="R919" s="38" t="n">
        <v>70.7373333333333</v>
      </c>
      <c r="S919" s="37" t="n">
        <v>0</v>
      </c>
    </row>
    <row r="920" customFormat="false" ht="15" hidden="false" customHeight="false" outlineLevel="0" collapsed="false">
      <c r="A920" s="37" t="n">
        <v>0</v>
      </c>
      <c r="B920" s="37" t="n">
        <v>15</v>
      </c>
      <c r="C920" s="37" t="n">
        <v>0</v>
      </c>
      <c r="D920" s="37" t="n">
        <v>10</v>
      </c>
      <c r="E920" s="37" t="n">
        <v>5</v>
      </c>
      <c r="F920" s="37" t="n">
        <v>0</v>
      </c>
      <c r="G920" s="37" t="s">
        <v>188</v>
      </c>
      <c r="H920" s="38" t="n">
        <v>198.692136550525</v>
      </c>
      <c r="I920" s="38" t="n">
        <v>197.205203855173</v>
      </c>
      <c r="J920" s="38" t="n">
        <v>186.918371526014</v>
      </c>
      <c r="K920" s="38" t="n">
        <v>181.214026087355</v>
      </c>
      <c r="L920" s="38" t="n">
        <v>22.8153595541447</v>
      </c>
      <c r="M920" s="38" t="n">
        <v>93.6978497620317</v>
      </c>
      <c r="N920" s="38" t="n">
        <v>62.5544269475436</v>
      </c>
      <c r="O920" s="38" t="n">
        <v>52.4127445588137</v>
      </c>
      <c r="P920" s="37" t="n">
        <v>0</v>
      </c>
      <c r="Q920" s="38" t="n">
        <v>2.18464044585531</v>
      </c>
      <c r="R920" s="38" t="n">
        <v>72</v>
      </c>
      <c r="S920" s="37" t="n">
        <v>0</v>
      </c>
    </row>
    <row r="921" customFormat="false" ht="15" hidden="false" customHeight="false" outlineLevel="0" collapsed="false">
      <c r="A921" s="37" t="n">
        <v>0</v>
      </c>
      <c r="B921" s="37" t="n">
        <v>15</v>
      </c>
      <c r="C921" s="37" t="n">
        <v>0</v>
      </c>
      <c r="D921" s="37" t="n">
        <v>10</v>
      </c>
      <c r="E921" s="37" t="n">
        <v>5</v>
      </c>
      <c r="F921" s="37" t="n">
        <v>0</v>
      </c>
      <c r="G921" s="37" t="s">
        <v>192</v>
      </c>
      <c r="H921" s="38" t="n">
        <v>198.692136550525</v>
      </c>
      <c r="I921" s="38" t="n">
        <v>197.21111032552</v>
      </c>
      <c r="J921" s="38" t="n">
        <v>198.947114064029</v>
      </c>
      <c r="K921" s="38" t="n">
        <v>207.012581349354</v>
      </c>
      <c r="L921" s="38" t="n">
        <v>24.9767472653227</v>
      </c>
      <c r="M921" s="38" t="n">
        <v>95.6040350388412</v>
      </c>
      <c r="N921" s="38" t="n">
        <v>87.3224357547487</v>
      </c>
      <c r="O921" s="38" t="n">
        <v>59.8040945223248</v>
      </c>
      <c r="P921" s="37" t="n">
        <v>0</v>
      </c>
      <c r="Q921" s="38" t="n">
        <v>0.0232527346772962</v>
      </c>
      <c r="R921" s="38" t="n">
        <v>63</v>
      </c>
      <c r="S921" s="37" t="n">
        <v>1</v>
      </c>
    </row>
    <row r="922" customFormat="false" ht="15" hidden="false" customHeight="false" outlineLevel="0" collapsed="false">
      <c r="A922" s="37" t="n">
        <v>0</v>
      </c>
      <c r="B922" s="37" t="n">
        <v>15</v>
      </c>
      <c r="C922" s="37" t="n">
        <v>0</v>
      </c>
      <c r="D922" s="37" t="n">
        <v>10</v>
      </c>
      <c r="E922" s="37" t="n">
        <v>5</v>
      </c>
      <c r="F922" s="37" t="n">
        <v>0</v>
      </c>
      <c r="G922" s="37" t="s">
        <v>195</v>
      </c>
      <c r="H922" s="38" t="n">
        <v>198.692136550525</v>
      </c>
      <c r="I922" s="38" t="n">
        <v>197.301027538131</v>
      </c>
      <c r="J922" s="38" t="n">
        <v>194.716874953471</v>
      </c>
      <c r="K922" s="38" t="n">
        <v>191.962609980382</v>
      </c>
      <c r="L922" s="38" t="n">
        <v>24.9793916893548</v>
      </c>
      <c r="M922" s="38" t="n">
        <v>96.6431949773083</v>
      </c>
      <c r="N922" s="38" t="n">
        <v>82.1593678296704</v>
      </c>
      <c r="O922" s="38" t="n">
        <v>58.1279397765127</v>
      </c>
      <c r="P922" s="37" t="n">
        <v>0</v>
      </c>
      <c r="Q922" s="38" t="n">
        <v>0.0206083106451729</v>
      </c>
      <c r="R922" s="38" t="n">
        <v>67.2738126323968</v>
      </c>
      <c r="S922" s="37" t="n">
        <v>0</v>
      </c>
    </row>
    <row r="923" customFormat="false" ht="15" hidden="false" customHeight="false" outlineLevel="0" collapsed="false">
      <c r="A923" s="37" t="n">
        <v>0</v>
      </c>
      <c r="B923" s="37" t="n">
        <v>15</v>
      </c>
      <c r="C923" s="37" t="n">
        <v>0</v>
      </c>
      <c r="D923" s="37" t="n">
        <v>10</v>
      </c>
      <c r="E923" s="37" t="n">
        <v>5</v>
      </c>
      <c r="F923" s="37" t="n">
        <v>0</v>
      </c>
      <c r="G923" s="37" t="s">
        <v>197</v>
      </c>
      <c r="H923" s="38" t="n">
        <v>198.692136550525</v>
      </c>
      <c r="I923" s="38" t="n">
        <v>197.218023324828</v>
      </c>
      <c r="J923" s="38" t="n">
        <v>196.550590315874</v>
      </c>
      <c r="K923" s="38" t="n">
        <v>194.278377510015</v>
      </c>
      <c r="L923" s="38" t="n">
        <v>24.9540969816057</v>
      </c>
      <c r="M923" s="38" t="n">
        <v>98.7976405801923</v>
      </c>
      <c r="N923" s="38" t="n">
        <v>86.9099574021433</v>
      </c>
      <c r="O923" s="38" t="n">
        <v>60.656786506937</v>
      </c>
      <c r="P923" s="37" t="n">
        <v>0</v>
      </c>
      <c r="Q923" s="38" t="n">
        <v>0.0459030183943128</v>
      </c>
      <c r="R923" s="38" t="n">
        <v>72</v>
      </c>
      <c r="S923" s="37" t="n">
        <v>0</v>
      </c>
    </row>
    <row r="924" customFormat="false" ht="15" hidden="false" customHeight="false" outlineLevel="0" collapsed="false">
      <c r="A924" s="37" t="n">
        <v>0</v>
      </c>
      <c r="B924" s="37" t="n">
        <v>15</v>
      </c>
      <c r="C924" s="37" t="n">
        <v>0</v>
      </c>
      <c r="D924" s="37" t="n">
        <v>10</v>
      </c>
      <c r="E924" s="37" t="n">
        <v>5</v>
      </c>
      <c r="F924" s="37" t="n">
        <v>0</v>
      </c>
      <c r="G924" s="37" t="s">
        <v>196</v>
      </c>
      <c r="H924" s="38" t="n">
        <v>198.692136550525</v>
      </c>
      <c r="I924" s="38" t="n">
        <v>197.210861121233</v>
      </c>
      <c r="J924" s="38" t="n">
        <v>189.512457988313</v>
      </c>
      <c r="K924" s="38" t="n">
        <v>195.837695560277</v>
      </c>
      <c r="L924" s="38" t="n">
        <v>24.9720443126364</v>
      </c>
      <c r="M924" s="38" t="n">
        <v>98.6832590089917</v>
      </c>
      <c r="N924" s="38" t="n">
        <v>86.3623109737182</v>
      </c>
      <c r="O924" s="38" t="n">
        <v>57.8007806339464</v>
      </c>
      <c r="P924" s="37" t="n">
        <v>0</v>
      </c>
      <c r="Q924" s="38" t="n">
        <v>0.0279556873636295</v>
      </c>
      <c r="R924" s="38" t="n">
        <v>70.604</v>
      </c>
      <c r="S924" s="37" t="n">
        <v>0</v>
      </c>
    </row>
    <row r="925" customFormat="false" ht="15" hidden="false" customHeight="false" outlineLevel="0" collapsed="false">
      <c r="A925" s="37" t="n">
        <v>0</v>
      </c>
      <c r="B925" s="37" t="n">
        <v>15</v>
      </c>
      <c r="C925" s="37" t="n">
        <v>0</v>
      </c>
      <c r="D925" s="37" t="n">
        <v>15</v>
      </c>
      <c r="E925" s="37" t="n">
        <v>0</v>
      </c>
      <c r="F925" s="37" t="n">
        <v>0</v>
      </c>
      <c r="G925" s="37" t="s">
        <v>188</v>
      </c>
      <c r="H925" s="38" t="n">
        <v>198.827970705119</v>
      </c>
      <c r="I925" s="38" t="n">
        <v>197.585434271943</v>
      </c>
      <c r="J925" s="38" t="n">
        <v>186.509646068129</v>
      </c>
      <c r="K925" s="38" t="n">
        <v>174.008392616191</v>
      </c>
      <c r="L925" s="38" t="n">
        <v>20.7321587995782</v>
      </c>
      <c r="M925" s="38" t="n">
        <v>92.6692624629563</v>
      </c>
      <c r="N925" s="38" t="n">
        <v>56.8721172596614</v>
      </c>
      <c r="O925" s="38" t="n">
        <v>51.2386771011088</v>
      </c>
      <c r="P925" s="37" t="n">
        <v>0</v>
      </c>
      <c r="Q925" s="38" t="n">
        <v>4.2678412004218</v>
      </c>
      <c r="R925" s="38" t="n">
        <v>72</v>
      </c>
      <c r="S925" s="37" t="n">
        <v>0</v>
      </c>
    </row>
    <row r="926" customFormat="false" ht="15" hidden="false" customHeight="false" outlineLevel="0" collapsed="false">
      <c r="A926" s="37" t="n">
        <v>0</v>
      </c>
      <c r="B926" s="37" t="n">
        <v>15</v>
      </c>
      <c r="C926" s="37" t="n">
        <v>0</v>
      </c>
      <c r="D926" s="37" t="n">
        <v>15</v>
      </c>
      <c r="E926" s="37" t="n">
        <v>0</v>
      </c>
      <c r="F926" s="37" t="n">
        <v>0</v>
      </c>
      <c r="G926" s="37" t="s">
        <v>192</v>
      </c>
      <c r="H926" s="38" t="n">
        <v>198.827970705119</v>
      </c>
      <c r="I926" s="38" t="n">
        <v>197.589747862508</v>
      </c>
      <c r="J926" s="38" t="n">
        <v>198.654248714002</v>
      </c>
      <c r="K926" s="38" t="n">
        <v>200.248052611232</v>
      </c>
      <c r="L926" s="38" t="n">
        <v>24.9583913015352</v>
      </c>
      <c r="M926" s="38" t="n">
        <v>94.6464175337693</v>
      </c>
      <c r="N926" s="38" t="n">
        <v>82.5445291683857</v>
      </c>
      <c r="O926" s="38" t="n">
        <v>58.9722516742941</v>
      </c>
      <c r="P926" s="37" t="n">
        <v>0</v>
      </c>
      <c r="Q926" s="38" t="n">
        <v>0.0416086984648416</v>
      </c>
      <c r="R926" s="38" t="n">
        <v>63</v>
      </c>
      <c r="S926" s="37" t="n">
        <v>1</v>
      </c>
    </row>
    <row r="927" customFormat="false" ht="15" hidden="false" customHeight="false" outlineLevel="0" collapsed="false">
      <c r="A927" s="37" t="n">
        <v>0</v>
      </c>
      <c r="B927" s="37" t="n">
        <v>15</v>
      </c>
      <c r="C927" s="37" t="n">
        <v>0</v>
      </c>
      <c r="D927" s="37" t="n">
        <v>15</v>
      </c>
      <c r="E927" s="37" t="n">
        <v>0</v>
      </c>
      <c r="F927" s="37" t="n">
        <v>0</v>
      </c>
      <c r="G927" s="37" t="s">
        <v>195</v>
      </c>
      <c r="H927" s="38" t="n">
        <v>198.827970705119</v>
      </c>
      <c r="I927" s="38" t="n">
        <v>197.725913516407</v>
      </c>
      <c r="J927" s="38" t="n">
        <v>194.920450578686</v>
      </c>
      <c r="K927" s="38" t="n">
        <v>185.752055657178</v>
      </c>
      <c r="L927" s="38" t="n">
        <v>24.9678549323509</v>
      </c>
      <c r="M927" s="38" t="n">
        <v>96.5586367334804</v>
      </c>
      <c r="N927" s="38" t="n">
        <v>77.9335186492503</v>
      </c>
      <c r="O927" s="38" t="n">
        <v>57.6342943945365</v>
      </c>
      <c r="P927" s="37" t="n">
        <v>0</v>
      </c>
      <c r="Q927" s="38" t="n">
        <v>0.0321450676491111</v>
      </c>
      <c r="R927" s="38" t="n">
        <v>67.36</v>
      </c>
      <c r="S927" s="37" t="n">
        <v>0</v>
      </c>
    </row>
    <row r="928" customFormat="false" ht="15" hidden="false" customHeight="false" outlineLevel="0" collapsed="false">
      <c r="A928" s="37" t="n">
        <v>0</v>
      </c>
      <c r="B928" s="37" t="n">
        <v>15</v>
      </c>
      <c r="C928" s="37" t="n">
        <v>0</v>
      </c>
      <c r="D928" s="37" t="n">
        <v>15</v>
      </c>
      <c r="E928" s="37" t="n">
        <v>0</v>
      </c>
      <c r="F928" s="37" t="n">
        <v>0</v>
      </c>
      <c r="G928" s="37" t="s">
        <v>197</v>
      </c>
      <c r="H928" s="38" t="n">
        <v>198.827970705119</v>
      </c>
      <c r="I928" s="38" t="n">
        <v>197.58761190657</v>
      </c>
      <c r="J928" s="38" t="n">
        <v>193.204873957591</v>
      </c>
      <c r="K928" s="38" t="n">
        <v>182.807531075795</v>
      </c>
      <c r="L928" s="38" t="n">
        <v>24.9458667853559</v>
      </c>
      <c r="M928" s="38" t="n">
        <v>94.4725991404107</v>
      </c>
      <c r="N928" s="38" t="n">
        <v>63.7688336738204</v>
      </c>
      <c r="O928" s="38" t="n">
        <v>53.9612327752465</v>
      </c>
      <c r="P928" s="37" t="n">
        <v>0</v>
      </c>
      <c r="Q928" s="38" t="n">
        <v>0.0541332146441107</v>
      </c>
      <c r="R928" s="38" t="n">
        <v>72</v>
      </c>
      <c r="S928" s="37" t="n">
        <v>0</v>
      </c>
    </row>
    <row r="929" customFormat="false" ht="15" hidden="false" customHeight="false" outlineLevel="0" collapsed="false">
      <c r="A929" s="37" t="n">
        <v>0</v>
      </c>
      <c r="B929" s="37" t="n">
        <v>15</v>
      </c>
      <c r="C929" s="37" t="n">
        <v>0</v>
      </c>
      <c r="D929" s="37" t="n">
        <v>15</v>
      </c>
      <c r="E929" s="37" t="n">
        <v>0</v>
      </c>
      <c r="F929" s="37" t="n">
        <v>0</v>
      </c>
      <c r="G929" s="37" t="s">
        <v>196</v>
      </c>
      <c r="H929" s="38" t="n">
        <v>198.827970705119</v>
      </c>
      <c r="I929" s="38" t="n">
        <v>197.588688679253</v>
      </c>
      <c r="J929" s="38" t="n">
        <v>188.990363146604</v>
      </c>
      <c r="K929" s="38" t="n">
        <v>188.452412388716</v>
      </c>
      <c r="L929" s="38" t="n">
        <v>24.9552884765459</v>
      </c>
      <c r="M929" s="38" t="n">
        <v>97.3603522173921</v>
      </c>
      <c r="N929" s="38" t="n">
        <v>78.90765208393</v>
      </c>
      <c r="O929" s="38" t="n">
        <v>55.3488120943823</v>
      </c>
      <c r="P929" s="37" t="n">
        <v>0</v>
      </c>
      <c r="Q929" s="38" t="n">
        <v>0.0447115234541116</v>
      </c>
      <c r="R929" s="38" t="n">
        <v>70.7373333333333</v>
      </c>
      <c r="S929" s="37" t="n">
        <v>0</v>
      </c>
    </row>
    <row r="930" customFormat="false" ht="15" hidden="false" customHeight="false" outlineLevel="0" collapsed="false">
      <c r="A930" s="37" t="n">
        <v>0</v>
      </c>
      <c r="B930" s="37" t="n">
        <v>15</v>
      </c>
      <c r="C930" s="37" t="n">
        <v>5</v>
      </c>
      <c r="D930" s="37" t="n">
        <v>0</v>
      </c>
      <c r="E930" s="37" t="n">
        <v>0</v>
      </c>
      <c r="F930" s="37" t="n">
        <v>10</v>
      </c>
      <c r="G930" s="37" t="s">
        <v>188</v>
      </c>
      <c r="H930" s="38" t="n">
        <v>198.407836770836</v>
      </c>
      <c r="I930" s="38" t="n">
        <v>197.006196927588</v>
      </c>
      <c r="J930" s="38" t="n">
        <v>198.50579081561</v>
      </c>
      <c r="K930" s="38" t="n">
        <v>213.095405644385</v>
      </c>
      <c r="L930" s="38" t="n">
        <v>88.6593555280261</v>
      </c>
      <c r="M930" s="38" t="n">
        <v>96.1548546733912</v>
      </c>
      <c r="N930" s="38" t="n">
        <v>103.169210509867</v>
      </c>
      <c r="O930" s="38" t="n">
        <v>62.04855875688</v>
      </c>
      <c r="P930" s="37" t="n">
        <v>0</v>
      </c>
      <c r="Q930" s="38" t="n">
        <v>0</v>
      </c>
      <c r="R930" s="38" t="n">
        <v>70.5</v>
      </c>
      <c r="S930" s="37" t="n">
        <v>0</v>
      </c>
    </row>
    <row r="931" customFormat="false" ht="15" hidden="false" customHeight="false" outlineLevel="0" collapsed="false">
      <c r="A931" s="37" t="n">
        <v>0</v>
      </c>
      <c r="B931" s="37" t="n">
        <v>15</v>
      </c>
      <c r="C931" s="37" t="n">
        <v>5</v>
      </c>
      <c r="D931" s="37" t="n">
        <v>0</v>
      </c>
      <c r="E931" s="37" t="n">
        <v>0</v>
      </c>
      <c r="F931" s="37" t="n">
        <v>10</v>
      </c>
      <c r="G931" s="37" t="s">
        <v>192</v>
      </c>
      <c r="H931" s="38" t="n">
        <v>198.407836770836</v>
      </c>
      <c r="I931" s="38" t="n">
        <v>197.014751371781</v>
      </c>
      <c r="J931" s="38" t="n">
        <v>211.244522675105</v>
      </c>
      <c r="K931" s="38" t="n">
        <v>223.274724398048</v>
      </c>
      <c r="L931" s="38" t="n">
        <v>90.6687934142693</v>
      </c>
      <c r="M931" s="38" t="n">
        <v>98.1779691143929</v>
      </c>
      <c r="N931" s="38" t="n">
        <v>122.239212430097</v>
      </c>
      <c r="O931" s="38" t="n">
        <v>69.0410411283165</v>
      </c>
      <c r="P931" s="37" t="n">
        <v>0</v>
      </c>
      <c r="Q931" s="38" t="n">
        <v>0</v>
      </c>
      <c r="R931" s="38" t="n">
        <v>70.5</v>
      </c>
      <c r="S931" s="37" t="n">
        <v>1</v>
      </c>
    </row>
    <row r="932" customFormat="false" ht="15" hidden="false" customHeight="false" outlineLevel="0" collapsed="false">
      <c r="A932" s="37" t="n">
        <v>0</v>
      </c>
      <c r="B932" s="37" t="n">
        <v>15</v>
      </c>
      <c r="C932" s="37" t="n">
        <v>5</v>
      </c>
      <c r="D932" s="37" t="n">
        <v>0</v>
      </c>
      <c r="E932" s="37" t="n">
        <v>0</v>
      </c>
      <c r="F932" s="37" t="n">
        <v>10</v>
      </c>
      <c r="G932" s="37" t="s">
        <v>195</v>
      </c>
      <c r="H932" s="38" t="n">
        <v>198.407836770836</v>
      </c>
      <c r="I932" s="38" t="n">
        <v>197.014525483652</v>
      </c>
      <c r="J932" s="38" t="n">
        <v>197.022221486208</v>
      </c>
      <c r="K932" s="38" t="n">
        <v>207.832141583972</v>
      </c>
      <c r="L932" s="38" t="n">
        <v>88.963934988183</v>
      </c>
      <c r="M932" s="38" t="n">
        <v>96.1637496792043</v>
      </c>
      <c r="N932" s="38" t="n">
        <v>98.7734852004048</v>
      </c>
      <c r="O932" s="38" t="n">
        <v>59.593598973879</v>
      </c>
      <c r="P932" s="37" t="n">
        <v>0</v>
      </c>
      <c r="Q932" s="38" t="n">
        <v>0</v>
      </c>
      <c r="R932" s="38" t="n">
        <v>68.5145380212635</v>
      </c>
      <c r="S932" s="37" t="n">
        <v>0</v>
      </c>
    </row>
    <row r="933" customFormat="false" ht="15" hidden="false" customHeight="false" outlineLevel="0" collapsed="false">
      <c r="A933" s="37" t="n">
        <v>0</v>
      </c>
      <c r="B933" s="37" t="n">
        <v>15</v>
      </c>
      <c r="C933" s="37" t="n">
        <v>5</v>
      </c>
      <c r="D933" s="37" t="n">
        <v>0</v>
      </c>
      <c r="E933" s="37" t="n">
        <v>0</v>
      </c>
      <c r="F933" s="37" t="n">
        <v>10</v>
      </c>
      <c r="G933" s="37" t="s">
        <v>197</v>
      </c>
      <c r="H933" s="38" t="n">
        <v>198.407836770836</v>
      </c>
      <c r="I933" s="38" t="n">
        <v>197.005462189324</v>
      </c>
      <c r="J933" s="38" t="n">
        <v>200.616217640191</v>
      </c>
      <c r="K933" s="38" t="n">
        <v>215.935444991155</v>
      </c>
      <c r="L933" s="38" t="n">
        <v>93.3343437062822</v>
      </c>
      <c r="M933" s="38" t="n">
        <v>95.6454663474761</v>
      </c>
      <c r="N933" s="38" t="n">
        <v>100.164712123368</v>
      </c>
      <c r="O933" s="38" t="n">
        <v>61.293783039967</v>
      </c>
      <c r="P933" s="37" t="n">
        <v>0</v>
      </c>
      <c r="Q933" s="38" t="n">
        <v>0</v>
      </c>
      <c r="R933" s="38" t="n">
        <v>70.5</v>
      </c>
      <c r="S933" s="37" t="n">
        <v>0</v>
      </c>
    </row>
    <row r="934" customFormat="false" ht="15" hidden="false" customHeight="false" outlineLevel="0" collapsed="false">
      <c r="A934" s="37" t="n">
        <v>0</v>
      </c>
      <c r="B934" s="37" t="n">
        <v>15</v>
      </c>
      <c r="C934" s="37" t="n">
        <v>5</v>
      </c>
      <c r="D934" s="37" t="n">
        <v>0</v>
      </c>
      <c r="E934" s="37" t="n">
        <v>0</v>
      </c>
      <c r="F934" s="37" t="n">
        <v>10</v>
      </c>
      <c r="G934" s="37" t="s">
        <v>196</v>
      </c>
      <c r="H934" s="38" t="n">
        <v>198.407836770836</v>
      </c>
      <c r="I934" s="38" t="n">
        <v>197.011657397562</v>
      </c>
      <c r="J934" s="38" t="n">
        <v>201.465857230102</v>
      </c>
      <c r="K934" s="38" t="n">
        <v>217.269701259469</v>
      </c>
      <c r="L934" s="38" t="n">
        <v>101.181862006976</v>
      </c>
      <c r="M934" s="38" t="n">
        <v>98.0458937498516</v>
      </c>
      <c r="N934" s="38" t="n">
        <v>109.306521357872</v>
      </c>
      <c r="O934" s="38" t="n">
        <v>64.3067923948995</v>
      </c>
      <c r="P934" s="37" t="n">
        <v>0</v>
      </c>
      <c r="Q934" s="38" t="n">
        <v>0</v>
      </c>
      <c r="R934" s="38" t="n">
        <v>69.5922519127352</v>
      </c>
      <c r="S934" s="37" t="n">
        <v>0</v>
      </c>
    </row>
    <row r="935" customFormat="false" ht="15" hidden="false" customHeight="false" outlineLevel="0" collapsed="false">
      <c r="A935" s="37" t="n">
        <v>0</v>
      </c>
      <c r="B935" s="37" t="n">
        <v>15</v>
      </c>
      <c r="C935" s="37" t="n">
        <v>5</v>
      </c>
      <c r="D935" s="37" t="n">
        <v>0</v>
      </c>
      <c r="E935" s="37" t="n">
        <v>5</v>
      </c>
      <c r="F935" s="37" t="n">
        <v>5</v>
      </c>
      <c r="G935" s="37" t="s">
        <v>188</v>
      </c>
      <c r="H935" s="38" t="n">
        <v>198.429239506084</v>
      </c>
      <c r="I935" s="38" t="n">
        <v>197.169838243362</v>
      </c>
      <c r="J935" s="38" t="n">
        <v>200.407997872414</v>
      </c>
      <c r="K935" s="38" t="n">
        <v>216.250999785149</v>
      </c>
      <c r="L935" s="38" t="n">
        <v>51.8984687923562</v>
      </c>
      <c r="M935" s="38" t="n">
        <v>97.2151146258482</v>
      </c>
      <c r="N935" s="38" t="n">
        <v>108.682149942719</v>
      </c>
      <c r="O935" s="38" t="n">
        <v>61.6333958144691</v>
      </c>
      <c r="P935" s="37" t="n">
        <v>0</v>
      </c>
      <c r="Q935" s="38" t="n">
        <v>0</v>
      </c>
      <c r="R935" s="38" t="n">
        <v>70.5</v>
      </c>
      <c r="S935" s="37" t="n">
        <v>0</v>
      </c>
    </row>
    <row r="936" customFormat="false" ht="15" hidden="false" customHeight="false" outlineLevel="0" collapsed="false">
      <c r="A936" s="37" t="n">
        <v>0</v>
      </c>
      <c r="B936" s="37" t="n">
        <v>15</v>
      </c>
      <c r="C936" s="37" t="n">
        <v>5</v>
      </c>
      <c r="D936" s="37" t="n">
        <v>0</v>
      </c>
      <c r="E936" s="37" t="n">
        <v>5</v>
      </c>
      <c r="F936" s="37" t="n">
        <v>5</v>
      </c>
      <c r="G936" s="37" t="s">
        <v>192</v>
      </c>
      <c r="H936" s="38" t="n">
        <v>198.429239506084</v>
      </c>
      <c r="I936" s="38" t="n">
        <v>197.18002374099</v>
      </c>
      <c r="J936" s="38" t="n">
        <v>213.220435922124</v>
      </c>
      <c r="K936" s="38" t="n">
        <v>226.422779200551</v>
      </c>
      <c r="L936" s="38" t="n">
        <v>53.7191162043229</v>
      </c>
      <c r="M936" s="38" t="n">
        <v>99.1124872561952</v>
      </c>
      <c r="N936" s="38" t="n">
        <v>127.763211752852</v>
      </c>
      <c r="O936" s="38" t="n">
        <v>70.146772625298</v>
      </c>
      <c r="P936" s="37" t="n">
        <v>0</v>
      </c>
      <c r="Q936" s="38" t="n">
        <v>0</v>
      </c>
      <c r="R936" s="38" t="n">
        <v>70.5</v>
      </c>
      <c r="S936" s="37" t="n">
        <v>1</v>
      </c>
    </row>
    <row r="937" customFormat="false" ht="15" hidden="false" customHeight="false" outlineLevel="0" collapsed="false">
      <c r="A937" s="37" t="n">
        <v>0</v>
      </c>
      <c r="B937" s="37" t="n">
        <v>15</v>
      </c>
      <c r="C937" s="37" t="n">
        <v>5</v>
      </c>
      <c r="D937" s="37" t="n">
        <v>0</v>
      </c>
      <c r="E937" s="37" t="n">
        <v>5</v>
      </c>
      <c r="F937" s="37" t="n">
        <v>5</v>
      </c>
      <c r="G937" s="37" t="s">
        <v>195</v>
      </c>
      <c r="H937" s="38" t="n">
        <v>198.429239506084</v>
      </c>
      <c r="I937" s="38" t="n">
        <v>197.181408902561</v>
      </c>
      <c r="J937" s="38" t="n">
        <v>198.918942874009</v>
      </c>
      <c r="K937" s="38" t="n">
        <v>210.97129841437</v>
      </c>
      <c r="L937" s="38" t="n">
        <v>51.996557701682</v>
      </c>
      <c r="M937" s="38" t="n">
        <v>97.2320886739671</v>
      </c>
      <c r="N937" s="38" t="n">
        <v>104.409780972596</v>
      </c>
      <c r="O937" s="38" t="n">
        <v>59.4547857631519</v>
      </c>
      <c r="P937" s="37" t="n">
        <v>0</v>
      </c>
      <c r="Q937" s="38" t="n">
        <v>0</v>
      </c>
      <c r="R937" s="38" t="n">
        <v>68.4825777861935</v>
      </c>
      <c r="S937" s="37" t="n">
        <v>0</v>
      </c>
    </row>
    <row r="938" customFormat="false" ht="15" hidden="false" customHeight="false" outlineLevel="0" collapsed="false">
      <c r="A938" s="37" t="n">
        <v>0</v>
      </c>
      <c r="B938" s="37" t="n">
        <v>15</v>
      </c>
      <c r="C938" s="37" t="n">
        <v>5</v>
      </c>
      <c r="D938" s="37" t="n">
        <v>0</v>
      </c>
      <c r="E938" s="37" t="n">
        <v>5</v>
      </c>
      <c r="F938" s="37" t="n">
        <v>5</v>
      </c>
      <c r="G938" s="37" t="s">
        <v>197</v>
      </c>
      <c r="H938" s="38" t="n">
        <v>198.429239506084</v>
      </c>
      <c r="I938" s="38" t="n">
        <v>197.179440020795</v>
      </c>
      <c r="J938" s="38" t="n">
        <v>203.224217424367</v>
      </c>
      <c r="K938" s="38" t="n">
        <v>220.186637416029</v>
      </c>
      <c r="L938" s="38" t="n">
        <v>58.0990047871246</v>
      </c>
      <c r="M938" s="38" t="n">
        <v>100.014619774863</v>
      </c>
      <c r="N938" s="38" t="n">
        <v>115.092306587342</v>
      </c>
      <c r="O938" s="38" t="n">
        <v>65.0693416021093</v>
      </c>
      <c r="P938" s="37" t="n">
        <v>0</v>
      </c>
      <c r="Q938" s="38" t="n">
        <v>0</v>
      </c>
      <c r="R938" s="38" t="n">
        <v>70.5</v>
      </c>
      <c r="S938" s="37" t="n">
        <v>0</v>
      </c>
    </row>
    <row r="939" customFormat="false" ht="15" hidden="false" customHeight="false" outlineLevel="0" collapsed="false">
      <c r="A939" s="37" t="n">
        <v>0</v>
      </c>
      <c r="B939" s="37" t="n">
        <v>15</v>
      </c>
      <c r="C939" s="37" t="n">
        <v>5</v>
      </c>
      <c r="D939" s="37" t="n">
        <v>0</v>
      </c>
      <c r="E939" s="37" t="n">
        <v>5</v>
      </c>
      <c r="F939" s="37" t="n">
        <v>5</v>
      </c>
      <c r="G939" s="37" t="s">
        <v>196</v>
      </c>
      <c r="H939" s="38" t="n">
        <v>198.429239506084</v>
      </c>
      <c r="I939" s="38" t="n">
        <v>197.177710595721</v>
      </c>
      <c r="J939" s="38" t="n">
        <v>203.277930293213</v>
      </c>
      <c r="K939" s="38" t="n">
        <v>220.357281605107</v>
      </c>
      <c r="L939" s="38" t="n">
        <v>63.8350853999277</v>
      </c>
      <c r="M939" s="38" t="n">
        <v>99.7427793022043</v>
      </c>
      <c r="N939" s="38" t="n">
        <v>116.393556985113</v>
      </c>
      <c r="O939" s="38" t="n">
        <v>64.9372271798753</v>
      </c>
      <c r="P939" s="37" t="n">
        <v>0</v>
      </c>
      <c r="Q939" s="38" t="n">
        <v>0</v>
      </c>
      <c r="R939" s="38" t="n">
        <v>69.4880062440903</v>
      </c>
      <c r="S939" s="37" t="n">
        <v>0</v>
      </c>
    </row>
    <row r="940" customFormat="false" ht="15" hidden="false" customHeight="false" outlineLevel="0" collapsed="false">
      <c r="A940" s="37" t="n">
        <v>0</v>
      </c>
      <c r="B940" s="37" t="n">
        <v>15</v>
      </c>
      <c r="C940" s="37" t="n">
        <v>5</v>
      </c>
      <c r="D940" s="37" t="n">
        <v>0</v>
      </c>
      <c r="E940" s="37" t="n">
        <v>10</v>
      </c>
      <c r="F940" s="37" t="n">
        <v>0</v>
      </c>
      <c r="G940" s="37" t="s">
        <v>188</v>
      </c>
      <c r="H940" s="38" t="n">
        <v>198.447992891188</v>
      </c>
      <c r="I940" s="38" t="n">
        <v>197.344835147387</v>
      </c>
      <c r="J940" s="38" t="n">
        <v>201.679343874584</v>
      </c>
      <c r="K940" s="38" t="n">
        <v>218.695411046331</v>
      </c>
      <c r="L940" s="38" t="n">
        <v>25.7376358319654</v>
      </c>
      <c r="M940" s="38" t="n">
        <v>98.1741074284625</v>
      </c>
      <c r="N940" s="38" t="n">
        <v>99.5947645126755</v>
      </c>
      <c r="O940" s="38" t="n">
        <v>58.1336403230683</v>
      </c>
      <c r="P940" s="37" t="n">
        <v>0</v>
      </c>
      <c r="Q940" s="38" t="n">
        <v>0</v>
      </c>
      <c r="R940" s="38" t="n">
        <v>70.5</v>
      </c>
      <c r="S940" s="37" t="n">
        <v>0</v>
      </c>
    </row>
    <row r="941" customFormat="false" ht="15" hidden="false" customHeight="false" outlineLevel="0" collapsed="false">
      <c r="A941" s="37" t="n">
        <v>0</v>
      </c>
      <c r="B941" s="37" t="n">
        <v>15</v>
      </c>
      <c r="C941" s="37" t="n">
        <v>5</v>
      </c>
      <c r="D941" s="37" t="n">
        <v>0</v>
      </c>
      <c r="E941" s="37" t="n">
        <v>10</v>
      </c>
      <c r="F941" s="37" t="n">
        <v>0</v>
      </c>
      <c r="G941" s="37" t="s">
        <v>192</v>
      </c>
      <c r="H941" s="38" t="n">
        <v>198.447992891188</v>
      </c>
      <c r="I941" s="38" t="n">
        <v>197.356649531258</v>
      </c>
      <c r="J941" s="38" t="n">
        <v>212.304636097392</v>
      </c>
      <c r="K941" s="38" t="n">
        <v>241.364787336738</v>
      </c>
      <c r="L941" s="38" t="n">
        <v>80.1020761935701</v>
      </c>
      <c r="M941" s="38" t="n">
        <v>99.9493488097977</v>
      </c>
      <c r="N941" s="38" t="n">
        <v>129.478381546357</v>
      </c>
      <c r="O941" s="38" t="n">
        <v>65.3387479122108</v>
      </c>
      <c r="P941" s="37" t="n">
        <v>0</v>
      </c>
      <c r="Q941" s="38" t="n">
        <v>0</v>
      </c>
      <c r="R941" s="38" t="n">
        <v>61.5</v>
      </c>
      <c r="S941" s="37" t="n">
        <v>1</v>
      </c>
    </row>
    <row r="942" customFormat="false" ht="15" hidden="false" customHeight="false" outlineLevel="0" collapsed="false">
      <c r="A942" s="37" t="n">
        <v>0</v>
      </c>
      <c r="B942" s="37" t="n">
        <v>15</v>
      </c>
      <c r="C942" s="37" t="n">
        <v>5</v>
      </c>
      <c r="D942" s="37" t="n">
        <v>0</v>
      </c>
      <c r="E942" s="37" t="n">
        <v>10</v>
      </c>
      <c r="F942" s="37" t="n">
        <v>0</v>
      </c>
      <c r="G942" s="37" t="s">
        <v>195</v>
      </c>
      <c r="H942" s="38" t="n">
        <v>198.447992891188</v>
      </c>
      <c r="I942" s="38" t="n">
        <v>197.358750445676</v>
      </c>
      <c r="J942" s="38" t="n">
        <v>200.23426330518</v>
      </c>
      <c r="K942" s="38" t="n">
        <v>213.414933429124</v>
      </c>
      <c r="L942" s="38" t="n">
        <v>25.6120149762242</v>
      </c>
      <c r="M942" s="38" t="n">
        <v>98.1957146694268</v>
      </c>
      <c r="N942" s="38" t="n">
        <v>95.5553760800267</v>
      </c>
      <c r="O942" s="38" t="n">
        <v>56.2540833940625</v>
      </c>
      <c r="P942" s="37" t="n">
        <v>0</v>
      </c>
      <c r="Q942" s="38" t="n">
        <v>0</v>
      </c>
      <c r="R942" s="38" t="n">
        <v>68.45912446413</v>
      </c>
      <c r="S942" s="37" t="n">
        <v>0</v>
      </c>
    </row>
    <row r="943" customFormat="false" ht="15" hidden="false" customHeight="false" outlineLevel="0" collapsed="false">
      <c r="A943" s="37" t="n">
        <v>0</v>
      </c>
      <c r="B943" s="37" t="n">
        <v>15</v>
      </c>
      <c r="C943" s="37" t="n">
        <v>5</v>
      </c>
      <c r="D943" s="37" t="n">
        <v>0</v>
      </c>
      <c r="E943" s="37" t="n">
        <v>10</v>
      </c>
      <c r="F943" s="37" t="n">
        <v>0</v>
      </c>
      <c r="G943" s="37" t="s">
        <v>197</v>
      </c>
      <c r="H943" s="38" t="n">
        <v>198.447992891188</v>
      </c>
      <c r="I943" s="38" t="n">
        <v>197.374283931083</v>
      </c>
      <c r="J943" s="38" t="n">
        <v>205.658278087245</v>
      </c>
      <c r="K943" s="38" t="n">
        <v>224.214785855573</v>
      </c>
      <c r="L943" s="38" t="n">
        <v>37.7835691711994</v>
      </c>
      <c r="M943" s="38" t="n">
        <v>103.540931347594</v>
      </c>
      <c r="N943" s="38" t="n">
        <v>125.305581213592</v>
      </c>
      <c r="O943" s="38" t="n">
        <v>64.1833529245492</v>
      </c>
      <c r="P943" s="37" t="n">
        <v>0</v>
      </c>
      <c r="Q943" s="38" t="n">
        <v>0</v>
      </c>
      <c r="R943" s="38" t="n">
        <v>70.5</v>
      </c>
      <c r="S943" s="37" t="n">
        <v>0</v>
      </c>
    </row>
    <row r="944" customFormat="false" ht="15" hidden="false" customHeight="false" outlineLevel="0" collapsed="false">
      <c r="A944" s="37" t="n">
        <v>0</v>
      </c>
      <c r="B944" s="37" t="n">
        <v>15</v>
      </c>
      <c r="C944" s="37" t="n">
        <v>5</v>
      </c>
      <c r="D944" s="37" t="n">
        <v>0</v>
      </c>
      <c r="E944" s="37" t="n">
        <v>10</v>
      </c>
      <c r="F944" s="37" t="n">
        <v>0</v>
      </c>
      <c r="G944" s="37" t="s">
        <v>196</v>
      </c>
      <c r="H944" s="38" t="n">
        <v>198.447992891188</v>
      </c>
      <c r="I944" s="38" t="n">
        <v>197.356055633395</v>
      </c>
      <c r="J944" s="38" t="n">
        <v>204.730572103063</v>
      </c>
      <c r="K944" s="38" t="n">
        <v>223.048946277092</v>
      </c>
      <c r="L944" s="38" t="n">
        <v>37.0177828319124</v>
      </c>
      <c r="M944" s="38" t="n">
        <v>101.185505292434</v>
      </c>
      <c r="N944" s="38" t="n">
        <v>119.12663416047</v>
      </c>
      <c r="O944" s="38" t="n">
        <v>62.3448400447338</v>
      </c>
      <c r="P944" s="37" t="n">
        <v>0</v>
      </c>
      <c r="Q944" s="38" t="n">
        <v>0</v>
      </c>
      <c r="R944" s="38" t="n">
        <v>69.472520773157</v>
      </c>
      <c r="S944" s="37" t="n">
        <v>0</v>
      </c>
    </row>
    <row r="945" customFormat="false" ht="15" hidden="false" customHeight="false" outlineLevel="0" collapsed="false">
      <c r="A945" s="37" t="n">
        <v>0</v>
      </c>
      <c r="B945" s="37" t="n">
        <v>15</v>
      </c>
      <c r="C945" s="37" t="n">
        <v>5</v>
      </c>
      <c r="D945" s="37" t="n">
        <v>5</v>
      </c>
      <c r="E945" s="37" t="n">
        <v>0</v>
      </c>
      <c r="F945" s="37" t="n">
        <v>5</v>
      </c>
      <c r="G945" s="37" t="s">
        <v>188</v>
      </c>
      <c r="H945" s="38" t="n">
        <v>198.612934744442</v>
      </c>
      <c r="I945" s="38" t="n">
        <v>198.41225600805</v>
      </c>
      <c r="J945" s="38" t="n">
        <v>207.493945696194</v>
      </c>
      <c r="K945" s="38" t="n">
        <v>217.921035259655</v>
      </c>
      <c r="L945" s="38" t="n">
        <v>54.3946772067886</v>
      </c>
      <c r="M945" s="38" t="n">
        <v>97.9304442025751</v>
      </c>
      <c r="N945" s="38" t="n">
        <v>113.291865861186</v>
      </c>
      <c r="O945" s="38" t="n">
        <v>67.5597002312208</v>
      </c>
      <c r="P945" s="37" t="n">
        <v>0</v>
      </c>
      <c r="Q945" s="38" t="n">
        <v>0</v>
      </c>
      <c r="R945" s="38" t="n">
        <v>72</v>
      </c>
      <c r="S945" s="37" t="n">
        <v>0</v>
      </c>
    </row>
    <row r="946" customFormat="false" ht="15" hidden="false" customHeight="false" outlineLevel="0" collapsed="false">
      <c r="A946" s="37" t="n">
        <v>0</v>
      </c>
      <c r="B946" s="37" t="n">
        <v>15</v>
      </c>
      <c r="C946" s="37" t="n">
        <v>5</v>
      </c>
      <c r="D946" s="37" t="n">
        <v>5</v>
      </c>
      <c r="E946" s="37" t="n">
        <v>0</v>
      </c>
      <c r="F946" s="37" t="n">
        <v>5</v>
      </c>
      <c r="G946" s="37" t="s">
        <v>192</v>
      </c>
      <c r="H946" s="38" t="n">
        <v>198.612934744442</v>
      </c>
      <c r="I946" s="38" t="n">
        <v>198.424192946553</v>
      </c>
      <c r="J946" s="38" t="n">
        <v>220.202893440737</v>
      </c>
      <c r="K946" s="38" t="n">
        <v>227.535618124333</v>
      </c>
      <c r="L946" s="38" t="n">
        <v>56.0333430766066</v>
      </c>
      <c r="M946" s="38" t="n">
        <v>99.8736062243056</v>
      </c>
      <c r="N946" s="38" t="n">
        <v>131.643746399538</v>
      </c>
      <c r="O946" s="38" t="n">
        <v>75.4605361227554</v>
      </c>
      <c r="P946" s="37" t="n">
        <v>0</v>
      </c>
      <c r="Q946" s="38" t="n">
        <v>0</v>
      </c>
      <c r="R946" s="38" t="n">
        <v>72</v>
      </c>
      <c r="S946" s="37" t="n">
        <v>1</v>
      </c>
    </row>
    <row r="947" customFormat="false" ht="15" hidden="false" customHeight="false" outlineLevel="0" collapsed="false">
      <c r="A947" s="37" t="n">
        <v>0</v>
      </c>
      <c r="B947" s="37" t="n">
        <v>15</v>
      </c>
      <c r="C947" s="37" t="n">
        <v>5</v>
      </c>
      <c r="D947" s="37" t="n">
        <v>5</v>
      </c>
      <c r="E947" s="37" t="n">
        <v>0</v>
      </c>
      <c r="F947" s="37" t="n">
        <v>5</v>
      </c>
      <c r="G947" s="37" t="s">
        <v>195</v>
      </c>
      <c r="H947" s="38" t="n">
        <v>198.612934744442</v>
      </c>
      <c r="I947" s="38" t="n">
        <v>198.488006749848</v>
      </c>
      <c r="J947" s="38" t="n">
        <v>208.848914440569</v>
      </c>
      <c r="K947" s="38" t="n">
        <v>217.36445206004</v>
      </c>
      <c r="L947" s="38" t="n">
        <v>59.9596801317388</v>
      </c>
      <c r="M947" s="38" t="n">
        <v>99.6406747034777</v>
      </c>
      <c r="N947" s="38" t="n">
        <v>117.291577495011</v>
      </c>
      <c r="O947" s="38" t="n">
        <v>68.7257888194728</v>
      </c>
      <c r="P947" s="37" t="n">
        <v>0</v>
      </c>
      <c r="Q947" s="38" t="n">
        <v>0</v>
      </c>
      <c r="R947" s="38" t="n">
        <v>70.4535684215095</v>
      </c>
      <c r="S947" s="37" t="n">
        <v>0</v>
      </c>
    </row>
    <row r="948" customFormat="false" ht="15" hidden="false" customHeight="false" outlineLevel="0" collapsed="false">
      <c r="A948" s="37" t="n">
        <v>0</v>
      </c>
      <c r="B948" s="37" t="n">
        <v>15</v>
      </c>
      <c r="C948" s="37" t="n">
        <v>5</v>
      </c>
      <c r="D948" s="37" t="n">
        <v>5</v>
      </c>
      <c r="E948" s="37" t="n">
        <v>0</v>
      </c>
      <c r="F948" s="37" t="n">
        <v>5</v>
      </c>
      <c r="G948" s="37" t="s">
        <v>197</v>
      </c>
      <c r="H948" s="38" t="n">
        <v>198.612934744442</v>
      </c>
      <c r="I948" s="38" t="n">
        <v>198.408743194828</v>
      </c>
      <c r="J948" s="38" t="n">
        <v>209.264392920743</v>
      </c>
      <c r="K948" s="38" t="n">
        <v>220.20110717651</v>
      </c>
      <c r="L948" s="38" t="n">
        <v>57.8503230992258</v>
      </c>
      <c r="M948" s="38" t="n">
        <v>97.4548835970295</v>
      </c>
      <c r="N948" s="38" t="n">
        <v>109.686814680617</v>
      </c>
      <c r="O948" s="38" t="n">
        <v>66.5687751247013</v>
      </c>
      <c r="P948" s="37" t="n">
        <v>0</v>
      </c>
      <c r="Q948" s="38" t="n">
        <v>0</v>
      </c>
      <c r="R948" s="38" t="n">
        <v>72</v>
      </c>
      <c r="S948" s="37" t="n">
        <v>0</v>
      </c>
    </row>
    <row r="949" customFormat="false" ht="15" hidden="false" customHeight="false" outlineLevel="0" collapsed="false">
      <c r="A949" s="37" t="n">
        <v>0</v>
      </c>
      <c r="B949" s="37" t="n">
        <v>15</v>
      </c>
      <c r="C949" s="37" t="n">
        <v>5</v>
      </c>
      <c r="D949" s="37" t="n">
        <v>5</v>
      </c>
      <c r="E949" s="37" t="n">
        <v>0</v>
      </c>
      <c r="F949" s="37" t="n">
        <v>5</v>
      </c>
      <c r="G949" s="37" t="s">
        <v>196</v>
      </c>
      <c r="H949" s="38" t="n">
        <v>198.612934744442</v>
      </c>
      <c r="I949" s="38" t="n">
        <v>198.417711394599</v>
      </c>
      <c r="J949" s="38" t="n">
        <v>210.207631319764</v>
      </c>
      <c r="K949" s="38" t="n">
        <v>221.600668272829</v>
      </c>
      <c r="L949" s="38" t="n">
        <v>65.549320360193</v>
      </c>
      <c r="M949" s="38" t="n">
        <v>100.4276751736</v>
      </c>
      <c r="N949" s="38" t="n">
        <v>120.205289883066</v>
      </c>
      <c r="O949" s="38" t="n">
        <v>69.2932885620871</v>
      </c>
      <c r="P949" s="37" t="n">
        <v>0</v>
      </c>
      <c r="Q949" s="38" t="n">
        <v>0</v>
      </c>
      <c r="R949" s="38" t="n">
        <v>71.1010098343007</v>
      </c>
      <c r="S949" s="37" t="n">
        <v>0</v>
      </c>
    </row>
    <row r="950" customFormat="false" ht="15" hidden="false" customHeight="false" outlineLevel="0" collapsed="false">
      <c r="A950" s="37" t="n">
        <v>0</v>
      </c>
      <c r="B950" s="37" t="n">
        <v>15</v>
      </c>
      <c r="C950" s="37" t="n">
        <v>5</v>
      </c>
      <c r="D950" s="37" t="n">
        <v>5</v>
      </c>
      <c r="E950" s="37" t="n">
        <v>5</v>
      </c>
      <c r="F950" s="37" t="n">
        <v>0</v>
      </c>
      <c r="G950" s="37" t="s">
        <v>188</v>
      </c>
      <c r="H950" s="38" t="n">
        <v>198.610615868605</v>
      </c>
      <c r="I950" s="38" t="n">
        <v>198.414444169619</v>
      </c>
      <c r="J950" s="38" t="n">
        <v>208.572910706938</v>
      </c>
      <c r="K950" s="38" t="n">
        <v>219.163917737125</v>
      </c>
      <c r="L950" s="38" t="n">
        <v>26.9544515610052</v>
      </c>
      <c r="M950" s="38" t="n">
        <v>98.6039860505211</v>
      </c>
      <c r="N950" s="38" t="n">
        <v>105.495984895876</v>
      </c>
      <c r="O950" s="38" t="n">
        <v>63.7360722411486</v>
      </c>
      <c r="P950" s="37" t="n">
        <v>0</v>
      </c>
      <c r="Q950" s="38" t="n">
        <v>0</v>
      </c>
      <c r="R950" s="38" t="n">
        <v>72</v>
      </c>
      <c r="S950" s="37" t="n">
        <v>0</v>
      </c>
    </row>
    <row r="951" customFormat="false" ht="15" hidden="false" customHeight="false" outlineLevel="0" collapsed="false">
      <c r="A951" s="37" t="n">
        <v>0</v>
      </c>
      <c r="B951" s="37" t="n">
        <v>15</v>
      </c>
      <c r="C951" s="37" t="n">
        <v>5</v>
      </c>
      <c r="D951" s="37" t="n">
        <v>5</v>
      </c>
      <c r="E951" s="37" t="n">
        <v>5</v>
      </c>
      <c r="F951" s="37" t="n">
        <v>0</v>
      </c>
      <c r="G951" s="37" t="s">
        <v>192</v>
      </c>
      <c r="H951" s="38" t="n">
        <v>198.610615868605</v>
      </c>
      <c r="I951" s="38" t="n">
        <v>198.427577837511</v>
      </c>
      <c r="J951" s="38" t="n">
        <v>218.068240364317</v>
      </c>
      <c r="K951" s="38" t="n">
        <v>240.639484167422</v>
      </c>
      <c r="L951" s="38" t="n">
        <v>80.5681008939941</v>
      </c>
      <c r="M951" s="38" t="n">
        <v>100.332532784561</v>
      </c>
      <c r="N951" s="38" t="n">
        <v>132.827840909467</v>
      </c>
      <c r="O951" s="38" t="n">
        <v>71.2962946091077</v>
      </c>
      <c r="P951" s="37" t="n">
        <v>0</v>
      </c>
      <c r="Q951" s="38" t="n">
        <v>0</v>
      </c>
      <c r="R951" s="38" t="n">
        <v>63</v>
      </c>
      <c r="S951" s="37" t="n">
        <v>1</v>
      </c>
    </row>
    <row r="952" customFormat="false" ht="15" hidden="false" customHeight="false" outlineLevel="0" collapsed="false">
      <c r="A952" s="37" t="n">
        <v>0</v>
      </c>
      <c r="B952" s="37" t="n">
        <v>15</v>
      </c>
      <c r="C952" s="37" t="n">
        <v>5</v>
      </c>
      <c r="D952" s="37" t="n">
        <v>5</v>
      </c>
      <c r="E952" s="37" t="n">
        <v>5</v>
      </c>
      <c r="F952" s="37" t="n">
        <v>0</v>
      </c>
      <c r="G952" s="37" t="s">
        <v>195</v>
      </c>
      <c r="H952" s="38" t="n">
        <v>198.610615868605</v>
      </c>
      <c r="I952" s="38" t="n">
        <v>198.494616047608</v>
      </c>
      <c r="J952" s="38" t="n">
        <v>209.901433163132</v>
      </c>
      <c r="K952" s="38" t="n">
        <v>218.55371485842</v>
      </c>
      <c r="L952" s="38" t="n">
        <v>32.2333519751253</v>
      </c>
      <c r="M952" s="38" t="n">
        <v>100.258358694515</v>
      </c>
      <c r="N952" s="38" t="n">
        <v>114.241345710169</v>
      </c>
      <c r="O952" s="38" t="n">
        <v>65.1443246091081</v>
      </c>
      <c r="P952" s="37" t="n">
        <v>0</v>
      </c>
      <c r="Q952" s="38" t="n">
        <v>0</v>
      </c>
      <c r="R952" s="38" t="n">
        <v>70.4038911350115</v>
      </c>
      <c r="S952" s="37" t="n">
        <v>0</v>
      </c>
    </row>
    <row r="953" customFormat="false" ht="15" hidden="false" customHeight="false" outlineLevel="0" collapsed="false">
      <c r="A953" s="37" t="n">
        <v>0</v>
      </c>
      <c r="B953" s="37" t="n">
        <v>15</v>
      </c>
      <c r="C953" s="37" t="n">
        <v>5</v>
      </c>
      <c r="D953" s="37" t="n">
        <v>5</v>
      </c>
      <c r="E953" s="37" t="n">
        <v>5</v>
      </c>
      <c r="F953" s="37" t="n">
        <v>0</v>
      </c>
      <c r="G953" s="37" t="s">
        <v>197</v>
      </c>
      <c r="H953" s="38" t="n">
        <v>198.610615868605</v>
      </c>
      <c r="I953" s="38" t="n">
        <v>198.423307615333</v>
      </c>
      <c r="J953" s="38" t="n">
        <v>211.331360831007</v>
      </c>
      <c r="K953" s="38" t="n">
        <v>222.763289302632</v>
      </c>
      <c r="L953" s="38" t="n">
        <v>35.8934668448908</v>
      </c>
      <c r="M953" s="38" t="n">
        <v>101.367908788176</v>
      </c>
      <c r="N953" s="38" t="n">
        <v>119.573294038913</v>
      </c>
      <c r="O953" s="38" t="n">
        <v>67.422882311451</v>
      </c>
      <c r="P953" s="37" t="n">
        <v>0</v>
      </c>
      <c r="Q953" s="38" t="n">
        <v>0</v>
      </c>
      <c r="R953" s="38" t="n">
        <v>72</v>
      </c>
      <c r="S953" s="37" t="n">
        <v>0</v>
      </c>
    </row>
    <row r="954" customFormat="false" ht="15" hidden="false" customHeight="false" outlineLevel="0" collapsed="false">
      <c r="A954" s="37" t="n">
        <v>0</v>
      </c>
      <c r="B954" s="37" t="n">
        <v>15</v>
      </c>
      <c r="C954" s="37" t="n">
        <v>5</v>
      </c>
      <c r="D954" s="37" t="n">
        <v>5</v>
      </c>
      <c r="E954" s="37" t="n">
        <v>5</v>
      </c>
      <c r="F954" s="37" t="n">
        <v>0</v>
      </c>
      <c r="G954" s="37" t="s">
        <v>196</v>
      </c>
      <c r="H954" s="38" t="n">
        <v>198.610615868605</v>
      </c>
      <c r="I954" s="38" t="n">
        <v>198.423701510279</v>
      </c>
      <c r="J954" s="38" t="n">
        <v>211.244091004809</v>
      </c>
      <c r="K954" s="38" t="n">
        <v>222.824730259011</v>
      </c>
      <c r="L954" s="38" t="n">
        <v>36.8766029900426</v>
      </c>
      <c r="M954" s="38" t="n">
        <v>101.682092754175</v>
      </c>
      <c r="N954" s="38" t="n">
        <v>123.037858047042</v>
      </c>
      <c r="O954" s="38" t="n">
        <v>66.7771842336608</v>
      </c>
      <c r="P954" s="37" t="n">
        <v>0</v>
      </c>
      <c r="Q954" s="38" t="n">
        <v>0</v>
      </c>
      <c r="R954" s="38" t="n">
        <v>70.9924494554476</v>
      </c>
      <c r="S954" s="37" t="n">
        <v>0</v>
      </c>
    </row>
    <row r="955" customFormat="false" ht="15" hidden="false" customHeight="false" outlineLevel="0" collapsed="false">
      <c r="A955" s="37" t="n">
        <v>0</v>
      </c>
      <c r="B955" s="37" t="n">
        <v>15</v>
      </c>
      <c r="C955" s="37" t="n">
        <v>5</v>
      </c>
      <c r="D955" s="37" t="n">
        <v>10</v>
      </c>
      <c r="E955" s="37" t="n">
        <v>0</v>
      </c>
      <c r="F955" s="37" t="n">
        <v>0</v>
      </c>
      <c r="G955" s="37" t="s">
        <v>188</v>
      </c>
      <c r="H955" s="38" t="n">
        <v>198.83969198427</v>
      </c>
      <c r="I955" s="38" t="n">
        <v>199.521891813746</v>
      </c>
      <c r="J955" s="38" t="n">
        <v>212.527445362126</v>
      </c>
      <c r="K955" s="38" t="n">
        <v>220.913780142713</v>
      </c>
      <c r="L955" s="38" t="n">
        <v>29.2650483413666</v>
      </c>
      <c r="M955" s="38" t="n">
        <v>99.1026089140152</v>
      </c>
      <c r="N955" s="38" t="n">
        <v>107.938786507434</v>
      </c>
      <c r="O955" s="38" t="n">
        <v>65.7972985135003</v>
      </c>
      <c r="P955" s="37" t="n">
        <v>0</v>
      </c>
      <c r="Q955" s="38" t="n">
        <v>0</v>
      </c>
      <c r="R955" s="38" t="n">
        <v>72</v>
      </c>
      <c r="S955" s="37" t="n">
        <v>0</v>
      </c>
    </row>
    <row r="956" customFormat="false" ht="15" hidden="false" customHeight="false" outlineLevel="0" collapsed="false">
      <c r="A956" s="37" t="n">
        <v>0</v>
      </c>
      <c r="B956" s="37" t="n">
        <v>15</v>
      </c>
      <c r="C956" s="37" t="n">
        <v>5</v>
      </c>
      <c r="D956" s="37" t="n">
        <v>10</v>
      </c>
      <c r="E956" s="37" t="n">
        <v>0</v>
      </c>
      <c r="F956" s="37" t="n">
        <v>0</v>
      </c>
      <c r="G956" s="37" t="s">
        <v>192</v>
      </c>
      <c r="H956" s="38" t="n">
        <v>198.83969198427</v>
      </c>
      <c r="I956" s="38" t="n">
        <v>199.533473225986</v>
      </c>
      <c r="J956" s="38" t="n">
        <v>222.528092740502</v>
      </c>
      <c r="K956" s="38" t="n">
        <v>243.429752045459</v>
      </c>
      <c r="L956" s="38" t="n">
        <v>84.4136082276513</v>
      </c>
      <c r="M956" s="38" t="n">
        <v>100.999607539663</v>
      </c>
      <c r="N956" s="38" t="n">
        <v>134.837546340642</v>
      </c>
      <c r="O956" s="38" t="n">
        <v>75.0307697919787</v>
      </c>
      <c r="P956" s="37" t="n">
        <v>0</v>
      </c>
      <c r="Q956" s="38" t="n">
        <v>0</v>
      </c>
      <c r="R956" s="38" t="n">
        <v>63</v>
      </c>
      <c r="S956" s="37" t="n">
        <v>1</v>
      </c>
    </row>
    <row r="957" customFormat="false" ht="15" hidden="false" customHeight="false" outlineLevel="0" collapsed="false">
      <c r="A957" s="37" t="n">
        <v>0</v>
      </c>
      <c r="B957" s="37" t="n">
        <v>15</v>
      </c>
      <c r="C957" s="37" t="n">
        <v>5</v>
      </c>
      <c r="D957" s="37" t="n">
        <v>10</v>
      </c>
      <c r="E957" s="37" t="n">
        <v>0</v>
      </c>
      <c r="F957" s="37" t="n">
        <v>0</v>
      </c>
      <c r="G957" s="37" t="s">
        <v>195</v>
      </c>
      <c r="H957" s="38" t="n">
        <v>198.83969198427</v>
      </c>
      <c r="I957" s="38" t="n">
        <v>199.683322237153</v>
      </c>
      <c r="J957" s="38" t="n">
        <v>215.854219224967</v>
      </c>
      <c r="K957" s="38" t="n">
        <v>225.776922448972</v>
      </c>
      <c r="L957" s="38" t="n">
        <v>32.5269224489723</v>
      </c>
      <c r="M957" s="38" t="n">
        <v>102.157173954073</v>
      </c>
      <c r="N957" s="38" t="n">
        <v>122.60828330192</v>
      </c>
      <c r="O957" s="38" t="n">
        <v>73.2735021535832</v>
      </c>
      <c r="P957" s="37" t="n">
        <v>0</v>
      </c>
      <c r="Q957" s="38" t="n">
        <v>0</v>
      </c>
      <c r="R957" s="38" t="n">
        <v>67.508238432346</v>
      </c>
      <c r="S957" s="37" t="n">
        <v>0</v>
      </c>
    </row>
    <row r="958" customFormat="false" ht="15" hidden="false" customHeight="false" outlineLevel="0" collapsed="false">
      <c r="A958" s="37" t="n">
        <v>0</v>
      </c>
      <c r="B958" s="37" t="n">
        <v>15</v>
      </c>
      <c r="C958" s="37" t="n">
        <v>5</v>
      </c>
      <c r="D958" s="37" t="n">
        <v>10</v>
      </c>
      <c r="E958" s="37" t="n">
        <v>0</v>
      </c>
      <c r="F958" s="37" t="n">
        <v>0</v>
      </c>
      <c r="G958" s="37" t="s">
        <v>197</v>
      </c>
      <c r="H958" s="38" t="n">
        <v>198.83969198427</v>
      </c>
      <c r="I958" s="38" t="n">
        <v>199.516408737527</v>
      </c>
      <c r="J958" s="38" t="n">
        <v>214.554079690841</v>
      </c>
      <c r="K958" s="38" t="n">
        <v>223.32152192413</v>
      </c>
      <c r="L958" s="38" t="n">
        <v>66.1713196796628</v>
      </c>
      <c r="M958" s="38" t="n">
        <v>98.6420561832251</v>
      </c>
      <c r="N958" s="38" t="n">
        <v>113.52963823888</v>
      </c>
      <c r="O958" s="38" t="n">
        <v>68.902382276347</v>
      </c>
      <c r="P958" s="37" t="n">
        <v>0</v>
      </c>
      <c r="Q958" s="38" t="n">
        <v>0</v>
      </c>
      <c r="R958" s="38" t="n">
        <v>72</v>
      </c>
      <c r="S958" s="37" t="n">
        <v>0</v>
      </c>
    </row>
    <row r="959" customFormat="false" ht="15" hidden="false" customHeight="false" outlineLevel="0" collapsed="false">
      <c r="A959" s="37" t="n">
        <v>0</v>
      </c>
      <c r="B959" s="37" t="n">
        <v>15</v>
      </c>
      <c r="C959" s="37" t="n">
        <v>5</v>
      </c>
      <c r="D959" s="37" t="n">
        <v>10</v>
      </c>
      <c r="E959" s="37" t="n">
        <v>0</v>
      </c>
      <c r="F959" s="37" t="n">
        <v>0</v>
      </c>
      <c r="G959" s="37" t="s">
        <v>196</v>
      </c>
      <c r="H959" s="38" t="n">
        <v>198.83969198427</v>
      </c>
      <c r="I959" s="38" t="n">
        <v>199.526181163478</v>
      </c>
      <c r="J959" s="38" t="n">
        <v>223.403998271308</v>
      </c>
      <c r="K959" s="38" t="n">
        <v>243.616632849477</v>
      </c>
      <c r="L959" s="38" t="n">
        <v>91.4266309310925</v>
      </c>
      <c r="M959" s="38" t="n">
        <v>102.046643992347</v>
      </c>
      <c r="N959" s="38" t="n">
        <v>131.993032694693</v>
      </c>
      <c r="O959" s="38" t="n">
        <v>69.7305802349036</v>
      </c>
      <c r="P959" s="37" t="n">
        <v>0</v>
      </c>
      <c r="Q959" s="38" t="n">
        <v>0</v>
      </c>
      <c r="R959" s="38" t="n">
        <v>62.0421274070688</v>
      </c>
      <c r="S959" s="37" t="n">
        <v>0</v>
      </c>
    </row>
    <row r="960" customFormat="false" ht="15" hidden="false" customHeight="false" outlineLevel="0" collapsed="false">
      <c r="A960" s="37" t="n">
        <v>0</v>
      </c>
      <c r="B960" s="37" t="n">
        <v>15</v>
      </c>
      <c r="C960" s="37" t="n">
        <v>10</v>
      </c>
      <c r="D960" s="37" t="n">
        <v>0</v>
      </c>
      <c r="E960" s="37" t="n">
        <v>0</v>
      </c>
      <c r="F960" s="37" t="n">
        <v>5</v>
      </c>
      <c r="G960" s="37" t="s">
        <v>188</v>
      </c>
      <c r="H960" s="38" t="n">
        <v>198.643681930923</v>
      </c>
      <c r="I960" s="38" t="n">
        <v>200.095018026477</v>
      </c>
      <c r="J960" s="38" t="n">
        <v>211.642189310143</v>
      </c>
      <c r="K960" s="38" t="n">
        <v>238.129032978648</v>
      </c>
      <c r="L960" s="38" t="n">
        <v>74.9454969061762</v>
      </c>
      <c r="M960" s="38" t="n">
        <v>103.34855907301</v>
      </c>
      <c r="N960" s="38" t="n">
        <v>122.599070030129</v>
      </c>
      <c r="O960" s="38" t="n">
        <v>66.8092872270101</v>
      </c>
      <c r="P960" s="37" t="n">
        <v>0</v>
      </c>
      <c r="Q960" s="38" t="n">
        <v>0</v>
      </c>
      <c r="R960" s="38" t="n">
        <v>70.5</v>
      </c>
      <c r="S960" s="37" t="n">
        <v>0</v>
      </c>
    </row>
    <row r="961" customFormat="false" ht="15" hidden="false" customHeight="false" outlineLevel="0" collapsed="false">
      <c r="A961" s="37" t="n">
        <v>0</v>
      </c>
      <c r="B961" s="37" t="n">
        <v>15</v>
      </c>
      <c r="C961" s="37" t="n">
        <v>10</v>
      </c>
      <c r="D961" s="37" t="n">
        <v>0</v>
      </c>
      <c r="E961" s="37" t="n">
        <v>0</v>
      </c>
      <c r="F961" s="37" t="n">
        <v>5</v>
      </c>
      <c r="G961" s="37" t="s">
        <v>192</v>
      </c>
      <c r="H961" s="38" t="n">
        <v>198.643681930923</v>
      </c>
      <c r="I961" s="38" t="n">
        <v>200.103108798715</v>
      </c>
      <c r="J961" s="38" t="n">
        <v>224.067009784892</v>
      </c>
      <c r="K961" s="38" t="n">
        <v>247.223414230663</v>
      </c>
      <c r="L961" s="38" t="n">
        <v>76.7002842133002</v>
      </c>
      <c r="M961" s="38" t="n">
        <v>105.2807267898</v>
      </c>
      <c r="N961" s="38" t="n">
        <v>140.464359140329</v>
      </c>
      <c r="O961" s="38" t="n">
        <v>74.8210302063971</v>
      </c>
      <c r="P961" s="37" t="n">
        <v>0</v>
      </c>
      <c r="Q961" s="38" t="n">
        <v>0</v>
      </c>
      <c r="R961" s="38" t="n">
        <v>70.5</v>
      </c>
      <c r="S961" s="37" t="n">
        <v>1</v>
      </c>
    </row>
    <row r="962" customFormat="false" ht="15" hidden="false" customHeight="false" outlineLevel="0" collapsed="false">
      <c r="A962" s="37" t="n">
        <v>0</v>
      </c>
      <c r="B962" s="37" t="n">
        <v>15</v>
      </c>
      <c r="C962" s="37" t="n">
        <v>10</v>
      </c>
      <c r="D962" s="37" t="n">
        <v>0</v>
      </c>
      <c r="E962" s="37" t="n">
        <v>0</v>
      </c>
      <c r="F962" s="37" t="n">
        <v>5</v>
      </c>
      <c r="G962" s="37" t="s">
        <v>195</v>
      </c>
      <c r="H962" s="38" t="n">
        <v>198.643681930923</v>
      </c>
      <c r="I962" s="38" t="n">
        <v>200.124367107467</v>
      </c>
      <c r="J962" s="38" t="n">
        <v>209.736737462974</v>
      </c>
      <c r="K962" s="38" t="n">
        <v>232.555579264629</v>
      </c>
      <c r="L962" s="38" t="n">
        <v>73.9774639136472</v>
      </c>
      <c r="M962" s="38" t="n">
        <v>103.386403590611</v>
      </c>
      <c r="N962" s="38" t="n">
        <v>118.2518871229</v>
      </c>
      <c r="O962" s="38" t="n">
        <v>64.9404855573607</v>
      </c>
      <c r="P962" s="37" t="n">
        <v>0</v>
      </c>
      <c r="Q962" s="38" t="n">
        <v>0</v>
      </c>
      <c r="R962" s="38" t="n">
        <v>68.6015653947054</v>
      </c>
      <c r="S962" s="37" t="n">
        <v>0</v>
      </c>
    </row>
    <row r="963" customFormat="false" ht="15" hidden="false" customHeight="false" outlineLevel="0" collapsed="false">
      <c r="A963" s="37" t="n">
        <v>0</v>
      </c>
      <c r="B963" s="37" t="n">
        <v>15</v>
      </c>
      <c r="C963" s="37" t="n">
        <v>10</v>
      </c>
      <c r="D963" s="37" t="n">
        <v>0</v>
      </c>
      <c r="E963" s="37" t="n">
        <v>0</v>
      </c>
      <c r="F963" s="37" t="n">
        <v>5</v>
      </c>
      <c r="G963" s="37" t="s">
        <v>197</v>
      </c>
      <c r="H963" s="38" t="n">
        <v>198.643681930923</v>
      </c>
      <c r="I963" s="38" t="n">
        <v>200.081172138844</v>
      </c>
      <c r="J963" s="38" t="n">
        <v>212.828965122209</v>
      </c>
      <c r="K963" s="38" t="n">
        <v>239.545555716532</v>
      </c>
      <c r="L963" s="38" t="n">
        <v>77.0653024300329</v>
      </c>
      <c r="M963" s="38" t="n">
        <v>100.940035729935</v>
      </c>
      <c r="N963" s="38" t="n">
        <v>113.921769144694</v>
      </c>
      <c r="O963" s="38" t="n">
        <v>66.3505927229869</v>
      </c>
      <c r="P963" s="37" t="n">
        <v>0</v>
      </c>
      <c r="Q963" s="38" t="n">
        <v>0</v>
      </c>
      <c r="R963" s="38" t="n">
        <v>70.5</v>
      </c>
      <c r="S963" s="37" t="n">
        <v>0</v>
      </c>
    </row>
    <row r="964" customFormat="false" ht="15" hidden="false" customHeight="false" outlineLevel="0" collapsed="false">
      <c r="A964" s="37" t="n">
        <v>0</v>
      </c>
      <c r="B964" s="37" t="n">
        <v>15</v>
      </c>
      <c r="C964" s="37" t="n">
        <v>10</v>
      </c>
      <c r="D964" s="37" t="n">
        <v>0</v>
      </c>
      <c r="E964" s="37" t="n">
        <v>0</v>
      </c>
      <c r="F964" s="37" t="n">
        <v>5</v>
      </c>
      <c r="G964" s="37" t="s">
        <v>196</v>
      </c>
      <c r="H964" s="38" t="n">
        <v>198.643681930923</v>
      </c>
      <c r="I964" s="38" t="n">
        <v>200.094705204817</v>
      </c>
      <c r="J964" s="38" t="n">
        <v>224.458561570884</v>
      </c>
      <c r="K964" s="38" t="n">
        <v>247.236369173604</v>
      </c>
      <c r="L964" s="38" t="n">
        <v>82.4587908898655</v>
      </c>
      <c r="M964" s="38" t="n">
        <v>104.052718291916</v>
      </c>
      <c r="N964" s="38" t="n">
        <v>132.565727409753</v>
      </c>
      <c r="O964" s="38" t="n">
        <v>70.8070631156791</v>
      </c>
      <c r="P964" s="37" t="n">
        <v>0</v>
      </c>
      <c r="Q964" s="38" t="n">
        <v>0</v>
      </c>
      <c r="R964" s="38" t="n">
        <v>69.5101156879698</v>
      </c>
      <c r="S964" s="37" t="n">
        <v>0</v>
      </c>
    </row>
    <row r="965" customFormat="false" ht="15" hidden="false" customHeight="false" outlineLevel="0" collapsed="false">
      <c r="A965" s="37" t="n">
        <v>0</v>
      </c>
      <c r="B965" s="37" t="n">
        <v>15</v>
      </c>
      <c r="C965" s="37" t="n">
        <v>10</v>
      </c>
      <c r="D965" s="37" t="n">
        <v>0</v>
      </c>
      <c r="E965" s="37" t="n">
        <v>5</v>
      </c>
      <c r="F965" s="37" t="n">
        <v>0</v>
      </c>
      <c r="G965" s="37" t="s">
        <v>188</v>
      </c>
      <c r="H965" s="38" t="n">
        <v>198.643281029508</v>
      </c>
      <c r="I965" s="38" t="n">
        <v>200.021027002312</v>
      </c>
      <c r="J965" s="38" t="n">
        <v>212.979447610127</v>
      </c>
      <c r="K965" s="38" t="n">
        <v>239.502252656528</v>
      </c>
      <c r="L965" s="38" t="n">
        <v>36.4500251152996</v>
      </c>
      <c r="M965" s="38" t="n">
        <v>103.766531434211</v>
      </c>
      <c r="N965" s="38" t="n">
        <v>123.960788903491</v>
      </c>
      <c r="O965" s="38" t="n">
        <v>66.1888836170094</v>
      </c>
      <c r="P965" s="37" t="n">
        <v>0</v>
      </c>
      <c r="Q965" s="38" t="n">
        <v>0</v>
      </c>
      <c r="R965" s="38" t="n">
        <v>70.5</v>
      </c>
      <c r="S965" s="37" t="n">
        <v>0</v>
      </c>
    </row>
    <row r="966" customFormat="false" ht="15" hidden="false" customHeight="false" outlineLevel="0" collapsed="false">
      <c r="A966" s="37" t="n">
        <v>0</v>
      </c>
      <c r="B966" s="37" t="n">
        <v>15</v>
      </c>
      <c r="C966" s="37" t="n">
        <v>10</v>
      </c>
      <c r="D966" s="37" t="n">
        <v>0</v>
      </c>
      <c r="E966" s="37" t="n">
        <v>5</v>
      </c>
      <c r="F966" s="37" t="n">
        <v>0</v>
      </c>
      <c r="G966" s="37" t="s">
        <v>192</v>
      </c>
      <c r="H966" s="38" t="n">
        <v>198.643281029508</v>
      </c>
      <c r="I966" s="38" t="n">
        <v>200.032844993584</v>
      </c>
      <c r="J966" s="38" t="n">
        <v>225.446322316597</v>
      </c>
      <c r="K966" s="38" t="n">
        <v>248.685526714434</v>
      </c>
      <c r="L966" s="38" t="n">
        <v>86.6937352611749</v>
      </c>
      <c r="M966" s="38" t="n">
        <v>105.494010064548</v>
      </c>
      <c r="N966" s="38" t="n">
        <v>143.162640373729</v>
      </c>
      <c r="O966" s="38" t="n">
        <v>74.0356234479689</v>
      </c>
      <c r="P966" s="37" t="n">
        <v>0</v>
      </c>
      <c r="Q966" s="38" t="n">
        <v>0</v>
      </c>
      <c r="R966" s="38" t="n">
        <v>70.5</v>
      </c>
      <c r="S966" s="37" t="n">
        <v>1</v>
      </c>
    </row>
    <row r="967" customFormat="false" ht="15" hidden="false" customHeight="false" outlineLevel="0" collapsed="false">
      <c r="A967" s="37" t="n">
        <v>0</v>
      </c>
      <c r="B967" s="37" t="n">
        <v>15</v>
      </c>
      <c r="C967" s="37" t="n">
        <v>10</v>
      </c>
      <c r="D967" s="37" t="n">
        <v>0</v>
      </c>
      <c r="E967" s="37" t="n">
        <v>5</v>
      </c>
      <c r="F967" s="37" t="n">
        <v>0</v>
      </c>
      <c r="G967" s="37" t="s">
        <v>195</v>
      </c>
      <c r="H967" s="38" t="n">
        <v>198.643281029508</v>
      </c>
      <c r="I967" s="38" t="n">
        <v>200.05259090356</v>
      </c>
      <c r="J967" s="38" t="n">
        <v>210.939663187845</v>
      </c>
      <c r="K967" s="38" t="n">
        <v>233.761287691431</v>
      </c>
      <c r="L967" s="38" t="n">
        <v>35.0738661994057</v>
      </c>
      <c r="M967" s="38" t="n">
        <v>103.80802822165</v>
      </c>
      <c r="N967" s="38" t="n">
        <v>118.228010220265</v>
      </c>
      <c r="O967" s="38" t="n">
        <v>64.4197343574226</v>
      </c>
      <c r="P967" s="37" t="n">
        <v>0</v>
      </c>
      <c r="Q967" s="38" t="n">
        <v>0</v>
      </c>
      <c r="R967" s="38" t="n">
        <v>68.5687735523926</v>
      </c>
      <c r="S967" s="37" t="n">
        <v>0</v>
      </c>
    </row>
    <row r="968" customFormat="false" ht="15" hidden="false" customHeight="false" outlineLevel="0" collapsed="false">
      <c r="A968" s="37" t="n">
        <v>0</v>
      </c>
      <c r="B968" s="37" t="n">
        <v>15</v>
      </c>
      <c r="C968" s="37" t="n">
        <v>10</v>
      </c>
      <c r="D968" s="37" t="n">
        <v>0</v>
      </c>
      <c r="E968" s="37" t="n">
        <v>5</v>
      </c>
      <c r="F968" s="37" t="n">
        <v>0</v>
      </c>
      <c r="G968" s="37" t="s">
        <v>197</v>
      </c>
      <c r="H968" s="38" t="n">
        <v>198.643281029508</v>
      </c>
      <c r="I968" s="38" t="n">
        <v>200.017637925043</v>
      </c>
      <c r="J968" s="38" t="n">
        <v>214.75178981483</v>
      </c>
      <c r="K968" s="38" t="n">
        <v>241.798820539691</v>
      </c>
      <c r="L968" s="38" t="n">
        <v>39.7781413224908</v>
      </c>
      <c r="M968" s="38" t="n">
        <v>104.643523214615</v>
      </c>
      <c r="N968" s="38" t="n">
        <v>127.075881019156</v>
      </c>
      <c r="O968" s="38" t="n">
        <v>69.6642285465704</v>
      </c>
      <c r="P968" s="37" t="n">
        <v>0</v>
      </c>
      <c r="Q968" s="38" t="n">
        <v>0</v>
      </c>
      <c r="R968" s="38" t="n">
        <v>70.5</v>
      </c>
      <c r="S968" s="37" t="n">
        <v>0</v>
      </c>
    </row>
    <row r="969" customFormat="false" ht="15" hidden="false" customHeight="false" outlineLevel="0" collapsed="false">
      <c r="A969" s="37" t="n">
        <v>0</v>
      </c>
      <c r="B969" s="37" t="n">
        <v>15</v>
      </c>
      <c r="C969" s="37" t="n">
        <v>10</v>
      </c>
      <c r="D969" s="37" t="n">
        <v>0</v>
      </c>
      <c r="E969" s="37" t="n">
        <v>5</v>
      </c>
      <c r="F969" s="37" t="n">
        <v>0</v>
      </c>
      <c r="G969" s="37" t="s">
        <v>196</v>
      </c>
      <c r="H969" s="38" t="n">
        <v>198.643281029508</v>
      </c>
      <c r="I969" s="38" t="n">
        <v>200.0272524264</v>
      </c>
      <c r="J969" s="38" t="n">
        <v>225.574051152097</v>
      </c>
      <c r="K969" s="38" t="n">
        <v>248.440004057416</v>
      </c>
      <c r="L969" s="38" t="n">
        <v>43.0844060801743</v>
      </c>
      <c r="M969" s="38" t="n">
        <v>105.135995532742</v>
      </c>
      <c r="N969" s="38" t="n">
        <v>138.193963962932</v>
      </c>
      <c r="O969" s="38" t="n">
        <v>70.7799856806807</v>
      </c>
      <c r="P969" s="37" t="n">
        <v>0</v>
      </c>
      <c r="Q969" s="38" t="n">
        <v>0</v>
      </c>
      <c r="R969" s="38" t="n">
        <v>69.4044162172329</v>
      </c>
      <c r="S969" s="37" t="n">
        <v>0</v>
      </c>
    </row>
    <row r="970" customFormat="false" ht="15" hidden="false" customHeight="false" outlineLevel="0" collapsed="false">
      <c r="A970" s="37" t="n">
        <v>0</v>
      </c>
      <c r="B970" s="37" t="n">
        <v>15</v>
      </c>
      <c r="C970" s="37" t="n">
        <v>10</v>
      </c>
      <c r="D970" s="37" t="n">
        <v>5</v>
      </c>
      <c r="E970" s="37" t="n">
        <v>0</v>
      </c>
      <c r="F970" s="37" t="n">
        <v>0</v>
      </c>
      <c r="G970" s="37" t="s">
        <v>188</v>
      </c>
      <c r="H970" s="38" t="n">
        <v>198.854388620731</v>
      </c>
      <c r="I970" s="38" t="n">
        <v>201.675527623958</v>
      </c>
      <c r="J970" s="38" t="n">
        <v>221.166987603646</v>
      </c>
      <c r="K970" s="38" t="n">
        <v>243.764344468866</v>
      </c>
      <c r="L970" s="38" t="n">
        <v>41.6841657863554</v>
      </c>
      <c r="M970" s="38" t="n">
        <v>105.347277846659</v>
      </c>
      <c r="N970" s="38" t="n">
        <v>131.082769045844</v>
      </c>
      <c r="O970" s="38" t="n">
        <v>72.8817731922099</v>
      </c>
      <c r="P970" s="37" t="n">
        <v>0</v>
      </c>
      <c r="Q970" s="38" t="n">
        <v>0</v>
      </c>
      <c r="R970" s="38" t="n">
        <v>72</v>
      </c>
      <c r="S970" s="37" t="n">
        <v>0</v>
      </c>
    </row>
    <row r="971" customFormat="false" ht="15" hidden="false" customHeight="false" outlineLevel="0" collapsed="false">
      <c r="A971" s="37" t="n">
        <v>0</v>
      </c>
      <c r="B971" s="37" t="n">
        <v>15</v>
      </c>
      <c r="C971" s="37" t="n">
        <v>10</v>
      </c>
      <c r="D971" s="37" t="n">
        <v>5</v>
      </c>
      <c r="E971" s="37" t="n">
        <v>0</v>
      </c>
      <c r="F971" s="37" t="n">
        <v>0</v>
      </c>
      <c r="G971" s="37" t="s">
        <v>192</v>
      </c>
      <c r="H971" s="38" t="n">
        <v>198.854388620731</v>
      </c>
      <c r="I971" s="38" t="n">
        <v>201.685214985035</v>
      </c>
      <c r="J971" s="38" t="n">
        <v>233.409852496534</v>
      </c>
      <c r="K971" s="38" t="n">
        <v>252.583512399621</v>
      </c>
      <c r="L971" s="38" t="n">
        <v>43.0968978307691</v>
      </c>
      <c r="M971" s="38" t="n">
        <v>107.148460602404</v>
      </c>
      <c r="N971" s="38" t="n">
        <v>148.269271778725</v>
      </c>
      <c r="O971" s="38" t="n">
        <v>79.1459125848699</v>
      </c>
      <c r="P971" s="37" t="n">
        <v>0</v>
      </c>
      <c r="Q971" s="38" t="n">
        <v>0</v>
      </c>
      <c r="R971" s="38" t="n">
        <v>72</v>
      </c>
      <c r="S971" s="37" t="n">
        <v>1</v>
      </c>
    </row>
    <row r="972" customFormat="false" ht="15" hidden="false" customHeight="false" outlineLevel="0" collapsed="false">
      <c r="A972" s="37" t="n">
        <v>0</v>
      </c>
      <c r="B972" s="37" t="n">
        <v>15</v>
      </c>
      <c r="C972" s="37" t="n">
        <v>10</v>
      </c>
      <c r="D972" s="37" t="n">
        <v>5</v>
      </c>
      <c r="E972" s="37" t="n">
        <v>0</v>
      </c>
      <c r="F972" s="37" t="n">
        <v>0</v>
      </c>
      <c r="G972" s="37" t="s">
        <v>195</v>
      </c>
      <c r="H972" s="38" t="n">
        <v>198.854388620731</v>
      </c>
      <c r="I972" s="38" t="n">
        <v>201.809349365519</v>
      </c>
      <c r="J972" s="38" t="n">
        <v>222.524519499652</v>
      </c>
      <c r="K972" s="38" t="n">
        <v>243.567792589012</v>
      </c>
      <c r="L972" s="38" t="n">
        <v>46.4505959329269</v>
      </c>
      <c r="M972" s="38" t="n">
        <v>107.115676315627</v>
      </c>
      <c r="N972" s="38" t="n">
        <v>135.204524604434</v>
      </c>
      <c r="O972" s="38" t="n">
        <v>74.3441322585027</v>
      </c>
      <c r="P972" s="37" t="n">
        <v>0</v>
      </c>
      <c r="Q972" s="38" t="n">
        <v>0</v>
      </c>
      <c r="R972" s="38" t="n">
        <v>70.5398410031745</v>
      </c>
      <c r="S972" s="37" t="n">
        <v>0</v>
      </c>
    </row>
    <row r="973" customFormat="false" ht="15" hidden="false" customHeight="false" outlineLevel="0" collapsed="false">
      <c r="A973" s="37" t="n">
        <v>0</v>
      </c>
      <c r="B973" s="37" t="n">
        <v>15</v>
      </c>
      <c r="C973" s="37" t="n">
        <v>10</v>
      </c>
      <c r="D973" s="37" t="n">
        <v>5</v>
      </c>
      <c r="E973" s="37" t="n">
        <v>0</v>
      </c>
      <c r="F973" s="37" t="n">
        <v>0</v>
      </c>
      <c r="G973" s="37" t="s">
        <v>197</v>
      </c>
      <c r="H973" s="38" t="n">
        <v>198.854388620731</v>
      </c>
      <c r="I973" s="38" t="n">
        <v>201.654711147668</v>
      </c>
      <c r="J973" s="38" t="n">
        <v>221.968772767803</v>
      </c>
      <c r="K973" s="38" t="n">
        <v>244.61387638496</v>
      </c>
      <c r="L973" s="38" t="n">
        <v>42.3731335900276</v>
      </c>
      <c r="M973" s="38" t="n">
        <v>103.0342626411</v>
      </c>
      <c r="N973" s="38" t="n">
        <v>121.945432988181</v>
      </c>
      <c r="O973" s="38" t="n">
        <v>70.8597349465371</v>
      </c>
      <c r="P973" s="37" t="n">
        <v>0</v>
      </c>
      <c r="Q973" s="38" t="n">
        <v>0</v>
      </c>
      <c r="R973" s="38" t="n">
        <v>72</v>
      </c>
      <c r="S973" s="37" t="n">
        <v>0</v>
      </c>
    </row>
    <row r="974" customFormat="false" ht="15" hidden="false" customHeight="false" outlineLevel="0" collapsed="false">
      <c r="A974" s="37" t="n">
        <v>0</v>
      </c>
      <c r="B974" s="37" t="n">
        <v>15</v>
      </c>
      <c r="C974" s="37" t="n">
        <v>10</v>
      </c>
      <c r="D974" s="37" t="n">
        <v>5</v>
      </c>
      <c r="E974" s="37" t="n">
        <v>0</v>
      </c>
      <c r="F974" s="37" t="n">
        <v>0</v>
      </c>
      <c r="G974" s="37" t="s">
        <v>196</v>
      </c>
      <c r="H974" s="38" t="n">
        <v>198.854388620731</v>
      </c>
      <c r="I974" s="38" t="n">
        <v>201.672883154467</v>
      </c>
      <c r="J974" s="38" t="n">
        <v>233.989558771482</v>
      </c>
      <c r="K974" s="38" t="n">
        <v>252.673290863066</v>
      </c>
      <c r="L974" s="38" t="n">
        <v>48.5358109568408</v>
      </c>
      <c r="M974" s="38" t="n">
        <v>106.65729293175</v>
      </c>
      <c r="N974" s="38" t="n">
        <v>142.158519436545</v>
      </c>
      <c r="O974" s="38" t="n">
        <v>75.391657648025</v>
      </c>
      <c r="P974" s="37" t="n">
        <v>0</v>
      </c>
      <c r="Q974" s="38" t="n">
        <v>0</v>
      </c>
      <c r="R974" s="38" t="n">
        <v>71.0298784598225</v>
      </c>
      <c r="S974" s="37" t="n">
        <v>0</v>
      </c>
    </row>
    <row r="975" customFormat="false" ht="15" hidden="false" customHeight="false" outlineLevel="0" collapsed="false">
      <c r="A975" s="37" t="n">
        <v>0</v>
      </c>
      <c r="B975" s="37" t="n">
        <v>15</v>
      </c>
      <c r="C975" s="37" t="n">
        <v>15</v>
      </c>
      <c r="D975" s="37" t="n">
        <v>0</v>
      </c>
      <c r="E975" s="37" t="n">
        <v>0</v>
      </c>
      <c r="F975" s="37" t="n">
        <v>0</v>
      </c>
      <c r="G975" s="37" t="s">
        <v>188</v>
      </c>
      <c r="H975" s="38" t="n">
        <v>198.904521036622</v>
      </c>
      <c r="I975" s="38" t="n">
        <v>201.916877208543</v>
      </c>
      <c r="J975" s="38" t="n">
        <v>217.158656211934</v>
      </c>
      <c r="K975" s="38" t="n">
        <v>245.277968247304</v>
      </c>
      <c r="L975" s="38" t="n">
        <v>42.6626527529651</v>
      </c>
      <c r="M975" s="38" t="n">
        <v>106.990098426922</v>
      </c>
      <c r="N975" s="38" t="n">
        <v>128.091189040811</v>
      </c>
      <c r="O975" s="38" t="n">
        <v>68.5348165211581</v>
      </c>
      <c r="P975" s="37" t="n">
        <v>0</v>
      </c>
      <c r="Q975" s="38" t="n">
        <v>0</v>
      </c>
      <c r="R975" s="38" t="n">
        <v>70.5</v>
      </c>
      <c r="S975" s="37" t="n">
        <v>0</v>
      </c>
    </row>
    <row r="976" customFormat="false" ht="15" hidden="false" customHeight="false" outlineLevel="0" collapsed="false">
      <c r="A976" s="37" t="n">
        <v>0</v>
      </c>
      <c r="B976" s="37" t="n">
        <v>15</v>
      </c>
      <c r="C976" s="37" t="n">
        <v>15</v>
      </c>
      <c r="D976" s="37" t="n">
        <v>0</v>
      </c>
      <c r="E976" s="37" t="n">
        <v>0</v>
      </c>
      <c r="F976" s="37" t="n">
        <v>0</v>
      </c>
      <c r="G976" s="37" t="s">
        <v>192</v>
      </c>
      <c r="H976" s="38" t="n">
        <v>198.904521036622</v>
      </c>
      <c r="I976" s="38" t="n">
        <v>201.915978410429</v>
      </c>
      <c r="J976" s="38" t="n">
        <v>229.379120444057</v>
      </c>
      <c r="K976" s="38" t="n">
        <v>254.01797609038</v>
      </c>
      <c r="L976" s="38" t="n">
        <v>44.3398719664078</v>
      </c>
      <c r="M976" s="38" t="n">
        <v>108.748722036164</v>
      </c>
      <c r="N976" s="38" t="n">
        <v>145.254317899383</v>
      </c>
      <c r="O976" s="38" t="n">
        <v>75.0132054987736</v>
      </c>
      <c r="P976" s="37" t="n">
        <v>0</v>
      </c>
      <c r="Q976" s="38" t="n">
        <v>0</v>
      </c>
      <c r="R976" s="38" t="n">
        <v>70.5</v>
      </c>
      <c r="S976" s="37" t="n">
        <v>1</v>
      </c>
    </row>
    <row r="977" customFormat="false" ht="15" hidden="false" customHeight="false" outlineLevel="0" collapsed="false">
      <c r="A977" s="37" t="n">
        <v>0</v>
      </c>
      <c r="B977" s="37" t="n">
        <v>15</v>
      </c>
      <c r="C977" s="37" t="n">
        <v>15</v>
      </c>
      <c r="D977" s="37" t="n">
        <v>0</v>
      </c>
      <c r="E977" s="37" t="n">
        <v>0</v>
      </c>
      <c r="F977" s="37" t="n">
        <v>0</v>
      </c>
      <c r="G977" s="37" t="s">
        <v>195</v>
      </c>
      <c r="H977" s="38" t="n">
        <v>198.904521036622</v>
      </c>
      <c r="I977" s="38" t="n">
        <v>201.962697046619</v>
      </c>
      <c r="J977" s="38" t="n">
        <v>215.23910533589</v>
      </c>
      <c r="K977" s="38" t="n">
        <v>239.775786286619</v>
      </c>
      <c r="L977" s="38" t="n">
        <v>41.2836576362813</v>
      </c>
      <c r="M977" s="38" t="n">
        <v>107.048407637501</v>
      </c>
      <c r="N977" s="38" t="n">
        <v>123.723289517256</v>
      </c>
      <c r="O977" s="38" t="n">
        <v>66.7710449598487</v>
      </c>
      <c r="P977" s="37" t="n">
        <v>0</v>
      </c>
      <c r="Q977" s="38" t="n">
        <v>0</v>
      </c>
      <c r="R977" s="38" t="n">
        <v>68.6273614048986</v>
      </c>
      <c r="S977" s="37" t="n">
        <v>0</v>
      </c>
    </row>
    <row r="978" customFormat="false" ht="15" hidden="false" customHeight="false" outlineLevel="0" collapsed="false">
      <c r="A978" s="37" t="n">
        <v>0</v>
      </c>
      <c r="B978" s="37" t="n">
        <v>15</v>
      </c>
      <c r="C978" s="37" t="n">
        <v>15</v>
      </c>
      <c r="D978" s="37" t="n">
        <v>0</v>
      </c>
      <c r="E978" s="37" t="n">
        <v>0</v>
      </c>
      <c r="F978" s="37" t="n">
        <v>0</v>
      </c>
      <c r="G978" s="37" t="s">
        <v>197</v>
      </c>
      <c r="H978" s="38" t="n">
        <v>198.904521036622</v>
      </c>
      <c r="I978" s="38" t="n">
        <v>201.895151559442</v>
      </c>
      <c r="J978" s="38" t="n">
        <v>217.790371767783</v>
      </c>
      <c r="K978" s="38" t="n">
        <v>245.808382001036</v>
      </c>
      <c r="L978" s="38" t="n">
        <v>43.3867110342398</v>
      </c>
      <c r="M978" s="38" t="n">
        <v>103.46710572168</v>
      </c>
      <c r="N978" s="38" t="n">
        <v>117.551094697365</v>
      </c>
      <c r="O978" s="38" t="n">
        <v>66.3035536978151</v>
      </c>
      <c r="P978" s="37" t="n">
        <v>0</v>
      </c>
      <c r="Q978" s="38" t="n">
        <v>0</v>
      </c>
      <c r="R978" s="38" t="n">
        <v>70.5</v>
      </c>
      <c r="S978" s="37" t="n">
        <v>0</v>
      </c>
    </row>
    <row r="979" customFormat="false" ht="15" hidden="false" customHeight="false" outlineLevel="0" collapsed="false">
      <c r="A979" s="37" t="n">
        <v>0</v>
      </c>
      <c r="B979" s="37" t="n">
        <v>15</v>
      </c>
      <c r="C979" s="37" t="n">
        <v>15</v>
      </c>
      <c r="D979" s="37" t="n">
        <v>0</v>
      </c>
      <c r="E979" s="37" t="n">
        <v>0</v>
      </c>
      <c r="F979" s="37" t="n">
        <v>0</v>
      </c>
      <c r="G979" s="37" t="s">
        <v>196</v>
      </c>
      <c r="H979" s="38" t="n">
        <v>198.904521036622</v>
      </c>
      <c r="I979" s="38" t="n">
        <v>201.907433249917</v>
      </c>
      <c r="J979" s="38" t="n">
        <v>229.605497030704</v>
      </c>
      <c r="K979" s="38" t="n">
        <v>253.689574350822</v>
      </c>
      <c r="L979" s="38" t="n">
        <v>49.4445990466079</v>
      </c>
      <c r="M979" s="38" t="n">
        <v>106.946395341958</v>
      </c>
      <c r="N979" s="38" t="n">
        <v>137.172700984868</v>
      </c>
      <c r="O979" s="38" t="n">
        <v>71.3908600221952</v>
      </c>
      <c r="P979" s="37" t="n">
        <v>0</v>
      </c>
      <c r="Q979" s="38" t="n">
        <v>0</v>
      </c>
      <c r="R979" s="38" t="n">
        <v>69.485948656392</v>
      </c>
      <c r="S979" s="37" t="n">
        <v>0</v>
      </c>
    </row>
    <row r="980" customFormat="false" ht="15" hidden="false" customHeight="false" outlineLevel="0" collapsed="false">
      <c r="A980" s="37" t="n">
        <v>0</v>
      </c>
      <c r="B980" s="37" t="n">
        <v>20</v>
      </c>
      <c r="C980" s="37" t="n">
        <v>0</v>
      </c>
      <c r="D980" s="37" t="n">
        <v>0</v>
      </c>
      <c r="E980" s="37" t="n">
        <v>0</v>
      </c>
      <c r="F980" s="37" t="n">
        <v>10</v>
      </c>
      <c r="G980" s="37" t="s">
        <v>188</v>
      </c>
      <c r="H980" s="38" t="n">
        <v>198.317301357096</v>
      </c>
      <c r="I980" s="38" t="n">
        <v>195.258158475928</v>
      </c>
      <c r="J980" s="38" t="n">
        <v>183.415523214541</v>
      </c>
      <c r="K980" s="38" t="n">
        <v>184.681338677377</v>
      </c>
      <c r="L980" s="38" t="n">
        <v>70.5649775413278</v>
      </c>
      <c r="M980" s="38" t="n">
        <v>90.5583767159108</v>
      </c>
      <c r="N980" s="38" t="n">
        <v>72.2798836532568</v>
      </c>
      <c r="O980" s="38" t="n">
        <v>48.8113633102264</v>
      </c>
      <c r="P980" s="37" t="n">
        <v>0</v>
      </c>
      <c r="Q980" s="38" t="n">
        <v>0</v>
      </c>
      <c r="R980" s="38" t="n">
        <v>70.5</v>
      </c>
      <c r="S980" s="37" t="n">
        <v>0</v>
      </c>
    </row>
    <row r="981" customFormat="false" ht="15" hidden="false" customHeight="false" outlineLevel="0" collapsed="false">
      <c r="A981" s="37" t="n">
        <v>0</v>
      </c>
      <c r="B981" s="37" t="n">
        <v>20</v>
      </c>
      <c r="C981" s="37" t="n">
        <v>0</v>
      </c>
      <c r="D981" s="37" t="n">
        <v>0</v>
      </c>
      <c r="E981" s="37" t="n">
        <v>0</v>
      </c>
      <c r="F981" s="37" t="n">
        <v>10</v>
      </c>
      <c r="G981" s="37" t="s">
        <v>192</v>
      </c>
      <c r="H981" s="38" t="n">
        <v>198.317301357096</v>
      </c>
      <c r="I981" s="38" t="n">
        <v>195.261297211091</v>
      </c>
      <c r="J981" s="38" t="n">
        <v>196.917961156729</v>
      </c>
      <c r="K981" s="38" t="n">
        <v>195.978116294519</v>
      </c>
      <c r="L981" s="38" t="n">
        <v>61.9239496672586</v>
      </c>
      <c r="M981" s="38" t="n">
        <v>93.7137999827556</v>
      </c>
      <c r="N981" s="38" t="n">
        <v>94.2131018966834</v>
      </c>
      <c r="O981" s="38" t="n">
        <v>60.9515719185989</v>
      </c>
      <c r="P981" s="37" t="n">
        <v>0</v>
      </c>
      <c r="Q981" s="38" t="n">
        <v>0</v>
      </c>
      <c r="R981" s="38" t="n">
        <v>70.5</v>
      </c>
      <c r="S981" s="37" t="n">
        <v>1</v>
      </c>
    </row>
    <row r="982" customFormat="false" ht="15" hidden="false" customHeight="false" outlineLevel="0" collapsed="false">
      <c r="A982" s="37" t="n">
        <v>0</v>
      </c>
      <c r="B982" s="37" t="n">
        <v>20</v>
      </c>
      <c r="C982" s="37" t="n">
        <v>0</v>
      </c>
      <c r="D982" s="37" t="n">
        <v>0</v>
      </c>
      <c r="E982" s="37" t="n">
        <v>0</v>
      </c>
      <c r="F982" s="37" t="n">
        <v>10</v>
      </c>
      <c r="G982" s="37" t="s">
        <v>195</v>
      </c>
      <c r="H982" s="38" t="n">
        <v>198.317301357096</v>
      </c>
      <c r="I982" s="38" t="n">
        <v>195.259409516755</v>
      </c>
      <c r="J982" s="38" t="n">
        <v>183.184268714536</v>
      </c>
      <c r="K982" s="38" t="n">
        <v>180.657126412106</v>
      </c>
      <c r="L982" s="38" t="n">
        <v>72.8253193788311</v>
      </c>
      <c r="M982" s="38" t="n">
        <v>90.5599680143146</v>
      </c>
      <c r="N982" s="38" t="n">
        <v>70.0345427998987</v>
      </c>
      <c r="O982" s="38" t="n">
        <v>48.0233890651039</v>
      </c>
      <c r="P982" s="37" t="n">
        <v>0</v>
      </c>
      <c r="Q982" s="38" t="n">
        <v>0</v>
      </c>
      <c r="R982" s="38" t="n">
        <v>68.4504578900174</v>
      </c>
      <c r="S982" s="37" t="n">
        <v>0</v>
      </c>
    </row>
    <row r="983" customFormat="false" ht="15" hidden="false" customHeight="false" outlineLevel="0" collapsed="false">
      <c r="A983" s="37" t="n">
        <v>0</v>
      </c>
      <c r="B983" s="37" t="n">
        <v>20</v>
      </c>
      <c r="C983" s="37" t="n">
        <v>0</v>
      </c>
      <c r="D983" s="37" t="n">
        <v>0</v>
      </c>
      <c r="E983" s="37" t="n">
        <v>0</v>
      </c>
      <c r="F983" s="37" t="n">
        <v>10</v>
      </c>
      <c r="G983" s="37" t="s">
        <v>197</v>
      </c>
      <c r="H983" s="38" t="n">
        <v>198.317301357096</v>
      </c>
      <c r="I983" s="38" t="n">
        <v>195.259664333592</v>
      </c>
      <c r="J983" s="38" t="n">
        <v>186.655271897096</v>
      </c>
      <c r="K983" s="38" t="n">
        <v>188.921742249</v>
      </c>
      <c r="L983" s="38" t="n">
        <v>81.1945855588964</v>
      </c>
      <c r="M983" s="38" t="n">
        <v>92.360740373758</v>
      </c>
      <c r="N983" s="38" t="n">
        <v>76.7400871536998</v>
      </c>
      <c r="O983" s="38" t="n">
        <v>50.8884506406944</v>
      </c>
      <c r="P983" s="37" t="n">
        <v>0</v>
      </c>
      <c r="Q983" s="38" t="n">
        <v>0</v>
      </c>
      <c r="R983" s="38" t="n">
        <v>70.5</v>
      </c>
      <c r="S983" s="37" t="n">
        <v>0</v>
      </c>
    </row>
    <row r="984" customFormat="false" ht="15" hidden="false" customHeight="false" outlineLevel="0" collapsed="false">
      <c r="A984" s="37" t="n">
        <v>0</v>
      </c>
      <c r="B984" s="37" t="n">
        <v>20</v>
      </c>
      <c r="C984" s="37" t="n">
        <v>0</v>
      </c>
      <c r="D984" s="37" t="n">
        <v>0</v>
      </c>
      <c r="E984" s="37" t="n">
        <v>0</v>
      </c>
      <c r="F984" s="37" t="n">
        <v>10</v>
      </c>
      <c r="G984" s="37" t="s">
        <v>196</v>
      </c>
      <c r="H984" s="38" t="n">
        <v>198.317301357096</v>
      </c>
      <c r="I984" s="38" t="n">
        <v>195.26055619252</v>
      </c>
      <c r="J984" s="38" t="n">
        <v>187.615651616044</v>
      </c>
      <c r="K984" s="38" t="n">
        <v>190.323813531386</v>
      </c>
      <c r="L984" s="38" t="n">
        <v>84.8403648296316</v>
      </c>
      <c r="M984" s="38" t="n">
        <v>94.2810800125415</v>
      </c>
      <c r="N984" s="38" t="n">
        <v>84.4066761522348</v>
      </c>
      <c r="O984" s="38" t="n">
        <v>52.9472766746337</v>
      </c>
      <c r="P984" s="37" t="n">
        <v>0</v>
      </c>
      <c r="Q984" s="38" t="n">
        <v>0</v>
      </c>
      <c r="R984" s="38" t="n">
        <v>69.603972311579</v>
      </c>
      <c r="S984" s="37" t="n">
        <v>0</v>
      </c>
    </row>
    <row r="985" customFormat="false" ht="15" hidden="false" customHeight="false" outlineLevel="0" collapsed="false">
      <c r="A985" s="37" t="n">
        <v>0</v>
      </c>
      <c r="B985" s="37" t="n">
        <v>20</v>
      </c>
      <c r="C985" s="37" t="n">
        <v>0</v>
      </c>
      <c r="D985" s="37" t="n">
        <v>0</v>
      </c>
      <c r="E985" s="37" t="n">
        <v>5</v>
      </c>
      <c r="F985" s="37" t="n">
        <v>5</v>
      </c>
      <c r="G985" s="37" t="s">
        <v>188</v>
      </c>
      <c r="H985" s="38" t="n">
        <v>198.346487275687</v>
      </c>
      <c r="I985" s="38" t="n">
        <v>195.524222285416</v>
      </c>
      <c r="J985" s="38" t="n">
        <v>186.002162989234</v>
      </c>
      <c r="K985" s="38" t="n">
        <v>189.374245303221</v>
      </c>
      <c r="L985" s="38" t="n">
        <v>35.4274993164689</v>
      </c>
      <c r="M985" s="38" t="n">
        <v>91.9169627011072</v>
      </c>
      <c r="N985" s="38" t="n">
        <v>75.2796746983205</v>
      </c>
      <c r="O985" s="38" t="n">
        <v>48.8214563929926</v>
      </c>
      <c r="P985" s="37" t="n">
        <v>0</v>
      </c>
      <c r="Q985" s="38" t="n">
        <v>0</v>
      </c>
      <c r="R985" s="38" t="n">
        <v>70.5</v>
      </c>
      <c r="S985" s="37" t="n">
        <v>0</v>
      </c>
    </row>
    <row r="986" customFormat="false" ht="15" hidden="false" customHeight="false" outlineLevel="0" collapsed="false">
      <c r="A986" s="37" t="n">
        <v>0</v>
      </c>
      <c r="B986" s="37" t="n">
        <v>20</v>
      </c>
      <c r="C986" s="37" t="n">
        <v>0</v>
      </c>
      <c r="D986" s="37" t="n">
        <v>0</v>
      </c>
      <c r="E986" s="37" t="n">
        <v>5</v>
      </c>
      <c r="F986" s="37" t="n">
        <v>5</v>
      </c>
      <c r="G986" s="37" t="s">
        <v>192</v>
      </c>
      <c r="H986" s="38" t="n">
        <v>198.346487275687</v>
      </c>
      <c r="I986" s="38" t="n">
        <v>195.528357488382</v>
      </c>
      <c r="J986" s="38" t="n">
        <v>199.505966166348</v>
      </c>
      <c r="K986" s="38" t="n">
        <v>200.678990776965</v>
      </c>
      <c r="L986" s="38" t="n">
        <v>37.9223935609932</v>
      </c>
      <c r="M986" s="38" t="n">
        <v>94.9500516433784</v>
      </c>
      <c r="N986" s="38" t="n">
        <v>99.2759955618428</v>
      </c>
      <c r="O986" s="38" t="n">
        <v>58.7135322615558</v>
      </c>
      <c r="P986" s="37" t="n">
        <v>0</v>
      </c>
      <c r="Q986" s="38" t="n">
        <v>0</v>
      </c>
      <c r="R986" s="38" t="n">
        <v>70.5</v>
      </c>
      <c r="S986" s="37" t="n">
        <v>1</v>
      </c>
    </row>
    <row r="987" customFormat="false" ht="15" hidden="false" customHeight="false" outlineLevel="0" collapsed="false">
      <c r="A987" s="37" t="n">
        <v>0</v>
      </c>
      <c r="B987" s="37" t="n">
        <v>20</v>
      </c>
      <c r="C987" s="37" t="n">
        <v>0</v>
      </c>
      <c r="D987" s="37" t="n">
        <v>0</v>
      </c>
      <c r="E987" s="37" t="n">
        <v>5</v>
      </c>
      <c r="F987" s="37" t="n">
        <v>5</v>
      </c>
      <c r="G987" s="37" t="s">
        <v>195</v>
      </c>
      <c r="H987" s="38" t="n">
        <v>198.346487275687</v>
      </c>
      <c r="I987" s="38" t="n">
        <v>195.525946498583</v>
      </c>
      <c r="J987" s="38" t="n">
        <v>185.685023459141</v>
      </c>
      <c r="K987" s="38" t="n">
        <v>185.240703042955</v>
      </c>
      <c r="L987" s="38" t="n">
        <v>37.3428952229375</v>
      </c>
      <c r="M987" s="38" t="n">
        <v>91.9193889051107</v>
      </c>
      <c r="N987" s="38" t="n">
        <v>74.8426177510507</v>
      </c>
      <c r="O987" s="38" t="n">
        <v>48.3010737641586</v>
      </c>
      <c r="P987" s="37" t="n">
        <v>0</v>
      </c>
      <c r="Q987" s="38" t="n">
        <v>0</v>
      </c>
      <c r="R987" s="38" t="n">
        <v>68.4306576539949</v>
      </c>
      <c r="S987" s="37" t="n">
        <v>0</v>
      </c>
    </row>
    <row r="988" customFormat="false" ht="15" hidden="false" customHeight="false" outlineLevel="0" collapsed="false">
      <c r="A988" s="37" t="n">
        <v>0</v>
      </c>
      <c r="B988" s="37" t="n">
        <v>20</v>
      </c>
      <c r="C988" s="37" t="n">
        <v>0</v>
      </c>
      <c r="D988" s="37" t="n">
        <v>0</v>
      </c>
      <c r="E988" s="37" t="n">
        <v>5</v>
      </c>
      <c r="F988" s="37" t="n">
        <v>5</v>
      </c>
      <c r="G988" s="37" t="s">
        <v>197</v>
      </c>
      <c r="H988" s="38" t="n">
        <v>198.346487275687</v>
      </c>
      <c r="I988" s="38" t="n">
        <v>195.533872059539</v>
      </c>
      <c r="J988" s="38" t="n">
        <v>189.821082308951</v>
      </c>
      <c r="K988" s="38" t="n">
        <v>194.493884654986</v>
      </c>
      <c r="L988" s="38" t="n">
        <v>32.3098304653832</v>
      </c>
      <c r="M988" s="38" t="n">
        <v>97.0352945926947</v>
      </c>
      <c r="N988" s="38" t="n">
        <v>87.2002139544047</v>
      </c>
      <c r="O988" s="38" t="n">
        <v>57.6176020819639</v>
      </c>
      <c r="P988" s="37" t="n">
        <v>0</v>
      </c>
      <c r="Q988" s="38" t="n">
        <v>0</v>
      </c>
      <c r="R988" s="38" t="n">
        <v>70.5</v>
      </c>
      <c r="S988" s="37" t="n">
        <v>0</v>
      </c>
    </row>
    <row r="989" customFormat="false" ht="15" hidden="false" customHeight="false" outlineLevel="0" collapsed="false">
      <c r="A989" s="37" t="n">
        <v>0</v>
      </c>
      <c r="B989" s="37" t="n">
        <v>20</v>
      </c>
      <c r="C989" s="37" t="n">
        <v>0</v>
      </c>
      <c r="D989" s="37" t="n">
        <v>0</v>
      </c>
      <c r="E989" s="37" t="n">
        <v>5</v>
      </c>
      <c r="F989" s="37" t="n">
        <v>5</v>
      </c>
      <c r="G989" s="37" t="s">
        <v>196</v>
      </c>
      <c r="H989" s="38" t="n">
        <v>198.346487275687</v>
      </c>
      <c r="I989" s="38" t="n">
        <v>195.527514965365</v>
      </c>
      <c r="J989" s="38" t="n">
        <v>190.261883687099</v>
      </c>
      <c r="K989" s="38" t="n">
        <v>195.05186456113</v>
      </c>
      <c r="L989" s="38" t="n">
        <v>38.93651999243</v>
      </c>
      <c r="M989" s="38" t="n">
        <v>96.2485550305005</v>
      </c>
      <c r="N989" s="38" t="n">
        <v>92.5262791490674</v>
      </c>
      <c r="O989" s="38" t="n">
        <v>57.16442197599</v>
      </c>
      <c r="P989" s="37" t="n">
        <v>0</v>
      </c>
      <c r="Q989" s="38" t="n">
        <v>0</v>
      </c>
      <c r="R989" s="38" t="n">
        <v>69.5856506368454</v>
      </c>
      <c r="S989" s="37" t="n">
        <v>0</v>
      </c>
    </row>
    <row r="990" customFormat="false" ht="15" hidden="false" customHeight="false" outlineLevel="0" collapsed="false">
      <c r="A990" s="37" t="n">
        <v>0</v>
      </c>
      <c r="B990" s="37" t="n">
        <v>20</v>
      </c>
      <c r="C990" s="37" t="n">
        <v>0</v>
      </c>
      <c r="D990" s="37" t="n">
        <v>0</v>
      </c>
      <c r="E990" s="37" t="n">
        <v>10</v>
      </c>
      <c r="F990" s="37" t="n">
        <v>0</v>
      </c>
      <c r="G990" s="37" t="s">
        <v>188</v>
      </c>
      <c r="H990" s="38" t="n">
        <v>198.374366092174</v>
      </c>
      <c r="I990" s="38" t="n">
        <v>195.80870411399</v>
      </c>
      <c r="J990" s="38" t="n">
        <v>182.682526052023</v>
      </c>
      <c r="K990" s="38" t="n">
        <v>186.120262090381</v>
      </c>
      <c r="L990" s="38" t="n">
        <v>24.2247680525377</v>
      </c>
      <c r="M990" s="38" t="n">
        <v>93.2001863973597</v>
      </c>
      <c r="N990" s="38" t="n">
        <v>62.9397233370047</v>
      </c>
      <c r="O990" s="38" t="n">
        <v>47.3034530519469</v>
      </c>
      <c r="P990" s="37" t="n">
        <v>0</v>
      </c>
      <c r="Q990" s="38" t="n">
        <v>0.775231947462288</v>
      </c>
      <c r="R990" s="38" t="n">
        <v>70.5</v>
      </c>
      <c r="S990" s="37" t="n">
        <v>0</v>
      </c>
    </row>
    <row r="991" customFormat="false" ht="15" hidden="false" customHeight="false" outlineLevel="0" collapsed="false">
      <c r="A991" s="37" t="n">
        <v>0</v>
      </c>
      <c r="B991" s="37" t="n">
        <v>20</v>
      </c>
      <c r="C991" s="37" t="n">
        <v>0</v>
      </c>
      <c r="D991" s="37" t="n">
        <v>0</v>
      </c>
      <c r="E991" s="37" t="n">
        <v>10</v>
      </c>
      <c r="F991" s="37" t="n">
        <v>0</v>
      </c>
      <c r="G991" s="37" t="s">
        <v>192</v>
      </c>
      <c r="H991" s="38" t="n">
        <v>198.374366092174</v>
      </c>
      <c r="I991" s="38" t="n">
        <v>195.813123608164</v>
      </c>
      <c r="J991" s="38" t="n">
        <v>195.193390570264</v>
      </c>
      <c r="K991" s="38" t="n">
        <v>211.943453840533</v>
      </c>
      <c r="L991" s="38" t="n">
        <v>24.9985692299264</v>
      </c>
      <c r="M991" s="38" t="n">
        <v>96.1278807990904</v>
      </c>
      <c r="N991" s="38" t="n">
        <v>88.0505844712339</v>
      </c>
      <c r="O991" s="38" t="n">
        <v>53.6743047781246</v>
      </c>
      <c r="P991" s="37" t="n">
        <v>0</v>
      </c>
      <c r="Q991" s="38" t="n">
        <v>0.00143077007362535</v>
      </c>
      <c r="R991" s="38" t="n">
        <v>61.5</v>
      </c>
      <c r="S991" s="37" t="n">
        <v>0</v>
      </c>
    </row>
    <row r="992" customFormat="false" ht="15" hidden="false" customHeight="false" outlineLevel="0" collapsed="false">
      <c r="A992" s="37" t="n">
        <v>0</v>
      </c>
      <c r="B992" s="37" t="n">
        <v>20</v>
      </c>
      <c r="C992" s="37" t="n">
        <v>0</v>
      </c>
      <c r="D992" s="37" t="n">
        <v>0</v>
      </c>
      <c r="E992" s="37" t="n">
        <v>10</v>
      </c>
      <c r="F992" s="37" t="n">
        <v>0</v>
      </c>
      <c r="G992" s="37" t="s">
        <v>195</v>
      </c>
      <c r="H992" s="38" t="n">
        <v>198.374366092174</v>
      </c>
      <c r="I992" s="38" t="n">
        <v>195.811473576718</v>
      </c>
      <c r="J992" s="38" t="n">
        <v>187.749410633382</v>
      </c>
      <c r="K992" s="38" t="n">
        <v>189.509533395732</v>
      </c>
      <c r="L992" s="38" t="n">
        <v>24.876677510026</v>
      </c>
      <c r="M992" s="38" t="n">
        <v>93.205078087286</v>
      </c>
      <c r="N992" s="38" t="n">
        <v>69.9387357323952</v>
      </c>
      <c r="O992" s="38" t="n">
        <v>49.0647239422302</v>
      </c>
      <c r="P992" s="37" t="n">
        <v>0</v>
      </c>
      <c r="Q992" s="38" t="n">
        <v>0.123322489974044</v>
      </c>
      <c r="R992" s="38" t="n">
        <v>68.4149375288004</v>
      </c>
      <c r="S992" s="37" t="n">
        <v>0</v>
      </c>
    </row>
    <row r="993" customFormat="false" ht="15" hidden="false" customHeight="false" outlineLevel="0" collapsed="false">
      <c r="A993" s="37" t="n">
        <v>0</v>
      </c>
      <c r="B993" s="37" t="n">
        <v>20</v>
      </c>
      <c r="C993" s="37" t="n">
        <v>0</v>
      </c>
      <c r="D993" s="37" t="n">
        <v>0</v>
      </c>
      <c r="E993" s="37" t="n">
        <v>10</v>
      </c>
      <c r="F993" s="37" t="n">
        <v>0</v>
      </c>
      <c r="G993" s="37" t="s">
        <v>197</v>
      </c>
      <c r="H993" s="38" t="n">
        <v>198.374366092174</v>
      </c>
      <c r="I993" s="38" t="n">
        <v>195.835567445222</v>
      </c>
      <c r="J993" s="38" t="n">
        <v>192.761274092739</v>
      </c>
      <c r="K993" s="38" t="n">
        <v>199.940503153951</v>
      </c>
      <c r="L993" s="38" t="n">
        <v>24.9868902608126</v>
      </c>
      <c r="M993" s="38" t="n">
        <v>100.926879422034</v>
      </c>
      <c r="N993" s="38" t="n">
        <v>94.5553585535651</v>
      </c>
      <c r="O993" s="38" t="n">
        <v>57.301890903863</v>
      </c>
      <c r="P993" s="37" t="n">
        <v>0</v>
      </c>
      <c r="Q993" s="38" t="n">
        <v>0.0131097391873993</v>
      </c>
      <c r="R993" s="38" t="n">
        <v>70.5</v>
      </c>
      <c r="S993" s="37" t="n">
        <v>1</v>
      </c>
    </row>
    <row r="994" customFormat="false" ht="15" hidden="false" customHeight="false" outlineLevel="0" collapsed="false">
      <c r="A994" s="37" t="n">
        <v>0</v>
      </c>
      <c r="B994" s="37" t="n">
        <v>20</v>
      </c>
      <c r="C994" s="37" t="n">
        <v>0</v>
      </c>
      <c r="D994" s="37" t="n">
        <v>0</v>
      </c>
      <c r="E994" s="37" t="n">
        <v>10</v>
      </c>
      <c r="F994" s="37" t="n">
        <v>0</v>
      </c>
      <c r="G994" s="37" t="s">
        <v>196</v>
      </c>
      <c r="H994" s="38" t="n">
        <v>198.374366092174</v>
      </c>
      <c r="I994" s="38" t="n">
        <v>195.812749207731</v>
      </c>
      <c r="J994" s="38" t="n">
        <v>192.290816789272</v>
      </c>
      <c r="K994" s="38" t="n">
        <v>199.166405481952</v>
      </c>
      <c r="L994" s="38" t="n">
        <v>24.9887427362531</v>
      </c>
      <c r="M994" s="38" t="n">
        <v>97.9987615557713</v>
      </c>
      <c r="N994" s="38" t="n">
        <v>87.0123871337926</v>
      </c>
      <c r="O994" s="38" t="n">
        <v>55.199239070712</v>
      </c>
      <c r="P994" s="37" t="n">
        <v>0</v>
      </c>
      <c r="Q994" s="38" t="n">
        <v>0.0112572637468702</v>
      </c>
      <c r="R994" s="38" t="n">
        <v>69.5707162271582</v>
      </c>
      <c r="S994" s="37" t="n">
        <v>0</v>
      </c>
    </row>
    <row r="995" customFormat="false" ht="15" hidden="false" customHeight="false" outlineLevel="0" collapsed="false">
      <c r="A995" s="37" t="n">
        <v>0</v>
      </c>
      <c r="B995" s="37" t="n">
        <v>20</v>
      </c>
      <c r="C995" s="37" t="n">
        <v>0</v>
      </c>
      <c r="D995" s="37" t="n">
        <v>5</v>
      </c>
      <c r="E995" s="37" t="n">
        <v>0</v>
      </c>
      <c r="F995" s="37" t="n">
        <v>5</v>
      </c>
      <c r="G995" s="37" t="s">
        <v>188</v>
      </c>
      <c r="H995" s="38" t="n">
        <v>198.484568723241</v>
      </c>
      <c r="I995" s="38" t="n">
        <v>196.248432659189</v>
      </c>
      <c r="J995" s="38" t="n">
        <v>187.735158780207</v>
      </c>
      <c r="K995" s="38" t="n">
        <v>181.050043889334</v>
      </c>
      <c r="L995" s="38" t="n">
        <v>27.4129320782344</v>
      </c>
      <c r="M995" s="38" t="n">
        <v>91.5626624702088</v>
      </c>
      <c r="N995" s="38" t="n">
        <v>64.3369704122449</v>
      </c>
      <c r="O995" s="38" t="n">
        <v>51.9099188679957</v>
      </c>
      <c r="P995" s="37" t="n">
        <v>0</v>
      </c>
      <c r="Q995" s="38" t="n">
        <v>0</v>
      </c>
      <c r="R995" s="38" t="n">
        <v>72</v>
      </c>
      <c r="S995" s="37" t="n">
        <v>0</v>
      </c>
    </row>
    <row r="996" customFormat="false" ht="15" hidden="false" customHeight="false" outlineLevel="0" collapsed="false">
      <c r="A996" s="37" t="n">
        <v>0</v>
      </c>
      <c r="B996" s="37" t="n">
        <v>20</v>
      </c>
      <c r="C996" s="37" t="n">
        <v>0</v>
      </c>
      <c r="D996" s="37" t="n">
        <v>5</v>
      </c>
      <c r="E996" s="37" t="n">
        <v>0</v>
      </c>
      <c r="F996" s="37" t="n">
        <v>5</v>
      </c>
      <c r="G996" s="37" t="s">
        <v>192</v>
      </c>
      <c r="H996" s="38" t="n">
        <v>198.484568723241</v>
      </c>
      <c r="I996" s="38" t="n">
        <v>196.253728066826</v>
      </c>
      <c r="J996" s="38" t="n">
        <v>201.301857274449</v>
      </c>
      <c r="K996" s="38" t="n">
        <v>192.411069411061</v>
      </c>
      <c r="L996" s="38" t="n">
        <v>30.6865476650698</v>
      </c>
      <c r="M996" s="38" t="n">
        <v>94.6379938149309</v>
      </c>
      <c r="N996" s="38" t="n">
        <v>89.1832316305578</v>
      </c>
      <c r="O996" s="38" t="n">
        <v>61.4831533316716</v>
      </c>
      <c r="P996" s="37" t="n">
        <v>0</v>
      </c>
      <c r="Q996" s="38" t="n">
        <v>0</v>
      </c>
      <c r="R996" s="38" t="n">
        <v>72</v>
      </c>
      <c r="S996" s="37" t="n">
        <v>1</v>
      </c>
    </row>
    <row r="997" customFormat="false" ht="15" hidden="false" customHeight="false" outlineLevel="0" collapsed="false">
      <c r="A997" s="37" t="n">
        <v>0</v>
      </c>
      <c r="B997" s="37" t="n">
        <v>20</v>
      </c>
      <c r="C997" s="37" t="n">
        <v>0</v>
      </c>
      <c r="D997" s="37" t="n">
        <v>5</v>
      </c>
      <c r="E997" s="37" t="n">
        <v>0</v>
      </c>
      <c r="F997" s="37" t="n">
        <v>5</v>
      </c>
      <c r="G997" s="37" t="s">
        <v>195</v>
      </c>
      <c r="H997" s="38" t="n">
        <v>198.484568723241</v>
      </c>
      <c r="I997" s="38" t="n">
        <v>196.278706752578</v>
      </c>
      <c r="J997" s="38" t="n">
        <v>189.198171492405</v>
      </c>
      <c r="K997" s="38" t="n">
        <v>180.15597792916</v>
      </c>
      <c r="L997" s="38" t="n">
        <v>33.6662640901926</v>
      </c>
      <c r="M997" s="38" t="n">
        <v>93.2077197369388</v>
      </c>
      <c r="N997" s="38" t="n">
        <v>74.4577246838683</v>
      </c>
      <c r="O997" s="38" t="n">
        <v>53.9797013369637</v>
      </c>
      <c r="P997" s="37" t="n">
        <v>0</v>
      </c>
      <c r="Q997" s="38" t="n">
        <v>0</v>
      </c>
      <c r="R997" s="38" t="n">
        <v>70.3530858483099</v>
      </c>
      <c r="S997" s="37" t="n">
        <v>0</v>
      </c>
    </row>
    <row r="998" customFormat="false" ht="15" hidden="false" customHeight="false" outlineLevel="0" collapsed="false">
      <c r="A998" s="37" t="n">
        <v>0</v>
      </c>
      <c r="B998" s="37" t="n">
        <v>20</v>
      </c>
      <c r="C998" s="37" t="n">
        <v>0</v>
      </c>
      <c r="D998" s="37" t="n">
        <v>5</v>
      </c>
      <c r="E998" s="37" t="n">
        <v>0</v>
      </c>
      <c r="F998" s="37" t="n">
        <v>5</v>
      </c>
      <c r="G998" s="37" t="s">
        <v>197</v>
      </c>
      <c r="H998" s="38" t="n">
        <v>198.484568723241</v>
      </c>
      <c r="I998" s="38" t="n">
        <v>196.250274292569</v>
      </c>
      <c r="J998" s="38" t="n">
        <v>191.011809043737</v>
      </c>
      <c r="K998" s="38" t="n">
        <v>185.321555190905</v>
      </c>
      <c r="L998" s="38" t="n">
        <v>37.8491564881812</v>
      </c>
      <c r="M998" s="38" t="n">
        <v>93.3654371001446</v>
      </c>
      <c r="N998" s="38" t="n">
        <v>78.136125661515</v>
      </c>
      <c r="O998" s="38" t="n">
        <v>53.9710765206795</v>
      </c>
      <c r="P998" s="37" t="n">
        <v>0</v>
      </c>
      <c r="Q998" s="38" t="n">
        <v>0</v>
      </c>
      <c r="R998" s="38" t="n">
        <v>72</v>
      </c>
      <c r="S998" s="37" t="n">
        <v>0</v>
      </c>
    </row>
    <row r="999" customFormat="false" ht="15" hidden="false" customHeight="false" outlineLevel="0" collapsed="false">
      <c r="A999" s="37" t="n">
        <v>0</v>
      </c>
      <c r="B999" s="37" t="n">
        <v>20</v>
      </c>
      <c r="C999" s="37" t="n">
        <v>0</v>
      </c>
      <c r="D999" s="37" t="n">
        <v>5</v>
      </c>
      <c r="E999" s="37" t="n">
        <v>0</v>
      </c>
      <c r="F999" s="37" t="n">
        <v>5</v>
      </c>
      <c r="G999" s="37" t="s">
        <v>196</v>
      </c>
      <c r="H999" s="38" t="n">
        <v>198.484568723241</v>
      </c>
      <c r="I999" s="38" t="n">
        <v>196.252268146755</v>
      </c>
      <c r="J999" s="38" t="n">
        <v>184.99460144816</v>
      </c>
      <c r="K999" s="38" t="n">
        <v>188.609041347054</v>
      </c>
      <c r="L999" s="38" t="n">
        <v>45.609041347054</v>
      </c>
      <c r="M999" s="38" t="n">
        <v>95.8869283900031</v>
      </c>
      <c r="N999" s="38" t="n">
        <v>87.6046459848357</v>
      </c>
      <c r="O999" s="38" t="n">
        <v>54.4487609489097</v>
      </c>
      <c r="P999" s="37" t="n">
        <v>0</v>
      </c>
      <c r="Q999" s="38" t="n">
        <v>0</v>
      </c>
      <c r="R999" s="38" t="n">
        <v>70.6386254870806</v>
      </c>
      <c r="S999" s="37" t="n">
        <v>0</v>
      </c>
    </row>
    <row r="1000" customFormat="false" ht="15" hidden="false" customHeight="false" outlineLevel="0" collapsed="false">
      <c r="A1000" s="37" t="n">
        <v>0</v>
      </c>
      <c r="B1000" s="37" t="n">
        <v>20</v>
      </c>
      <c r="C1000" s="37" t="n">
        <v>0</v>
      </c>
      <c r="D1000" s="37" t="n">
        <v>5</v>
      </c>
      <c r="E1000" s="37" t="n">
        <v>5</v>
      </c>
      <c r="F1000" s="37" t="n">
        <v>0</v>
      </c>
      <c r="G1000" s="37" t="s">
        <v>188</v>
      </c>
      <c r="H1000" s="38" t="n">
        <v>198.506604038217</v>
      </c>
      <c r="I1000" s="38" t="n">
        <v>196.493529703871</v>
      </c>
      <c r="J1000" s="38" t="n">
        <v>184.663498517961</v>
      </c>
      <c r="K1000" s="38" t="n">
        <v>178.329932340845</v>
      </c>
      <c r="L1000" s="38" t="n">
        <v>22.0852436646442</v>
      </c>
      <c r="M1000" s="38" t="n">
        <v>92.8675555409281</v>
      </c>
      <c r="N1000" s="38" t="n">
        <v>59.6717036514488</v>
      </c>
      <c r="O1000" s="38" t="n">
        <v>50.2060870354765</v>
      </c>
      <c r="P1000" s="37" t="n">
        <v>0</v>
      </c>
      <c r="Q1000" s="38" t="n">
        <v>2.9147563353558</v>
      </c>
      <c r="R1000" s="38" t="n">
        <v>72</v>
      </c>
      <c r="S1000" s="37" t="n">
        <v>0</v>
      </c>
    </row>
    <row r="1001" customFormat="false" ht="15" hidden="false" customHeight="false" outlineLevel="0" collapsed="false">
      <c r="A1001" s="37" t="n">
        <v>0</v>
      </c>
      <c r="B1001" s="37" t="n">
        <v>20</v>
      </c>
      <c r="C1001" s="37" t="n">
        <v>0</v>
      </c>
      <c r="D1001" s="37" t="n">
        <v>5</v>
      </c>
      <c r="E1001" s="37" t="n">
        <v>5</v>
      </c>
      <c r="F1001" s="37" t="n">
        <v>0</v>
      </c>
      <c r="G1001" s="37" t="s">
        <v>192</v>
      </c>
      <c r="H1001" s="38" t="n">
        <v>198.506604038217</v>
      </c>
      <c r="I1001" s="38" t="n">
        <v>196.500559020485</v>
      </c>
      <c r="J1001" s="38" t="n">
        <v>196.898126807545</v>
      </c>
      <c r="K1001" s="38" t="n">
        <v>204.179428312962</v>
      </c>
      <c r="L1001" s="38" t="n">
        <v>24.9644840286149</v>
      </c>
      <c r="M1001" s="38" t="n">
        <v>95.7966436990506</v>
      </c>
      <c r="N1001" s="38" t="n">
        <v>85.0515479331673</v>
      </c>
      <c r="O1001" s="38" t="n">
        <v>56.9896235059726</v>
      </c>
      <c r="P1001" s="37" t="n">
        <v>0</v>
      </c>
      <c r="Q1001" s="38" t="n">
        <v>0.0355159713851059</v>
      </c>
      <c r="R1001" s="38" t="n">
        <v>63</v>
      </c>
      <c r="S1001" s="37" t="n">
        <v>0</v>
      </c>
    </row>
    <row r="1002" customFormat="false" ht="15" hidden="false" customHeight="false" outlineLevel="0" collapsed="false">
      <c r="A1002" s="37" t="n">
        <v>0</v>
      </c>
      <c r="B1002" s="37" t="n">
        <v>20</v>
      </c>
      <c r="C1002" s="37" t="n">
        <v>0</v>
      </c>
      <c r="D1002" s="37" t="n">
        <v>5</v>
      </c>
      <c r="E1002" s="37" t="n">
        <v>5</v>
      </c>
      <c r="F1002" s="37" t="n">
        <v>0</v>
      </c>
      <c r="G1002" s="37" t="s">
        <v>195</v>
      </c>
      <c r="H1002" s="38" t="n">
        <v>198.506604038217</v>
      </c>
      <c r="I1002" s="38" t="n">
        <v>196.529555514079</v>
      </c>
      <c r="J1002" s="38" t="n">
        <v>191.788688788029</v>
      </c>
      <c r="K1002" s="38" t="n">
        <v>185.166049550055</v>
      </c>
      <c r="L1002" s="38" t="n">
        <v>24.6328695138304</v>
      </c>
      <c r="M1002" s="38" t="n">
        <v>94.483286108274</v>
      </c>
      <c r="N1002" s="38" t="n">
        <v>74.2233458116256</v>
      </c>
      <c r="O1002" s="38" t="n">
        <v>55.0024074348587</v>
      </c>
      <c r="P1002" s="37" t="n">
        <v>0</v>
      </c>
      <c r="Q1002" s="38" t="n">
        <v>0.367130486169572</v>
      </c>
      <c r="R1002" s="38" t="n">
        <v>70.3273787350445</v>
      </c>
      <c r="S1002" s="37" t="n">
        <v>0</v>
      </c>
    </row>
    <row r="1003" customFormat="false" ht="15" hidden="false" customHeight="false" outlineLevel="0" collapsed="false">
      <c r="A1003" s="37" t="n">
        <v>0</v>
      </c>
      <c r="B1003" s="37" t="n">
        <v>20</v>
      </c>
      <c r="C1003" s="37" t="n">
        <v>0</v>
      </c>
      <c r="D1003" s="37" t="n">
        <v>5</v>
      </c>
      <c r="E1003" s="37" t="n">
        <v>5</v>
      </c>
      <c r="F1003" s="37" t="n">
        <v>0</v>
      </c>
      <c r="G1003" s="37" t="s">
        <v>197</v>
      </c>
      <c r="H1003" s="38" t="n">
        <v>198.506604038217</v>
      </c>
      <c r="I1003" s="38" t="n">
        <v>196.505124758872</v>
      </c>
      <c r="J1003" s="38" t="n">
        <v>194.196947488218</v>
      </c>
      <c r="K1003" s="38" t="n">
        <v>191.312662361299</v>
      </c>
      <c r="L1003" s="38" t="n">
        <v>24.9485919751673</v>
      </c>
      <c r="M1003" s="38" t="n">
        <v>97.9336453555751</v>
      </c>
      <c r="N1003" s="38" t="n">
        <v>83.9241186519868</v>
      </c>
      <c r="O1003" s="38" t="n">
        <v>58.6114146793676</v>
      </c>
      <c r="P1003" s="37" t="n">
        <v>0</v>
      </c>
      <c r="Q1003" s="38" t="n">
        <v>0.051408024832682</v>
      </c>
      <c r="R1003" s="38" t="n">
        <v>72</v>
      </c>
      <c r="S1003" s="37" t="n">
        <v>0</v>
      </c>
    </row>
    <row r="1004" customFormat="false" ht="15" hidden="false" customHeight="false" outlineLevel="0" collapsed="false">
      <c r="A1004" s="37" t="n">
        <v>0</v>
      </c>
      <c r="B1004" s="37" t="n">
        <v>20</v>
      </c>
      <c r="C1004" s="37" t="n">
        <v>0</v>
      </c>
      <c r="D1004" s="37" t="n">
        <v>5</v>
      </c>
      <c r="E1004" s="37" t="n">
        <v>5</v>
      </c>
      <c r="F1004" s="37" t="n">
        <v>0</v>
      </c>
      <c r="G1004" s="37" t="s">
        <v>196</v>
      </c>
      <c r="H1004" s="38" t="n">
        <v>198.506604038217</v>
      </c>
      <c r="I1004" s="38" t="n">
        <v>196.498984737009</v>
      </c>
      <c r="J1004" s="38" t="n">
        <v>204.526535430972</v>
      </c>
      <c r="K1004" s="38" t="n">
        <v>213.677560976171</v>
      </c>
      <c r="L1004" s="38" t="n">
        <v>24.9907481786995</v>
      </c>
      <c r="M1004" s="38" t="n">
        <v>97.7641931152672</v>
      </c>
      <c r="N1004" s="38" t="n">
        <v>96.5002576038173</v>
      </c>
      <c r="O1004" s="38" t="n">
        <v>56.177625365325</v>
      </c>
      <c r="P1004" s="37" t="n">
        <v>0</v>
      </c>
      <c r="Q1004" s="38" t="n">
        <v>0.00925182130052349</v>
      </c>
      <c r="R1004" s="38" t="n">
        <v>61.9538096671254</v>
      </c>
      <c r="S1004" s="37" t="n">
        <v>1</v>
      </c>
    </row>
    <row r="1005" customFormat="false" ht="15" hidden="false" customHeight="false" outlineLevel="0" collapsed="false">
      <c r="A1005" s="37" t="n">
        <v>0</v>
      </c>
      <c r="B1005" s="37" t="n">
        <v>20</v>
      </c>
      <c r="C1005" s="37" t="n">
        <v>0</v>
      </c>
      <c r="D1005" s="37" t="n">
        <v>10</v>
      </c>
      <c r="E1005" s="37" t="n">
        <v>0</v>
      </c>
      <c r="F1005" s="37" t="n">
        <v>0</v>
      </c>
      <c r="G1005" s="37" t="s">
        <v>188</v>
      </c>
      <c r="H1005" s="38" t="n">
        <v>198.701466848688</v>
      </c>
      <c r="I1005" s="38" t="n">
        <v>197.121465425116</v>
      </c>
      <c r="J1005" s="38" t="n">
        <v>185.349676730359</v>
      </c>
      <c r="K1005" s="38" t="n">
        <v>173.506836228462</v>
      </c>
      <c r="L1005" s="38" t="n">
        <v>20.7370158583769</v>
      </c>
      <c r="M1005" s="38" t="n">
        <v>92.2744008795853</v>
      </c>
      <c r="N1005" s="38" t="n">
        <v>55.8304262055942</v>
      </c>
      <c r="O1005" s="38" t="n">
        <v>50.934266887145</v>
      </c>
      <c r="P1005" s="37" t="n">
        <v>0</v>
      </c>
      <c r="Q1005" s="38" t="n">
        <v>4.26298414162309</v>
      </c>
      <c r="R1005" s="38" t="n">
        <v>72</v>
      </c>
      <c r="S1005" s="37" t="n">
        <v>0</v>
      </c>
    </row>
    <row r="1006" customFormat="false" ht="15" hidden="false" customHeight="false" outlineLevel="0" collapsed="false">
      <c r="A1006" s="37" t="n">
        <v>0</v>
      </c>
      <c r="B1006" s="37" t="n">
        <v>20</v>
      </c>
      <c r="C1006" s="37" t="n">
        <v>0</v>
      </c>
      <c r="D1006" s="37" t="n">
        <v>10</v>
      </c>
      <c r="E1006" s="37" t="n">
        <v>0</v>
      </c>
      <c r="F1006" s="37" t="n">
        <v>0</v>
      </c>
      <c r="G1006" s="37" t="s">
        <v>192</v>
      </c>
      <c r="H1006" s="38" t="n">
        <v>198.701466848688</v>
      </c>
      <c r="I1006" s="38" t="n">
        <v>197.127056999279</v>
      </c>
      <c r="J1006" s="38" t="n">
        <v>197.524078527406</v>
      </c>
      <c r="K1006" s="38" t="n">
        <v>199.832100696294</v>
      </c>
      <c r="L1006" s="38" t="n">
        <v>24.9341345665839</v>
      </c>
      <c r="M1006" s="38" t="n">
        <v>95.2932690742153</v>
      </c>
      <c r="N1006" s="38" t="n">
        <v>81.785812560389</v>
      </c>
      <c r="O1006" s="38" t="n">
        <v>58.631731521967</v>
      </c>
      <c r="P1006" s="37" t="n">
        <v>0</v>
      </c>
      <c r="Q1006" s="38" t="n">
        <v>0.0658654334160929</v>
      </c>
      <c r="R1006" s="38" t="n">
        <v>63</v>
      </c>
      <c r="S1006" s="37" t="n">
        <v>0</v>
      </c>
    </row>
    <row r="1007" customFormat="false" ht="15" hidden="false" customHeight="false" outlineLevel="0" collapsed="false">
      <c r="A1007" s="37" t="n">
        <v>0</v>
      </c>
      <c r="B1007" s="37" t="n">
        <v>20</v>
      </c>
      <c r="C1007" s="37" t="n">
        <v>0</v>
      </c>
      <c r="D1007" s="37" t="n">
        <v>10</v>
      </c>
      <c r="E1007" s="37" t="n">
        <v>0</v>
      </c>
      <c r="F1007" s="37" t="n">
        <v>0</v>
      </c>
      <c r="G1007" s="37" t="s">
        <v>195</v>
      </c>
      <c r="H1007" s="38" t="n">
        <v>198.701466848688</v>
      </c>
      <c r="I1007" s="38" t="n">
        <v>197.20589885419</v>
      </c>
      <c r="J1007" s="38" t="n">
        <v>192.736580940336</v>
      </c>
      <c r="K1007" s="38" t="n">
        <v>183.625603457974</v>
      </c>
      <c r="L1007" s="38" t="n">
        <v>24.9695815411378</v>
      </c>
      <c r="M1007" s="38" t="n">
        <v>95.2130361798005</v>
      </c>
      <c r="N1007" s="38" t="n">
        <v>74.9859587187675</v>
      </c>
      <c r="O1007" s="38" t="n">
        <v>56.7659542813294</v>
      </c>
      <c r="P1007" s="37" t="n">
        <v>0</v>
      </c>
      <c r="Q1007" s="38" t="n">
        <v>0.0304184588622434</v>
      </c>
      <c r="R1007" s="38" t="n">
        <v>67.2801384097338</v>
      </c>
      <c r="S1007" s="37" t="n">
        <v>0</v>
      </c>
    </row>
    <row r="1008" customFormat="false" ht="15" hidden="false" customHeight="false" outlineLevel="0" collapsed="false">
      <c r="A1008" s="37" t="n">
        <v>0</v>
      </c>
      <c r="B1008" s="37" t="n">
        <v>20</v>
      </c>
      <c r="C1008" s="37" t="n">
        <v>0</v>
      </c>
      <c r="D1008" s="37" t="n">
        <v>10</v>
      </c>
      <c r="E1008" s="37" t="n">
        <v>0</v>
      </c>
      <c r="F1008" s="37" t="n">
        <v>0</v>
      </c>
      <c r="G1008" s="37" t="s">
        <v>197</v>
      </c>
      <c r="H1008" s="38" t="n">
        <v>198.701466848688</v>
      </c>
      <c r="I1008" s="38" t="n">
        <v>197.123391182689</v>
      </c>
      <c r="J1008" s="38" t="n">
        <v>192.086413201215</v>
      </c>
      <c r="K1008" s="38" t="n">
        <v>182.364208978306</v>
      </c>
      <c r="L1008" s="38" t="n">
        <v>24.9458217231989</v>
      </c>
      <c r="M1008" s="38" t="n">
        <v>94.0772159111301</v>
      </c>
      <c r="N1008" s="38" t="n">
        <v>62.7314436507604</v>
      </c>
      <c r="O1008" s="38" t="n">
        <v>53.7567865297667</v>
      </c>
      <c r="P1008" s="37" t="n">
        <v>0</v>
      </c>
      <c r="Q1008" s="38" t="n">
        <v>0.0541782768010819</v>
      </c>
      <c r="R1008" s="38" t="n">
        <v>72</v>
      </c>
      <c r="S1008" s="37" t="n">
        <v>0</v>
      </c>
    </row>
    <row r="1009" customFormat="false" ht="15" hidden="false" customHeight="false" outlineLevel="0" collapsed="false">
      <c r="A1009" s="37" t="n">
        <v>0</v>
      </c>
      <c r="B1009" s="37" t="n">
        <v>20</v>
      </c>
      <c r="C1009" s="37" t="n">
        <v>0</v>
      </c>
      <c r="D1009" s="37" t="n">
        <v>10</v>
      </c>
      <c r="E1009" s="37" t="n">
        <v>0</v>
      </c>
      <c r="F1009" s="37" t="n">
        <v>0</v>
      </c>
      <c r="G1009" s="37" t="s">
        <v>196</v>
      </c>
      <c r="H1009" s="38" t="n">
        <v>198.701466848688</v>
      </c>
      <c r="I1009" s="38" t="n">
        <v>197.125355740217</v>
      </c>
      <c r="J1009" s="38" t="n">
        <v>198.191178134636</v>
      </c>
      <c r="K1009" s="38" t="n">
        <v>210.096657068174</v>
      </c>
      <c r="L1009" s="38" t="n">
        <v>24.9882663195548</v>
      </c>
      <c r="M1009" s="38" t="n">
        <v>97.0409918778945</v>
      </c>
      <c r="N1009" s="38" t="n">
        <v>91.0097478122781</v>
      </c>
      <c r="O1009" s="38" t="n">
        <v>55.2489075317583</v>
      </c>
      <c r="P1009" s="37" t="n">
        <v>0</v>
      </c>
      <c r="Q1009" s="38" t="n">
        <v>0.0117336804452464</v>
      </c>
      <c r="R1009" s="38" t="n">
        <v>61.5585360724893</v>
      </c>
      <c r="S1009" s="37" t="n">
        <v>1</v>
      </c>
    </row>
    <row r="1010" customFormat="false" ht="15" hidden="false" customHeight="false" outlineLevel="0" collapsed="false">
      <c r="A1010" s="37" t="n">
        <v>0</v>
      </c>
      <c r="B1010" s="37" t="n">
        <v>20</v>
      </c>
      <c r="C1010" s="37" t="n">
        <v>5</v>
      </c>
      <c r="D1010" s="37" t="n">
        <v>0</v>
      </c>
      <c r="E1010" s="37" t="n">
        <v>0</v>
      </c>
      <c r="F1010" s="37" t="n">
        <v>5</v>
      </c>
      <c r="G1010" s="37" t="s">
        <v>188</v>
      </c>
      <c r="H1010" s="38" t="n">
        <v>198.439693736721</v>
      </c>
      <c r="I1010" s="38" t="n">
        <v>197.141947672626</v>
      </c>
      <c r="J1010" s="38" t="n">
        <v>199.254989051811</v>
      </c>
      <c r="K1010" s="38" t="n">
        <v>209.130512072188</v>
      </c>
      <c r="L1010" s="38" t="n">
        <v>44.6478327552302</v>
      </c>
      <c r="M1010" s="38" t="n">
        <v>95.9419981730599</v>
      </c>
      <c r="N1010" s="38" t="n">
        <v>102.916661569468</v>
      </c>
      <c r="O1010" s="38" t="n">
        <v>60.612268158088</v>
      </c>
      <c r="P1010" s="37" t="n">
        <v>0</v>
      </c>
      <c r="Q1010" s="38" t="n">
        <v>0</v>
      </c>
      <c r="R1010" s="38" t="n">
        <v>70.5</v>
      </c>
      <c r="S1010" s="37" t="n">
        <v>0</v>
      </c>
    </row>
    <row r="1011" customFormat="false" ht="15" hidden="false" customHeight="false" outlineLevel="0" collapsed="false">
      <c r="A1011" s="37" t="n">
        <v>0</v>
      </c>
      <c r="B1011" s="37" t="n">
        <v>20</v>
      </c>
      <c r="C1011" s="37" t="n">
        <v>5</v>
      </c>
      <c r="D1011" s="37" t="n">
        <v>0</v>
      </c>
      <c r="E1011" s="37" t="n">
        <v>0</v>
      </c>
      <c r="F1011" s="37" t="n">
        <v>5</v>
      </c>
      <c r="G1011" s="37" t="s">
        <v>192</v>
      </c>
      <c r="H1011" s="38" t="n">
        <v>198.439693736721</v>
      </c>
      <c r="I1011" s="38" t="n">
        <v>197.15388322238</v>
      </c>
      <c r="J1011" s="38" t="n">
        <v>212.486049265709</v>
      </c>
      <c r="K1011" s="38" t="n">
        <v>219.79977169536</v>
      </c>
      <c r="L1011" s="38" t="n">
        <v>47.4019303300077</v>
      </c>
      <c r="M1011" s="38" t="n">
        <v>98.9612905707556</v>
      </c>
      <c r="N1011" s="38" t="n">
        <v>122.920476259896</v>
      </c>
      <c r="O1011" s="38" t="n">
        <v>69.3741777999763</v>
      </c>
      <c r="P1011" s="37" t="n">
        <v>0</v>
      </c>
      <c r="Q1011" s="38" t="n">
        <v>0</v>
      </c>
      <c r="R1011" s="38" t="n">
        <v>70.5</v>
      </c>
      <c r="S1011" s="37" t="n">
        <v>1</v>
      </c>
    </row>
    <row r="1012" customFormat="false" ht="15" hidden="false" customHeight="false" outlineLevel="0" collapsed="false">
      <c r="A1012" s="37" t="n">
        <v>0</v>
      </c>
      <c r="B1012" s="37" t="n">
        <v>20</v>
      </c>
      <c r="C1012" s="37" t="n">
        <v>5</v>
      </c>
      <c r="D1012" s="37" t="n">
        <v>0</v>
      </c>
      <c r="E1012" s="37" t="n">
        <v>0</v>
      </c>
      <c r="F1012" s="37" t="n">
        <v>5</v>
      </c>
      <c r="G1012" s="37" t="s">
        <v>195</v>
      </c>
      <c r="H1012" s="38" t="n">
        <v>198.439693736721</v>
      </c>
      <c r="I1012" s="38" t="n">
        <v>197.150239116224</v>
      </c>
      <c r="J1012" s="38" t="n">
        <v>197.728157723099</v>
      </c>
      <c r="K1012" s="38" t="n">
        <v>203.766537385671</v>
      </c>
      <c r="L1012" s="38" t="n">
        <v>44.8252772309967</v>
      </c>
      <c r="M1012" s="38" t="n">
        <v>95.950757050541</v>
      </c>
      <c r="N1012" s="38" t="n">
        <v>98.4785065125959</v>
      </c>
      <c r="O1012" s="38" t="n">
        <v>58.1195014920207</v>
      </c>
      <c r="P1012" s="37" t="n">
        <v>0</v>
      </c>
      <c r="Q1012" s="38" t="n">
        <v>0</v>
      </c>
      <c r="R1012" s="38" t="n">
        <v>68.4926219535979</v>
      </c>
      <c r="S1012" s="37" t="n">
        <v>0</v>
      </c>
    </row>
    <row r="1013" customFormat="false" ht="15" hidden="false" customHeight="false" outlineLevel="0" collapsed="false">
      <c r="A1013" s="37" t="n">
        <v>0</v>
      </c>
      <c r="B1013" s="37" t="n">
        <v>20</v>
      </c>
      <c r="C1013" s="37" t="n">
        <v>5</v>
      </c>
      <c r="D1013" s="37" t="n">
        <v>0</v>
      </c>
      <c r="E1013" s="37" t="n">
        <v>0</v>
      </c>
      <c r="F1013" s="37" t="n">
        <v>5</v>
      </c>
      <c r="G1013" s="37" t="s">
        <v>197</v>
      </c>
      <c r="H1013" s="38" t="n">
        <v>198.439693736721</v>
      </c>
      <c r="I1013" s="38" t="n">
        <v>197.141146655198</v>
      </c>
      <c r="J1013" s="38" t="n">
        <v>201.402325087646</v>
      </c>
      <c r="K1013" s="38" t="n">
        <v>212.013994853625</v>
      </c>
      <c r="L1013" s="38" t="n">
        <v>49.4112540384473</v>
      </c>
      <c r="M1013" s="38" t="n">
        <v>95.4746402444015</v>
      </c>
      <c r="N1013" s="38" t="n">
        <v>100.124213401218</v>
      </c>
      <c r="O1013" s="38" t="n">
        <v>59.9133731012986</v>
      </c>
      <c r="P1013" s="37" t="n">
        <v>0</v>
      </c>
      <c r="Q1013" s="38" t="n">
        <v>0</v>
      </c>
      <c r="R1013" s="38" t="n">
        <v>70.5</v>
      </c>
      <c r="S1013" s="37" t="n">
        <v>0</v>
      </c>
    </row>
    <row r="1014" customFormat="false" ht="15" hidden="false" customHeight="false" outlineLevel="0" collapsed="false">
      <c r="A1014" s="37" t="n">
        <v>0</v>
      </c>
      <c r="B1014" s="37" t="n">
        <v>20</v>
      </c>
      <c r="C1014" s="37" t="n">
        <v>5</v>
      </c>
      <c r="D1014" s="37" t="n">
        <v>0</v>
      </c>
      <c r="E1014" s="37" t="n">
        <v>0</v>
      </c>
      <c r="F1014" s="37" t="n">
        <v>5</v>
      </c>
      <c r="G1014" s="37" t="s">
        <v>196</v>
      </c>
      <c r="H1014" s="38" t="n">
        <v>198.439693736721</v>
      </c>
      <c r="I1014" s="38" t="n">
        <v>197.147650839104</v>
      </c>
      <c r="J1014" s="38" t="n">
        <v>213.01250636478</v>
      </c>
      <c r="K1014" s="38" t="n">
        <v>219.956978347306</v>
      </c>
      <c r="L1014" s="38" t="n">
        <v>53.5775876476314</v>
      </c>
      <c r="M1014" s="38" t="n">
        <v>98.2314728954612</v>
      </c>
      <c r="N1014" s="38" t="n">
        <v>117.539493833293</v>
      </c>
      <c r="O1014" s="38" t="n">
        <v>65.1194872534813</v>
      </c>
      <c r="P1014" s="37" t="n">
        <v>0</v>
      </c>
      <c r="Q1014" s="38" t="n">
        <v>0</v>
      </c>
      <c r="R1014" s="38" t="n">
        <v>69.5111075205505</v>
      </c>
      <c r="S1014" s="37" t="n">
        <v>0</v>
      </c>
    </row>
    <row r="1015" customFormat="false" ht="15" hidden="false" customHeight="false" outlineLevel="0" collapsed="false">
      <c r="A1015" s="37" t="n">
        <v>0</v>
      </c>
      <c r="B1015" s="37" t="n">
        <v>20</v>
      </c>
      <c r="C1015" s="37" t="n">
        <v>5</v>
      </c>
      <c r="D1015" s="37" t="n">
        <v>0</v>
      </c>
      <c r="E1015" s="37" t="n">
        <v>5</v>
      </c>
      <c r="F1015" s="37" t="n">
        <v>0</v>
      </c>
      <c r="G1015" s="37" t="s">
        <v>188</v>
      </c>
      <c r="H1015" s="38" t="n">
        <v>198.455194847182</v>
      </c>
      <c r="I1015" s="38" t="n">
        <v>197.249390093276</v>
      </c>
      <c r="J1015" s="38" t="n">
        <v>200.598985224958</v>
      </c>
      <c r="K1015" s="38" t="n">
        <v>211.480082680594</v>
      </c>
      <c r="L1015" s="38" t="n">
        <v>24.9962539834868</v>
      </c>
      <c r="M1015" s="38" t="n">
        <v>96.8448572034556</v>
      </c>
      <c r="N1015" s="38" t="n">
        <v>93.9215257585772</v>
      </c>
      <c r="O1015" s="38" t="n">
        <v>57.3744980496492</v>
      </c>
      <c r="P1015" s="37" t="n">
        <v>0</v>
      </c>
      <c r="Q1015" s="38" t="n">
        <v>0.00374601651321882</v>
      </c>
      <c r="R1015" s="38" t="n">
        <v>70.5</v>
      </c>
      <c r="S1015" s="37" t="n">
        <v>0</v>
      </c>
    </row>
    <row r="1016" customFormat="false" ht="15" hidden="false" customHeight="false" outlineLevel="0" collapsed="false">
      <c r="A1016" s="37" t="n">
        <v>0</v>
      </c>
      <c r="B1016" s="37" t="n">
        <v>20</v>
      </c>
      <c r="C1016" s="37" t="n">
        <v>5</v>
      </c>
      <c r="D1016" s="37" t="n">
        <v>0</v>
      </c>
      <c r="E1016" s="37" t="n">
        <v>5</v>
      </c>
      <c r="F1016" s="37" t="n">
        <v>0</v>
      </c>
      <c r="G1016" s="37" t="s">
        <v>192</v>
      </c>
      <c r="H1016" s="38" t="n">
        <v>198.455194847182</v>
      </c>
      <c r="I1016" s="38" t="n">
        <v>197.263621315874</v>
      </c>
      <c r="J1016" s="38" t="n">
        <v>206.795557793561</v>
      </c>
      <c r="K1016" s="38" t="n">
        <v>228.503922840937</v>
      </c>
      <c r="L1016" s="38" t="n">
        <v>35.6217146487966</v>
      </c>
      <c r="M1016" s="38" t="n">
        <v>99.6608807285417</v>
      </c>
      <c r="N1016" s="38" t="n">
        <v>117.565929009245</v>
      </c>
      <c r="O1016" s="38" t="n">
        <v>60.1937569144055</v>
      </c>
      <c r="P1016" s="37" t="n">
        <v>0</v>
      </c>
      <c r="Q1016" s="38" t="n">
        <v>0</v>
      </c>
      <c r="R1016" s="38" t="n">
        <v>61.5</v>
      </c>
      <c r="S1016" s="37" t="n">
        <v>0</v>
      </c>
    </row>
    <row r="1017" customFormat="false" ht="15" hidden="false" customHeight="false" outlineLevel="0" collapsed="false">
      <c r="A1017" s="37" t="n">
        <v>0</v>
      </c>
      <c r="B1017" s="37" t="n">
        <v>20</v>
      </c>
      <c r="C1017" s="37" t="n">
        <v>5</v>
      </c>
      <c r="D1017" s="37" t="n">
        <v>0</v>
      </c>
      <c r="E1017" s="37" t="n">
        <v>5</v>
      </c>
      <c r="F1017" s="37" t="n">
        <v>0</v>
      </c>
      <c r="G1017" s="37" t="s">
        <v>195</v>
      </c>
      <c r="H1017" s="38" t="n">
        <v>198.455194847182</v>
      </c>
      <c r="I1017" s="38" t="n">
        <v>197.259449567323</v>
      </c>
      <c r="J1017" s="38" t="n">
        <v>199.075943761019</v>
      </c>
      <c r="K1017" s="38" t="n">
        <v>205.933489676101</v>
      </c>
      <c r="L1017" s="38" t="n">
        <v>24.9948610399005</v>
      </c>
      <c r="M1017" s="38" t="n">
        <v>96.8567708342849</v>
      </c>
      <c r="N1017" s="38" t="n">
        <v>89.6814922718906</v>
      </c>
      <c r="O1017" s="38" t="n">
        <v>55.1774633491986</v>
      </c>
      <c r="P1017" s="37" t="n">
        <v>0</v>
      </c>
      <c r="Q1017" s="38" t="n">
        <v>0.00513896009945825</v>
      </c>
      <c r="R1017" s="38" t="n">
        <v>68.4581688726975</v>
      </c>
      <c r="S1017" s="37" t="n">
        <v>0</v>
      </c>
    </row>
    <row r="1018" customFormat="false" ht="15" hidden="false" customHeight="false" outlineLevel="0" collapsed="false">
      <c r="A1018" s="37" t="n">
        <v>0</v>
      </c>
      <c r="B1018" s="37" t="n">
        <v>20</v>
      </c>
      <c r="C1018" s="37" t="n">
        <v>5</v>
      </c>
      <c r="D1018" s="37" t="n">
        <v>0</v>
      </c>
      <c r="E1018" s="37" t="n">
        <v>5</v>
      </c>
      <c r="F1018" s="37" t="n">
        <v>0</v>
      </c>
      <c r="G1018" s="37" t="s">
        <v>197</v>
      </c>
      <c r="H1018" s="38" t="n">
        <v>198.455194847182</v>
      </c>
      <c r="I1018" s="38" t="n">
        <v>197.258611431949</v>
      </c>
      <c r="J1018" s="38" t="n">
        <v>203.631939236168</v>
      </c>
      <c r="K1018" s="38" t="n">
        <v>215.467436861509</v>
      </c>
      <c r="L1018" s="38" t="n">
        <v>28.3484113686343</v>
      </c>
      <c r="M1018" s="38" t="n">
        <v>99.6161067083578</v>
      </c>
      <c r="N1018" s="38" t="n">
        <v>103.576039204058</v>
      </c>
      <c r="O1018" s="38" t="n">
        <v>60.92202891317</v>
      </c>
      <c r="P1018" s="37" t="n">
        <v>0</v>
      </c>
      <c r="Q1018" s="38" t="n">
        <v>0</v>
      </c>
      <c r="R1018" s="38" t="n">
        <v>70.5</v>
      </c>
      <c r="S1018" s="37" t="n">
        <v>0</v>
      </c>
    </row>
    <row r="1019" customFormat="false" ht="15" hidden="false" customHeight="false" outlineLevel="0" collapsed="false">
      <c r="A1019" s="37" t="n">
        <v>0</v>
      </c>
      <c r="B1019" s="37" t="n">
        <v>20</v>
      </c>
      <c r="C1019" s="37" t="n">
        <v>5</v>
      </c>
      <c r="D1019" s="37" t="n">
        <v>0</v>
      </c>
      <c r="E1019" s="37" t="n">
        <v>5</v>
      </c>
      <c r="F1019" s="37" t="n">
        <v>0</v>
      </c>
      <c r="G1019" s="37" t="s">
        <v>196</v>
      </c>
      <c r="H1019" s="38" t="n">
        <v>198.455194847182</v>
      </c>
      <c r="I1019" s="38" t="n">
        <v>197.258965949318</v>
      </c>
      <c r="J1019" s="38" t="n">
        <v>211.897138153336</v>
      </c>
      <c r="K1019" s="38" t="n">
        <v>235.159914592606</v>
      </c>
      <c r="L1019" s="38" t="n">
        <v>80.2638408007715</v>
      </c>
      <c r="M1019" s="38" t="n">
        <v>99.7405314984223</v>
      </c>
      <c r="N1019" s="38" t="n">
        <v>120.93867070933</v>
      </c>
      <c r="O1019" s="38" t="n">
        <v>59.7916276045078</v>
      </c>
      <c r="P1019" s="37" t="n">
        <v>0</v>
      </c>
      <c r="Q1019" s="38" t="n">
        <v>0</v>
      </c>
      <c r="R1019" s="38" t="n">
        <v>60.3278806316051</v>
      </c>
      <c r="S1019" s="37" t="n">
        <v>1</v>
      </c>
    </row>
    <row r="1020" customFormat="false" ht="15" hidden="false" customHeight="false" outlineLevel="0" collapsed="false">
      <c r="A1020" s="37" t="n">
        <v>0</v>
      </c>
      <c r="B1020" s="37" t="n">
        <v>20</v>
      </c>
      <c r="C1020" s="37" t="n">
        <v>5</v>
      </c>
      <c r="D1020" s="37" t="n">
        <v>5</v>
      </c>
      <c r="E1020" s="37" t="n">
        <v>0</v>
      </c>
      <c r="F1020" s="37" t="n">
        <v>0</v>
      </c>
      <c r="G1020" s="37" t="s">
        <v>188</v>
      </c>
      <c r="H1020" s="38" t="n">
        <v>198.63584202217</v>
      </c>
      <c r="I1020" s="38" t="n">
        <v>198.493098633781</v>
      </c>
      <c r="J1020" s="38" t="n">
        <v>207.662132534006</v>
      </c>
      <c r="K1020" s="38" t="n">
        <v>213.116948774624</v>
      </c>
      <c r="L1020" s="38" t="n">
        <v>24.984411476552</v>
      </c>
      <c r="M1020" s="38" t="n">
        <v>97.6152615794817</v>
      </c>
      <c r="N1020" s="38" t="n">
        <v>98.5561845339624</v>
      </c>
      <c r="O1020" s="38" t="n">
        <v>63.0612194512782</v>
      </c>
      <c r="P1020" s="37" t="n">
        <v>0</v>
      </c>
      <c r="Q1020" s="38" t="n">
        <v>0.0155885234480273</v>
      </c>
      <c r="R1020" s="38" t="n">
        <v>72</v>
      </c>
      <c r="S1020" s="37" t="n">
        <v>0</v>
      </c>
    </row>
    <row r="1021" customFormat="false" ht="15" hidden="false" customHeight="false" outlineLevel="0" collapsed="false">
      <c r="A1021" s="37" t="n">
        <v>0</v>
      </c>
      <c r="B1021" s="37" t="n">
        <v>20</v>
      </c>
      <c r="C1021" s="37" t="n">
        <v>5</v>
      </c>
      <c r="D1021" s="37" t="n">
        <v>5</v>
      </c>
      <c r="E1021" s="37" t="n">
        <v>0</v>
      </c>
      <c r="F1021" s="37" t="n">
        <v>0</v>
      </c>
      <c r="G1021" s="37" t="s">
        <v>192</v>
      </c>
      <c r="H1021" s="38" t="n">
        <v>198.63584202217</v>
      </c>
      <c r="I1021" s="38" t="n">
        <v>198.508823682173</v>
      </c>
      <c r="J1021" s="38" t="n">
        <v>212.986925411051</v>
      </c>
      <c r="K1021" s="38" t="n">
        <v>229.072109099154</v>
      </c>
      <c r="L1021" s="38" t="n">
        <v>77.0463262637219</v>
      </c>
      <c r="M1021" s="38" t="n">
        <v>100.52364347696</v>
      </c>
      <c r="N1021" s="38" t="n">
        <v>123.091588274261</v>
      </c>
      <c r="O1021" s="38" t="n">
        <v>69.3588409027495</v>
      </c>
      <c r="P1021" s="37" t="n">
        <v>0</v>
      </c>
      <c r="Q1021" s="38" t="n">
        <v>0</v>
      </c>
      <c r="R1021" s="38" t="n">
        <v>63</v>
      </c>
      <c r="S1021" s="37" t="n">
        <v>0</v>
      </c>
    </row>
    <row r="1022" customFormat="false" ht="15" hidden="false" customHeight="false" outlineLevel="0" collapsed="false">
      <c r="A1022" s="37" t="n">
        <v>0</v>
      </c>
      <c r="B1022" s="37" t="n">
        <v>20</v>
      </c>
      <c r="C1022" s="37" t="n">
        <v>5</v>
      </c>
      <c r="D1022" s="37" t="n">
        <v>5</v>
      </c>
      <c r="E1022" s="37" t="n">
        <v>0</v>
      </c>
      <c r="F1022" s="37" t="n">
        <v>0</v>
      </c>
      <c r="G1022" s="37" t="s">
        <v>195</v>
      </c>
      <c r="H1022" s="38" t="n">
        <v>198.63584202217</v>
      </c>
      <c r="I1022" s="38" t="n">
        <v>198.566603784735</v>
      </c>
      <c r="J1022" s="38" t="n">
        <v>208.977944599473</v>
      </c>
      <c r="K1022" s="38" t="n">
        <v>212.293984335832</v>
      </c>
      <c r="L1022" s="38" t="n">
        <v>26.0475652312914</v>
      </c>
      <c r="M1022" s="38" t="n">
        <v>99.2876008645977</v>
      </c>
      <c r="N1022" s="38" t="n">
        <v>103.562626456755</v>
      </c>
      <c r="O1022" s="38" t="n">
        <v>64.0756611681808</v>
      </c>
      <c r="P1022" s="37" t="n">
        <v>0</v>
      </c>
      <c r="Q1022" s="38" t="n">
        <v>0</v>
      </c>
      <c r="R1022" s="38" t="n">
        <v>70.4260742686378</v>
      </c>
      <c r="S1022" s="37" t="n">
        <v>0</v>
      </c>
    </row>
    <row r="1023" customFormat="false" ht="15" hidden="false" customHeight="false" outlineLevel="0" collapsed="false">
      <c r="A1023" s="37" t="n">
        <v>0</v>
      </c>
      <c r="B1023" s="37" t="n">
        <v>20</v>
      </c>
      <c r="C1023" s="37" t="n">
        <v>5</v>
      </c>
      <c r="D1023" s="37" t="n">
        <v>5</v>
      </c>
      <c r="E1023" s="37" t="n">
        <v>0</v>
      </c>
      <c r="F1023" s="37" t="n">
        <v>0</v>
      </c>
      <c r="G1023" s="37" t="s">
        <v>197</v>
      </c>
      <c r="H1023" s="38" t="n">
        <v>198.63584202217</v>
      </c>
      <c r="I1023" s="38" t="n">
        <v>198.48964371956</v>
      </c>
      <c r="J1023" s="38" t="n">
        <v>209.756636889799</v>
      </c>
      <c r="K1023" s="38" t="n">
        <v>215.55856584441</v>
      </c>
      <c r="L1023" s="38" t="n">
        <v>28.1997902912993</v>
      </c>
      <c r="M1023" s="38" t="n">
        <v>97.1854486816727</v>
      </c>
      <c r="N1023" s="38" t="n">
        <v>98.4061197871401</v>
      </c>
      <c r="O1023" s="38" t="n">
        <v>62.486516813029</v>
      </c>
      <c r="P1023" s="37" t="n">
        <v>0</v>
      </c>
      <c r="Q1023" s="38" t="n">
        <v>0</v>
      </c>
      <c r="R1023" s="38" t="n">
        <v>72</v>
      </c>
      <c r="S1023" s="37" t="n">
        <v>0</v>
      </c>
    </row>
    <row r="1024" customFormat="false" ht="15" hidden="false" customHeight="false" outlineLevel="0" collapsed="false">
      <c r="A1024" s="37" t="n">
        <v>0</v>
      </c>
      <c r="B1024" s="37" t="n">
        <v>20</v>
      </c>
      <c r="C1024" s="37" t="n">
        <v>5</v>
      </c>
      <c r="D1024" s="37" t="n">
        <v>5</v>
      </c>
      <c r="E1024" s="37" t="n">
        <v>0</v>
      </c>
      <c r="F1024" s="37" t="n">
        <v>0</v>
      </c>
      <c r="G1024" s="37" t="s">
        <v>196</v>
      </c>
      <c r="H1024" s="38" t="n">
        <v>198.63584202217</v>
      </c>
      <c r="I1024" s="38" t="n">
        <v>198.498844006641</v>
      </c>
      <c r="J1024" s="38" t="n">
        <v>218.133549349461</v>
      </c>
      <c r="K1024" s="38" t="n">
        <v>235.290430053153</v>
      </c>
      <c r="L1024" s="38" t="n">
        <v>82.1475139690972</v>
      </c>
      <c r="M1024" s="38" t="n">
        <v>100.48965657305</v>
      </c>
      <c r="N1024" s="38" t="n">
        <v>124.435139299898</v>
      </c>
      <c r="O1024" s="38" t="n">
        <v>65.1286420093072</v>
      </c>
      <c r="P1024" s="37" t="n">
        <v>0</v>
      </c>
      <c r="Q1024" s="38" t="n">
        <v>0</v>
      </c>
      <c r="R1024" s="38" t="n">
        <v>61.9438744772983</v>
      </c>
      <c r="S1024" s="37" t="n">
        <v>1</v>
      </c>
    </row>
    <row r="1025" customFormat="false" ht="15" hidden="false" customHeight="false" outlineLevel="0" collapsed="false">
      <c r="A1025" s="37" t="n">
        <v>0</v>
      </c>
      <c r="B1025" s="37" t="n">
        <v>20</v>
      </c>
      <c r="C1025" s="37" t="n">
        <v>10</v>
      </c>
      <c r="D1025" s="37" t="n">
        <v>0</v>
      </c>
      <c r="E1025" s="37" t="n">
        <v>0</v>
      </c>
      <c r="F1025" s="37" t="n">
        <v>0</v>
      </c>
      <c r="G1025" s="37" t="s">
        <v>188</v>
      </c>
      <c r="H1025" s="38" t="n">
        <v>198.661813046386</v>
      </c>
      <c r="I1025" s="38" t="n">
        <v>200.094107540427</v>
      </c>
      <c r="J1025" s="38" t="n">
        <v>211.926329726195</v>
      </c>
      <c r="K1025" s="38" t="n">
        <v>233.070086064019</v>
      </c>
      <c r="L1025" s="38" t="n">
        <v>41.0785617483094</v>
      </c>
      <c r="M1025" s="38" t="n">
        <v>102.810308021587</v>
      </c>
      <c r="N1025" s="38" t="n">
        <v>121.032903886338</v>
      </c>
      <c r="O1025" s="38" t="n">
        <v>62.369853456787</v>
      </c>
      <c r="P1025" s="37" t="n">
        <v>0</v>
      </c>
      <c r="Q1025" s="38" t="n">
        <v>0</v>
      </c>
      <c r="R1025" s="38" t="n">
        <v>70.5</v>
      </c>
      <c r="S1025" s="37" t="n">
        <v>0</v>
      </c>
    </row>
    <row r="1026" customFormat="false" ht="15" hidden="false" customHeight="false" outlineLevel="0" collapsed="false">
      <c r="A1026" s="37" t="n">
        <v>0</v>
      </c>
      <c r="B1026" s="37" t="n">
        <v>20</v>
      </c>
      <c r="C1026" s="37" t="n">
        <v>10</v>
      </c>
      <c r="D1026" s="37" t="n">
        <v>0</v>
      </c>
      <c r="E1026" s="37" t="n">
        <v>0</v>
      </c>
      <c r="F1026" s="37" t="n">
        <v>0</v>
      </c>
      <c r="G1026" s="37" t="s">
        <v>192</v>
      </c>
      <c r="H1026" s="38" t="n">
        <v>198.661813046386</v>
      </c>
      <c r="I1026" s="38" t="n">
        <v>200.106727100416</v>
      </c>
      <c r="J1026" s="38" t="n">
        <v>225.034951374157</v>
      </c>
      <c r="K1026" s="38" t="n">
        <v>242.840007991048</v>
      </c>
      <c r="L1026" s="38" t="n">
        <v>83.6530784650306</v>
      </c>
      <c r="M1026" s="38" t="n">
        <v>105.667576074065</v>
      </c>
      <c r="N1026" s="38" t="n">
        <v>139.045279251391</v>
      </c>
      <c r="O1026" s="38" t="n">
        <v>73.3918305517966</v>
      </c>
      <c r="P1026" s="37" t="n">
        <v>0</v>
      </c>
      <c r="Q1026" s="38" t="n">
        <v>0</v>
      </c>
      <c r="R1026" s="38" t="n">
        <v>70.5</v>
      </c>
      <c r="S1026" s="37" t="n">
        <v>1</v>
      </c>
    </row>
    <row r="1027" customFormat="false" ht="15" hidden="false" customHeight="false" outlineLevel="0" collapsed="false">
      <c r="A1027" s="37" t="n">
        <v>0</v>
      </c>
      <c r="B1027" s="37" t="n">
        <v>20</v>
      </c>
      <c r="C1027" s="37" t="n">
        <v>10</v>
      </c>
      <c r="D1027" s="37" t="n">
        <v>0</v>
      </c>
      <c r="E1027" s="37" t="n">
        <v>0</v>
      </c>
      <c r="F1027" s="37" t="n">
        <v>0</v>
      </c>
      <c r="G1027" s="37" t="s">
        <v>195</v>
      </c>
      <c r="H1027" s="38" t="n">
        <v>198.661813046386</v>
      </c>
      <c r="I1027" s="38" t="n">
        <v>200.120088299038</v>
      </c>
      <c r="J1027" s="38" t="n">
        <v>210.085817738826</v>
      </c>
      <c r="K1027" s="38" t="n">
        <v>227.419099411265</v>
      </c>
      <c r="L1027" s="38" t="n">
        <v>28.7677775524886</v>
      </c>
      <c r="M1027" s="38" t="n">
        <v>102.838080463701</v>
      </c>
      <c r="N1027" s="38" t="n">
        <v>107.709906022888</v>
      </c>
      <c r="O1027" s="38" t="n">
        <v>63.263037908171</v>
      </c>
      <c r="P1027" s="37" t="n">
        <v>0</v>
      </c>
      <c r="Q1027" s="38" t="n">
        <v>0</v>
      </c>
      <c r="R1027" s="38" t="n">
        <v>68.5796034423672</v>
      </c>
      <c r="S1027" s="37" t="n">
        <v>0</v>
      </c>
    </row>
    <row r="1028" customFormat="false" ht="15" hidden="false" customHeight="false" outlineLevel="0" collapsed="false">
      <c r="A1028" s="37" t="n">
        <v>0</v>
      </c>
      <c r="B1028" s="37" t="n">
        <v>20</v>
      </c>
      <c r="C1028" s="37" t="n">
        <v>10</v>
      </c>
      <c r="D1028" s="37" t="n">
        <v>0</v>
      </c>
      <c r="E1028" s="37" t="n">
        <v>0</v>
      </c>
      <c r="F1028" s="37" t="n">
        <v>0</v>
      </c>
      <c r="G1028" s="37" t="s">
        <v>197</v>
      </c>
      <c r="H1028" s="38" t="n">
        <v>198.661813046386</v>
      </c>
      <c r="I1028" s="38" t="n">
        <v>200.07618905103</v>
      </c>
      <c r="J1028" s="38" t="n">
        <v>213.24006885635</v>
      </c>
      <c r="K1028" s="38" t="n">
        <v>234.501268443709</v>
      </c>
      <c r="L1028" s="38" t="n">
        <v>32.0134030140916</v>
      </c>
      <c r="M1028" s="38" t="n">
        <v>100.503995310998</v>
      </c>
      <c r="N1028" s="38" t="n">
        <v>106.634956017152</v>
      </c>
      <c r="O1028" s="38" t="n">
        <v>64.819195341012</v>
      </c>
      <c r="P1028" s="37" t="n">
        <v>0</v>
      </c>
      <c r="Q1028" s="38" t="n">
        <v>0</v>
      </c>
      <c r="R1028" s="38" t="n">
        <v>70.5</v>
      </c>
      <c r="S1028" s="37" t="n">
        <v>0</v>
      </c>
    </row>
    <row r="1029" customFormat="false" ht="15" hidden="false" customHeight="false" outlineLevel="0" collapsed="false">
      <c r="A1029" s="37" t="n">
        <v>0</v>
      </c>
      <c r="B1029" s="37" t="n">
        <v>20</v>
      </c>
      <c r="C1029" s="37" t="n">
        <v>10</v>
      </c>
      <c r="D1029" s="37" t="n">
        <v>0</v>
      </c>
      <c r="E1029" s="37" t="n">
        <v>0</v>
      </c>
      <c r="F1029" s="37" t="n">
        <v>0</v>
      </c>
      <c r="G1029" s="37" t="s">
        <v>196</v>
      </c>
      <c r="H1029" s="38" t="n">
        <v>198.661813046386</v>
      </c>
      <c r="I1029" s="38" t="n">
        <v>200.094523133464</v>
      </c>
      <c r="J1029" s="38" t="n">
        <v>224.988024260744</v>
      </c>
      <c r="K1029" s="38" t="n">
        <v>242.37486813135</v>
      </c>
      <c r="L1029" s="38" t="n">
        <v>86.869576189792</v>
      </c>
      <c r="M1029" s="38" t="n">
        <v>103.926679719161</v>
      </c>
      <c r="N1029" s="38" t="n">
        <v>130.595412334026</v>
      </c>
      <c r="O1029" s="38" t="n">
        <v>68.4922780530245</v>
      </c>
      <c r="P1029" s="37" t="n">
        <v>0</v>
      </c>
      <c r="Q1029" s="38" t="n">
        <v>0</v>
      </c>
      <c r="R1029" s="38" t="n">
        <v>69.4892485989729</v>
      </c>
      <c r="S1029" s="37" t="n">
        <v>0</v>
      </c>
    </row>
    <row r="1030" customFormat="false" ht="15" hidden="false" customHeight="false" outlineLevel="0" collapsed="false">
      <c r="A1030" s="37" t="n">
        <v>0</v>
      </c>
      <c r="B1030" s="37" t="n">
        <v>25</v>
      </c>
      <c r="C1030" s="37" t="n">
        <v>0</v>
      </c>
      <c r="D1030" s="37" t="n">
        <v>0</v>
      </c>
      <c r="E1030" s="37" t="n">
        <v>0</v>
      </c>
      <c r="F1030" s="37" t="n">
        <v>5</v>
      </c>
      <c r="G1030" s="37" t="s">
        <v>188</v>
      </c>
      <c r="H1030" s="38" t="n">
        <v>198.352470698169</v>
      </c>
      <c r="I1030" s="38" t="n">
        <v>195.446085230905</v>
      </c>
      <c r="J1030" s="38" t="n">
        <v>184.470406530178</v>
      </c>
      <c r="K1030" s="38" t="n">
        <v>181.516991234819</v>
      </c>
      <c r="L1030" s="38" t="n">
        <v>27.4091174057567</v>
      </c>
      <c r="M1030" s="38" t="n">
        <v>90.4287313932624</v>
      </c>
      <c r="N1030" s="38" t="n">
        <v>61.8280129114521</v>
      </c>
      <c r="O1030" s="38" t="n">
        <v>47.5814435781087</v>
      </c>
      <c r="P1030" s="37" t="n">
        <v>0</v>
      </c>
      <c r="Q1030" s="38" t="n">
        <v>0</v>
      </c>
      <c r="R1030" s="38" t="n">
        <v>70.5</v>
      </c>
      <c r="S1030" s="37" t="n">
        <v>0</v>
      </c>
    </row>
    <row r="1031" customFormat="false" ht="15" hidden="false" customHeight="false" outlineLevel="0" collapsed="false">
      <c r="A1031" s="37" t="n">
        <v>0</v>
      </c>
      <c r="B1031" s="37" t="n">
        <v>25</v>
      </c>
      <c r="C1031" s="37" t="n">
        <v>0</v>
      </c>
      <c r="D1031" s="37" t="n">
        <v>0</v>
      </c>
      <c r="E1031" s="37" t="n">
        <v>0</v>
      </c>
      <c r="F1031" s="37" t="n">
        <v>5</v>
      </c>
      <c r="G1031" s="37" t="s">
        <v>192</v>
      </c>
      <c r="H1031" s="38" t="n">
        <v>198.352470698169</v>
      </c>
      <c r="I1031" s="38" t="n">
        <v>195.45060643341</v>
      </c>
      <c r="J1031" s="38" t="n">
        <v>198.257980262317</v>
      </c>
      <c r="K1031" s="38" t="n">
        <v>193.116464867982</v>
      </c>
      <c r="L1031" s="38" t="n">
        <v>30.7134235400784</v>
      </c>
      <c r="M1031" s="38" t="n">
        <v>94.2135839971187</v>
      </c>
      <c r="N1031" s="38" t="n">
        <v>86.9746380699021</v>
      </c>
      <c r="O1031" s="38" t="n">
        <v>57.628228514901</v>
      </c>
      <c r="P1031" s="37" t="n">
        <v>0</v>
      </c>
      <c r="Q1031" s="38" t="n">
        <v>0</v>
      </c>
      <c r="R1031" s="38" t="n">
        <v>70.5</v>
      </c>
      <c r="S1031" s="37" t="n">
        <v>1</v>
      </c>
    </row>
    <row r="1032" customFormat="false" ht="15" hidden="false" customHeight="false" outlineLevel="0" collapsed="false">
      <c r="A1032" s="37" t="n">
        <v>0</v>
      </c>
      <c r="B1032" s="37" t="n">
        <v>25</v>
      </c>
      <c r="C1032" s="37" t="n">
        <v>0</v>
      </c>
      <c r="D1032" s="37" t="n">
        <v>0</v>
      </c>
      <c r="E1032" s="37" t="n">
        <v>0</v>
      </c>
      <c r="F1032" s="37" t="n">
        <v>5</v>
      </c>
      <c r="G1032" s="37" t="s">
        <v>195</v>
      </c>
      <c r="H1032" s="38" t="n">
        <v>198.352470698169</v>
      </c>
      <c r="I1032" s="38" t="n">
        <v>195.447269131736</v>
      </c>
      <c r="J1032" s="38" t="n">
        <v>184.16806966711</v>
      </c>
      <c r="K1032" s="38" t="n">
        <v>177.368717592938</v>
      </c>
      <c r="L1032" s="38" t="n">
        <v>29.4821807028159</v>
      </c>
      <c r="M1032" s="38" t="n">
        <v>90.4301768399892</v>
      </c>
      <c r="N1032" s="38" t="n">
        <v>61.2709295820149</v>
      </c>
      <c r="O1032" s="38" t="n">
        <v>46.5206867395441</v>
      </c>
      <c r="P1032" s="37" t="n">
        <v>0</v>
      </c>
      <c r="Q1032" s="38" t="n">
        <v>0</v>
      </c>
      <c r="R1032" s="38" t="n">
        <v>68.4340389329633</v>
      </c>
      <c r="S1032" s="37" t="n">
        <v>0</v>
      </c>
    </row>
    <row r="1033" customFormat="false" ht="15" hidden="false" customHeight="false" outlineLevel="0" collapsed="false">
      <c r="A1033" s="37" t="n">
        <v>0</v>
      </c>
      <c r="B1033" s="37" t="n">
        <v>25</v>
      </c>
      <c r="C1033" s="37" t="n">
        <v>0</v>
      </c>
      <c r="D1033" s="37" t="n">
        <v>0</v>
      </c>
      <c r="E1033" s="37" t="n">
        <v>0</v>
      </c>
      <c r="F1033" s="37" t="n">
        <v>5</v>
      </c>
      <c r="G1033" s="37" t="s">
        <v>197</v>
      </c>
      <c r="H1033" s="38" t="n">
        <v>198.352470698169</v>
      </c>
      <c r="I1033" s="38" t="n">
        <v>195.447575711622</v>
      </c>
      <c r="J1033" s="38" t="n">
        <v>187.708517866876</v>
      </c>
      <c r="K1033" s="38" t="n">
        <v>185.754327979897</v>
      </c>
      <c r="L1033" s="38" t="n">
        <v>38.0286355539221</v>
      </c>
      <c r="M1033" s="38" t="n">
        <v>92.2310643717871</v>
      </c>
      <c r="N1033" s="38" t="n">
        <v>75.4537957182605</v>
      </c>
      <c r="O1033" s="38" t="n">
        <v>49.6588787814312</v>
      </c>
      <c r="P1033" s="37" t="n">
        <v>0</v>
      </c>
      <c r="Q1033" s="38" t="n">
        <v>0</v>
      </c>
      <c r="R1033" s="38" t="n">
        <v>70.5</v>
      </c>
      <c r="S1033" s="37" t="n">
        <v>0</v>
      </c>
    </row>
    <row r="1034" customFormat="false" ht="15" hidden="false" customHeight="false" outlineLevel="0" collapsed="false">
      <c r="A1034" s="37" t="n">
        <v>0</v>
      </c>
      <c r="B1034" s="37" t="n">
        <v>25</v>
      </c>
      <c r="C1034" s="37" t="n">
        <v>0</v>
      </c>
      <c r="D1034" s="37" t="n">
        <v>0</v>
      </c>
      <c r="E1034" s="37" t="n">
        <v>0</v>
      </c>
      <c r="F1034" s="37" t="n">
        <v>5</v>
      </c>
      <c r="G1034" s="37" t="s">
        <v>196</v>
      </c>
      <c r="H1034" s="38" t="n">
        <v>198.352470698169</v>
      </c>
      <c r="I1034" s="38" t="n">
        <v>195.448802031169</v>
      </c>
      <c r="J1034" s="38" t="n">
        <v>188.654045234609</v>
      </c>
      <c r="K1034" s="38" t="n">
        <v>187.140505436321</v>
      </c>
      <c r="L1034" s="38" t="n">
        <v>41.5658403064885</v>
      </c>
      <c r="M1034" s="38" t="n">
        <v>94.3863980048076</v>
      </c>
      <c r="N1034" s="38" t="n">
        <v>84.7984392350952</v>
      </c>
      <c r="O1034" s="38" t="n">
        <v>51.6958361571492</v>
      </c>
      <c r="P1034" s="37" t="n">
        <v>0</v>
      </c>
      <c r="Q1034" s="38" t="n">
        <v>0</v>
      </c>
      <c r="R1034" s="38" t="n">
        <v>69.5820803688401</v>
      </c>
      <c r="S1034" s="37" t="n">
        <v>0</v>
      </c>
    </row>
    <row r="1035" customFormat="false" ht="15" hidden="false" customHeight="false" outlineLevel="0" collapsed="false">
      <c r="A1035" s="37" t="n">
        <v>0</v>
      </c>
      <c r="B1035" s="37" t="n">
        <v>25</v>
      </c>
      <c r="C1035" s="37" t="n">
        <v>0</v>
      </c>
      <c r="D1035" s="37" t="n">
        <v>0</v>
      </c>
      <c r="E1035" s="37" t="n">
        <v>5</v>
      </c>
      <c r="F1035" s="37" t="n">
        <v>0</v>
      </c>
      <c r="G1035" s="37" t="s">
        <v>188</v>
      </c>
      <c r="H1035" s="38" t="n">
        <v>198.380284700184</v>
      </c>
      <c r="I1035" s="38" t="n">
        <v>195.701205239127</v>
      </c>
      <c r="J1035" s="38" t="n">
        <v>181.512659759731</v>
      </c>
      <c r="K1035" s="38" t="n">
        <v>178.873407371397</v>
      </c>
      <c r="L1035" s="38" t="n">
        <v>22.3595318623416</v>
      </c>
      <c r="M1035" s="38" t="n">
        <v>91.7519156339427</v>
      </c>
      <c r="N1035" s="38" t="n">
        <v>58.0358697181006</v>
      </c>
      <c r="O1035" s="38" t="n">
        <v>45.9125916325043</v>
      </c>
      <c r="P1035" s="37" t="n">
        <v>0</v>
      </c>
      <c r="Q1035" s="38" t="n">
        <v>2.64046813765836</v>
      </c>
      <c r="R1035" s="38" t="n">
        <v>70.5</v>
      </c>
      <c r="S1035" s="37" t="n">
        <v>0</v>
      </c>
    </row>
    <row r="1036" customFormat="false" ht="15" hidden="false" customHeight="false" outlineLevel="0" collapsed="false">
      <c r="A1036" s="37" t="n">
        <v>0</v>
      </c>
      <c r="B1036" s="37" t="n">
        <v>25</v>
      </c>
      <c r="C1036" s="37" t="n">
        <v>0</v>
      </c>
      <c r="D1036" s="37" t="n">
        <v>0</v>
      </c>
      <c r="E1036" s="37" t="n">
        <v>5</v>
      </c>
      <c r="F1036" s="37" t="n">
        <v>0</v>
      </c>
      <c r="G1036" s="37" t="s">
        <v>192</v>
      </c>
      <c r="H1036" s="38" t="n">
        <v>198.380284700184</v>
      </c>
      <c r="I1036" s="38" t="n">
        <v>195.706312830362</v>
      </c>
      <c r="J1036" s="38" t="n">
        <v>194.329619736909</v>
      </c>
      <c r="K1036" s="38" t="n">
        <v>204.733049051389</v>
      </c>
      <c r="L1036" s="38" t="n">
        <v>21.0069999180716</v>
      </c>
      <c r="M1036" s="38" t="n">
        <v>95.3908633734559</v>
      </c>
      <c r="N1036" s="38" t="n">
        <v>82.8534814567181</v>
      </c>
      <c r="O1036" s="38" t="n">
        <v>52.9880059849067</v>
      </c>
      <c r="P1036" s="37" t="n">
        <v>0</v>
      </c>
      <c r="Q1036" s="38" t="n">
        <v>3.99300008192843</v>
      </c>
      <c r="R1036" s="38" t="n">
        <v>61.5</v>
      </c>
      <c r="S1036" s="37" t="n">
        <v>1</v>
      </c>
    </row>
    <row r="1037" customFormat="false" ht="15" hidden="false" customHeight="false" outlineLevel="0" collapsed="false">
      <c r="A1037" s="37" t="n">
        <v>0</v>
      </c>
      <c r="B1037" s="37" t="n">
        <v>25</v>
      </c>
      <c r="C1037" s="37" t="n">
        <v>0</v>
      </c>
      <c r="D1037" s="37" t="n">
        <v>0</v>
      </c>
      <c r="E1037" s="37" t="n">
        <v>5</v>
      </c>
      <c r="F1037" s="37" t="n">
        <v>0</v>
      </c>
      <c r="G1037" s="37" t="s">
        <v>195</v>
      </c>
      <c r="H1037" s="38" t="n">
        <v>198.380284700184</v>
      </c>
      <c r="I1037" s="38" t="n">
        <v>195.702895493918</v>
      </c>
      <c r="J1037" s="38" t="n">
        <v>186.496308557658</v>
      </c>
      <c r="K1037" s="38" t="n">
        <v>182.16313568982</v>
      </c>
      <c r="L1037" s="38" t="n">
        <v>22.9769588809863</v>
      </c>
      <c r="M1037" s="38" t="n">
        <v>91.7542445619147</v>
      </c>
      <c r="N1037" s="38" t="n">
        <v>64.1994990225643</v>
      </c>
      <c r="O1037" s="38" t="n">
        <v>47.933237028429</v>
      </c>
      <c r="P1037" s="37" t="n">
        <v>0</v>
      </c>
      <c r="Q1037" s="38" t="n">
        <v>2.0230411190137</v>
      </c>
      <c r="R1037" s="38" t="n">
        <v>68.414226382723</v>
      </c>
      <c r="S1037" s="37" t="n">
        <v>0</v>
      </c>
    </row>
    <row r="1038" customFormat="false" ht="15" hidden="false" customHeight="false" outlineLevel="0" collapsed="false">
      <c r="A1038" s="37" t="n">
        <v>0</v>
      </c>
      <c r="B1038" s="37" t="n">
        <v>25</v>
      </c>
      <c r="C1038" s="37" t="n">
        <v>0</v>
      </c>
      <c r="D1038" s="37" t="n">
        <v>0</v>
      </c>
      <c r="E1038" s="37" t="n">
        <v>5</v>
      </c>
      <c r="F1038" s="37" t="n">
        <v>0</v>
      </c>
      <c r="G1038" s="37" t="s">
        <v>197</v>
      </c>
      <c r="H1038" s="38" t="n">
        <v>198.380284700184</v>
      </c>
      <c r="I1038" s="38" t="n">
        <v>195.71070492701</v>
      </c>
      <c r="J1038" s="38" t="n">
        <v>190.700883872731</v>
      </c>
      <c r="K1038" s="38" t="n">
        <v>191.471281513061</v>
      </c>
      <c r="L1038" s="38" t="n">
        <v>24.9761667815129</v>
      </c>
      <c r="M1038" s="38" t="n">
        <v>96.8090807662591</v>
      </c>
      <c r="N1038" s="38" t="n">
        <v>80.5723820654179</v>
      </c>
      <c r="O1038" s="38" t="n">
        <v>54.4989773255558</v>
      </c>
      <c r="P1038" s="37" t="n">
        <v>0</v>
      </c>
      <c r="Q1038" s="38" t="n">
        <v>0.0238332184871091</v>
      </c>
      <c r="R1038" s="38" t="n">
        <v>70.5</v>
      </c>
      <c r="S1038" s="37" t="n">
        <v>0</v>
      </c>
    </row>
    <row r="1039" customFormat="false" ht="15" hidden="false" customHeight="false" outlineLevel="0" collapsed="false">
      <c r="A1039" s="37" t="n">
        <v>0</v>
      </c>
      <c r="B1039" s="37" t="n">
        <v>25</v>
      </c>
      <c r="C1039" s="37" t="n">
        <v>0</v>
      </c>
      <c r="D1039" s="37" t="n">
        <v>0</v>
      </c>
      <c r="E1039" s="37" t="n">
        <v>5</v>
      </c>
      <c r="F1039" s="37" t="n">
        <v>0</v>
      </c>
      <c r="G1039" s="37" t="s">
        <v>196</v>
      </c>
      <c r="H1039" s="38" t="n">
        <v>198.380284700184</v>
      </c>
      <c r="I1039" s="38" t="n">
        <v>195.704791495685</v>
      </c>
      <c r="J1039" s="38" t="n">
        <v>191.081233897203</v>
      </c>
      <c r="K1039" s="38" t="n">
        <v>191.868635364597</v>
      </c>
      <c r="L1039" s="38" t="n">
        <v>24.9800864902157</v>
      </c>
      <c r="M1039" s="38" t="n">
        <v>96.2995227222096</v>
      </c>
      <c r="N1039" s="38" t="n">
        <v>80.3192288575463</v>
      </c>
      <c r="O1039" s="38" t="n">
        <v>53.7646634797226</v>
      </c>
      <c r="P1039" s="37" t="n">
        <v>0</v>
      </c>
      <c r="Q1039" s="38" t="n">
        <v>0.0199135097843453</v>
      </c>
      <c r="R1039" s="38" t="n">
        <v>69.5636047663842</v>
      </c>
      <c r="S1039" s="37" t="n">
        <v>0</v>
      </c>
    </row>
    <row r="1040" customFormat="false" ht="15" hidden="false" customHeight="false" outlineLevel="0" collapsed="false">
      <c r="A1040" s="37" t="n">
        <v>0</v>
      </c>
      <c r="B1040" s="37" t="n">
        <v>25</v>
      </c>
      <c r="C1040" s="37" t="n">
        <v>0</v>
      </c>
      <c r="D1040" s="37" t="n">
        <v>5</v>
      </c>
      <c r="E1040" s="37" t="n">
        <v>0</v>
      </c>
      <c r="F1040" s="37" t="n">
        <v>0</v>
      </c>
      <c r="G1040" s="37" t="s">
        <v>188</v>
      </c>
      <c r="H1040" s="38" t="n">
        <v>198.514651692942</v>
      </c>
      <c r="I1040" s="38" t="n">
        <v>196.412924859673</v>
      </c>
      <c r="J1040" s="38" t="n">
        <v>181.816431945495</v>
      </c>
      <c r="K1040" s="38" t="n">
        <v>184.612761291248</v>
      </c>
      <c r="L1040" s="38" t="n">
        <v>24.1225218317393</v>
      </c>
      <c r="M1040" s="38" t="n">
        <v>91.393665651115</v>
      </c>
      <c r="N1040" s="38" t="n">
        <v>56.7878831022013</v>
      </c>
      <c r="O1040" s="38" t="n">
        <v>47.2097491752824</v>
      </c>
      <c r="P1040" s="37" t="n">
        <v>0</v>
      </c>
      <c r="Q1040" s="38" t="n">
        <v>0.877478168260694</v>
      </c>
      <c r="R1040" s="38" t="n">
        <v>63</v>
      </c>
      <c r="S1040" s="37" t="n">
        <v>0</v>
      </c>
    </row>
    <row r="1041" customFormat="false" ht="15" hidden="false" customHeight="false" outlineLevel="0" collapsed="false">
      <c r="A1041" s="37" t="n">
        <v>0</v>
      </c>
      <c r="B1041" s="37" t="n">
        <v>25</v>
      </c>
      <c r="C1041" s="37" t="n">
        <v>0</v>
      </c>
      <c r="D1041" s="37" t="n">
        <v>5</v>
      </c>
      <c r="E1041" s="37" t="n">
        <v>0</v>
      </c>
      <c r="F1041" s="37" t="n">
        <v>0</v>
      </c>
      <c r="G1041" s="37" t="s">
        <v>192</v>
      </c>
      <c r="H1041" s="38" t="n">
        <v>198.514651692942</v>
      </c>
      <c r="I1041" s="38" t="n">
        <v>196.42071093605</v>
      </c>
      <c r="J1041" s="38" t="n">
        <v>195.682446533026</v>
      </c>
      <c r="K1041" s="38" t="n">
        <v>196.585490137626</v>
      </c>
      <c r="L1041" s="38" t="n">
        <v>13.4395546797813</v>
      </c>
      <c r="M1041" s="38" t="n">
        <v>95.0937418565958</v>
      </c>
      <c r="N1041" s="38" t="n">
        <v>78.2197748131405</v>
      </c>
      <c r="O1041" s="38" t="n">
        <v>55.7579899838897</v>
      </c>
      <c r="P1041" s="37" t="n">
        <v>0</v>
      </c>
      <c r="Q1041" s="38" t="n">
        <v>11.5604453202187</v>
      </c>
      <c r="R1041" s="38" t="n">
        <v>63</v>
      </c>
      <c r="S1041" s="37" t="n">
        <v>0</v>
      </c>
    </row>
    <row r="1042" customFormat="false" ht="15" hidden="false" customHeight="false" outlineLevel="0" collapsed="false">
      <c r="A1042" s="37" t="n">
        <v>0</v>
      </c>
      <c r="B1042" s="37" t="n">
        <v>25</v>
      </c>
      <c r="C1042" s="37" t="n">
        <v>0</v>
      </c>
      <c r="D1042" s="37" t="n">
        <v>5</v>
      </c>
      <c r="E1042" s="37" t="n">
        <v>0</v>
      </c>
      <c r="F1042" s="37" t="n">
        <v>0</v>
      </c>
      <c r="G1042" s="37" t="s">
        <v>195</v>
      </c>
      <c r="H1042" s="38" t="n">
        <v>198.514651692942</v>
      </c>
      <c r="I1042" s="38" t="n">
        <v>196.442709567714</v>
      </c>
      <c r="J1042" s="38" t="n">
        <v>187.754745688382</v>
      </c>
      <c r="K1042" s="38" t="n">
        <v>189.664292779175</v>
      </c>
      <c r="L1042" s="38" t="n">
        <v>24.9790999193621</v>
      </c>
      <c r="M1042" s="38" t="n">
        <v>93.0076329528632</v>
      </c>
      <c r="N1042" s="38" t="n">
        <v>67.2131790495336</v>
      </c>
      <c r="O1042" s="38" t="n">
        <v>50.715996436275</v>
      </c>
      <c r="P1042" s="37" t="n">
        <v>0</v>
      </c>
      <c r="Q1042" s="38" t="n">
        <v>0.0209000806378867</v>
      </c>
      <c r="R1042" s="38" t="n">
        <v>61.1166255102452</v>
      </c>
      <c r="S1042" s="37" t="n">
        <v>0</v>
      </c>
    </row>
    <row r="1043" customFormat="false" ht="15" hidden="false" customHeight="false" outlineLevel="0" collapsed="false">
      <c r="A1043" s="37" t="n">
        <v>0</v>
      </c>
      <c r="B1043" s="37" t="n">
        <v>25</v>
      </c>
      <c r="C1043" s="37" t="n">
        <v>0</v>
      </c>
      <c r="D1043" s="37" t="n">
        <v>5</v>
      </c>
      <c r="E1043" s="37" t="n">
        <v>0</v>
      </c>
      <c r="F1043" s="37" t="n">
        <v>0</v>
      </c>
      <c r="G1043" s="37" t="s">
        <v>197</v>
      </c>
      <c r="H1043" s="38" t="n">
        <v>198.514651692942</v>
      </c>
      <c r="I1043" s="38" t="n">
        <v>196.414740775152</v>
      </c>
      <c r="J1043" s="38" t="n">
        <v>190.395027647346</v>
      </c>
      <c r="K1043" s="38" t="n">
        <v>196.27009749801</v>
      </c>
      <c r="L1043" s="38" t="n">
        <v>24.9730211640713</v>
      </c>
      <c r="M1043" s="38" t="n">
        <v>93.1963914601122</v>
      </c>
      <c r="N1043" s="38" t="n">
        <v>69.8050213826388</v>
      </c>
      <c r="O1043" s="38" t="n">
        <v>51.3747569043742</v>
      </c>
      <c r="P1043" s="37" t="n">
        <v>0</v>
      </c>
      <c r="Q1043" s="38" t="n">
        <v>0.026978835928702</v>
      </c>
      <c r="R1043" s="38" t="n">
        <v>63</v>
      </c>
      <c r="S1043" s="37" t="n">
        <v>0</v>
      </c>
    </row>
    <row r="1044" customFormat="false" ht="15" hidden="false" customHeight="false" outlineLevel="0" collapsed="false">
      <c r="A1044" s="37" t="n">
        <v>0</v>
      </c>
      <c r="B1044" s="37" t="n">
        <v>25</v>
      </c>
      <c r="C1044" s="37" t="n">
        <v>0</v>
      </c>
      <c r="D1044" s="37" t="n">
        <v>5</v>
      </c>
      <c r="E1044" s="37" t="n">
        <v>0</v>
      </c>
      <c r="F1044" s="37" t="n">
        <v>0</v>
      </c>
      <c r="G1044" s="37" t="s">
        <v>196</v>
      </c>
      <c r="H1044" s="38" t="n">
        <v>198.514651692942</v>
      </c>
      <c r="I1044" s="38" t="n">
        <v>196.417001808415</v>
      </c>
      <c r="J1044" s="38" t="n">
        <v>195.930108021721</v>
      </c>
      <c r="K1044" s="38" t="n">
        <v>207.2891110618</v>
      </c>
      <c r="L1044" s="38" t="n">
        <v>24.9843190728019</v>
      </c>
      <c r="M1044" s="38" t="n">
        <v>95.9382312290435</v>
      </c>
      <c r="N1044" s="38" t="n">
        <v>87.5110329804914</v>
      </c>
      <c r="O1044" s="38" t="n">
        <v>52.2746051461154</v>
      </c>
      <c r="P1044" s="37" t="n">
        <v>0</v>
      </c>
      <c r="Q1044" s="38" t="n">
        <v>0.0156809271980727</v>
      </c>
      <c r="R1044" s="38" t="n">
        <v>61.3945164473713</v>
      </c>
      <c r="S1044" s="37" t="n">
        <v>1</v>
      </c>
    </row>
    <row r="1045" customFormat="false" ht="15" hidden="false" customHeight="false" outlineLevel="0" collapsed="false">
      <c r="A1045" s="37" t="n">
        <v>0</v>
      </c>
      <c r="B1045" s="37" t="n">
        <v>25</v>
      </c>
      <c r="C1045" s="37" t="n">
        <v>5</v>
      </c>
      <c r="D1045" s="37" t="n">
        <v>0</v>
      </c>
      <c r="E1045" s="37" t="n">
        <v>0</v>
      </c>
      <c r="F1045" s="37" t="n">
        <v>0</v>
      </c>
      <c r="G1045" s="37" t="s">
        <v>188</v>
      </c>
      <c r="H1045" s="38" t="n">
        <v>198.468699928543</v>
      </c>
      <c r="I1045" s="38" t="n">
        <v>197.25787591936</v>
      </c>
      <c r="J1045" s="38" t="n">
        <v>194.095207487284</v>
      </c>
      <c r="K1045" s="38" t="n">
        <v>197.132791129779</v>
      </c>
      <c r="L1045" s="38" t="n">
        <v>24.990802323574</v>
      </c>
      <c r="M1045" s="38" t="n">
        <v>95.6304413177795</v>
      </c>
      <c r="N1045" s="38" t="n">
        <v>80.3309574034025</v>
      </c>
      <c r="O1045" s="38" t="n">
        <v>54.3796645663968</v>
      </c>
      <c r="P1045" s="37" t="n">
        <v>0</v>
      </c>
      <c r="Q1045" s="38" t="n">
        <v>0.00919767642602665</v>
      </c>
      <c r="R1045" s="38" t="n">
        <v>70.5</v>
      </c>
      <c r="S1045" s="37" t="n">
        <v>0</v>
      </c>
    </row>
    <row r="1046" customFormat="false" ht="15" hidden="false" customHeight="false" outlineLevel="0" collapsed="false">
      <c r="A1046" s="37" t="n">
        <v>0</v>
      </c>
      <c r="B1046" s="37" t="n">
        <v>25</v>
      </c>
      <c r="C1046" s="37" t="n">
        <v>5</v>
      </c>
      <c r="D1046" s="37" t="n">
        <v>0</v>
      </c>
      <c r="E1046" s="37" t="n">
        <v>0</v>
      </c>
      <c r="F1046" s="37" t="n">
        <v>0</v>
      </c>
      <c r="G1046" s="37" t="s">
        <v>192</v>
      </c>
      <c r="H1046" s="38" t="n">
        <v>198.468699928543</v>
      </c>
      <c r="I1046" s="38" t="n">
        <v>197.272165310021</v>
      </c>
      <c r="J1046" s="38" t="n">
        <v>206.175507140083</v>
      </c>
      <c r="K1046" s="38" t="n">
        <v>222.138869663849</v>
      </c>
      <c r="L1046" s="38" t="n">
        <v>24.4175355071242</v>
      </c>
      <c r="M1046" s="38" t="n">
        <v>99.2546762383293</v>
      </c>
      <c r="N1046" s="38" t="n">
        <v>105.892622368552</v>
      </c>
      <c r="O1046" s="38" t="n">
        <v>59.3774446881796</v>
      </c>
      <c r="P1046" s="37" t="n">
        <v>0</v>
      </c>
      <c r="Q1046" s="38" t="n">
        <v>3.20192760637227</v>
      </c>
      <c r="R1046" s="38" t="n">
        <v>61.5</v>
      </c>
      <c r="S1046" s="37" t="n">
        <v>0</v>
      </c>
    </row>
    <row r="1047" customFormat="false" ht="15" hidden="false" customHeight="false" outlineLevel="0" collapsed="false">
      <c r="A1047" s="37" t="n">
        <v>0</v>
      </c>
      <c r="B1047" s="37" t="n">
        <v>25</v>
      </c>
      <c r="C1047" s="37" t="n">
        <v>5</v>
      </c>
      <c r="D1047" s="37" t="n">
        <v>0</v>
      </c>
      <c r="E1047" s="37" t="n">
        <v>0</v>
      </c>
      <c r="F1047" s="37" t="n">
        <v>0</v>
      </c>
      <c r="G1047" s="37" t="s">
        <v>195</v>
      </c>
      <c r="H1047" s="38" t="n">
        <v>198.468699928543</v>
      </c>
      <c r="I1047" s="38" t="n">
        <v>197.264844053752</v>
      </c>
      <c r="J1047" s="38" t="n">
        <v>198.032298176282</v>
      </c>
      <c r="K1047" s="38" t="n">
        <v>199.337721259103</v>
      </c>
      <c r="L1047" s="38" t="n">
        <v>24.9890160202712</v>
      </c>
      <c r="M1047" s="38" t="n">
        <v>95.6348272284316</v>
      </c>
      <c r="N1047" s="38" t="n">
        <v>84.283787097356</v>
      </c>
      <c r="O1047" s="38" t="n">
        <v>54.1914609625225</v>
      </c>
      <c r="P1047" s="37" t="n">
        <v>0</v>
      </c>
      <c r="Q1047" s="38" t="n">
        <v>0.0109839797287918</v>
      </c>
      <c r="R1047" s="38" t="n">
        <v>68.4701891555735</v>
      </c>
      <c r="S1047" s="37" t="n">
        <v>0</v>
      </c>
    </row>
    <row r="1048" customFormat="false" ht="15" hidden="false" customHeight="false" outlineLevel="0" collapsed="false">
      <c r="A1048" s="37" t="n">
        <v>0</v>
      </c>
      <c r="B1048" s="37" t="n">
        <v>25</v>
      </c>
      <c r="C1048" s="37" t="n">
        <v>5</v>
      </c>
      <c r="D1048" s="37" t="n">
        <v>0</v>
      </c>
      <c r="E1048" s="37" t="n">
        <v>0</v>
      </c>
      <c r="F1048" s="37" t="n">
        <v>0</v>
      </c>
      <c r="G1048" s="37" t="s">
        <v>197</v>
      </c>
      <c r="H1048" s="38" t="n">
        <v>198.468699928543</v>
      </c>
      <c r="I1048" s="38" t="n">
        <v>197.255475124695</v>
      </c>
      <c r="J1048" s="38" t="n">
        <v>201.881379938923</v>
      </c>
      <c r="K1048" s="38" t="n">
        <v>207.687670603463</v>
      </c>
      <c r="L1048" s="38" t="n">
        <v>24.988858514866</v>
      </c>
      <c r="M1048" s="38" t="n">
        <v>95.2010675407017</v>
      </c>
      <c r="N1048" s="38" t="n">
        <v>86.1427158045361</v>
      </c>
      <c r="O1048" s="38" t="n">
        <v>56.0793880698186</v>
      </c>
      <c r="P1048" s="37" t="n">
        <v>0</v>
      </c>
      <c r="Q1048" s="38" t="n">
        <v>0.0111414851339795</v>
      </c>
      <c r="R1048" s="38" t="n">
        <v>70.5</v>
      </c>
      <c r="S1048" s="37" t="n">
        <v>0</v>
      </c>
    </row>
    <row r="1049" customFormat="false" ht="15" hidden="false" customHeight="false" outlineLevel="0" collapsed="false">
      <c r="A1049" s="37" t="n">
        <v>0</v>
      </c>
      <c r="B1049" s="37" t="n">
        <v>25</v>
      </c>
      <c r="C1049" s="37" t="n">
        <v>5</v>
      </c>
      <c r="D1049" s="37" t="n">
        <v>0</v>
      </c>
      <c r="E1049" s="37" t="n">
        <v>0</v>
      </c>
      <c r="F1049" s="37" t="n">
        <v>0</v>
      </c>
      <c r="G1049" s="37" t="s">
        <v>196</v>
      </c>
      <c r="H1049" s="38" t="n">
        <v>198.468699928543</v>
      </c>
      <c r="I1049" s="38" t="n">
        <v>197.263820072981</v>
      </c>
      <c r="J1049" s="38" t="n">
        <v>211.059265140325</v>
      </c>
      <c r="K1049" s="38" t="n">
        <v>228.753261165011</v>
      </c>
      <c r="L1049" s="38" t="n">
        <v>75.5473649774263</v>
      </c>
      <c r="M1049" s="38" t="n">
        <v>98.1693956512152</v>
      </c>
      <c r="N1049" s="38" t="n">
        <v>114.985858490932</v>
      </c>
      <c r="O1049" s="38" t="n">
        <v>58.262952518307</v>
      </c>
      <c r="P1049" s="37" t="n">
        <v>0</v>
      </c>
      <c r="Q1049" s="38" t="n">
        <v>0</v>
      </c>
      <c r="R1049" s="38" t="n">
        <v>60.4112840693545</v>
      </c>
      <c r="S1049" s="37" t="n">
        <v>1</v>
      </c>
    </row>
    <row r="1050" customFormat="false" ht="15" hidden="false" customHeight="false" outlineLevel="0" collapsed="false">
      <c r="A1050" s="37" t="n">
        <v>0</v>
      </c>
      <c r="B1050" s="37" t="n">
        <v>30</v>
      </c>
      <c r="C1050" s="37" t="n">
        <v>0</v>
      </c>
      <c r="D1050" s="37" t="n">
        <v>0</v>
      </c>
      <c r="E1050" s="37" t="n">
        <v>0</v>
      </c>
      <c r="F1050" s="37" t="n">
        <v>0</v>
      </c>
      <c r="G1050" s="37" t="s">
        <v>188</v>
      </c>
      <c r="H1050" s="38" t="n">
        <v>198.386345375576</v>
      </c>
      <c r="I1050" s="38" t="n">
        <v>195.62717235652</v>
      </c>
      <c r="J1050" s="38" t="n">
        <v>178.995198270142</v>
      </c>
      <c r="K1050" s="38" t="n">
        <v>185.625755390614</v>
      </c>
      <c r="L1050" s="38" t="n">
        <v>24.6227506295812</v>
      </c>
      <c r="M1050" s="38" t="n">
        <v>90.2806274907852</v>
      </c>
      <c r="N1050" s="38" t="n">
        <v>55.8584972087209</v>
      </c>
      <c r="O1050" s="38" t="n">
        <v>42.4103562984961</v>
      </c>
      <c r="P1050" s="37" t="n">
        <v>0</v>
      </c>
      <c r="Q1050" s="38" t="n">
        <v>0.377249370418838</v>
      </c>
      <c r="R1050" s="38" t="n">
        <v>61.5</v>
      </c>
      <c r="S1050" s="37" t="n">
        <v>0</v>
      </c>
    </row>
    <row r="1051" customFormat="false" ht="15" hidden="false" customHeight="false" outlineLevel="0" collapsed="false">
      <c r="A1051" s="37" t="n">
        <v>0</v>
      </c>
      <c r="B1051" s="37" t="n">
        <v>30</v>
      </c>
      <c r="C1051" s="37" t="n">
        <v>0</v>
      </c>
      <c r="D1051" s="37" t="n">
        <v>0</v>
      </c>
      <c r="E1051" s="37" t="n">
        <v>0</v>
      </c>
      <c r="F1051" s="37" t="n">
        <v>0</v>
      </c>
      <c r="G1051" s="37" t="s">
        <v>192</v>
      </c>
      <c r="H1051" s="38" t="n">
        <v>198.386345375576</v>
      </c>
      <c r="I1051" s="38" t="n">
        <v>195.633052540802</v>
      </c>
      <c r="J1051" s="38" t="n">
        <v>193.278429750093</v>
      </c>
      <c r="K1051" s="38" t="n">
        <v>196.935099803728</v>
      </c>
      <c r="L1051" s="38" t="n">
        <v>-1.68165802514184</v>
      </c>
      <c r="M1051" s="38" t="n">
        <v>94.6679284428625</v>
      </c>
      <c r="N1051" s="38" t="n">
        <v>74.7460254168548</v>
      </c>
      <c r="O1051" s="38" t="n">
        <v>51.7174939108118</v>
      </c>
      <c r="P1051" s="37" t="n">
        <v>0</v>
      </c>
      <c r="Q1051" s="38" t="n">
        <v>26.6816580251418</v>
      </c>
      <c r="R1051" s="38" t="n">
        <v>61.5</v>
      </c>
      <c r="S1051" s="37" t="n">
        <v>0</v>
      </c>
    </row>
    <row r="1052" customFormat="false" ht="15" hidden="false" customHeight="false" outlineLevel="0" collapsed="false">
      <c r="A1052" s="37" t="n">
        <v>0</v>
      </c>
      <c r="B1052" s="37" t="n">
        <v>30</v>
      </c>
      <c r="C1052" s="37" t="n">
        <v>0</v>
      </c>
      <c r="D1052" s="37" t="n">
        <v>0</v>
      </c>
      <c r="E1052" s="37" t="n">
        <v>0</v>
      </c>
      <c r="F1052" s="37" t="n">
        <v>0</v>
      </c>
      <c r="G1052" s="37" t="s">
        <v>195</v>
      </c>
      <c r="H1052" s="38" t="n">
        <v>198.386345375576</v>
      </c>
      <c r="I1052" s="38" t="n">
        <v>195.628289037848</v>
      </c>
      <c r="J1052" s="38" t="n">
        <v>183.413677255184</v>
      </c>
      <c r="K1052" s="38" t="n">
        <v>188.025837848755</v>
      </c>
      <c r="L1052" s="38" t="n">
        <v>24.7149375636275</v>
      </c>
      <c r="M1052" s="38" t="n">
        <v>90.2819260406569</v>
      </c>
      <c r="N1052" s="38" t="n">
        <v>59.0969203833819</v>
      </c>
      <c r="O1052" s="38" t="n">
        <v>43.3800196904778</v>
      </c>
      <c r="P1052" s="37" t="n">
        <v>0</v>
      </c>
      <c r="Q1052" s="38" t="n">
        <v>0.285062436372531</v>
      </c>
      <c r="R1052" s="38" t="n">
        <v>59.2695353400799</v>
      </c>
      <c r="S1052" s="37" t="n">
        <v>0</v>
      </c>
    </row>
    <row r="1053" customFormat="false" ht="15" hidden="false" customHeight="false" outlineLevel="0" collapsed="false">
      <c r="A1053" s="37" t="n">
        <v>0</v>
      </c>
      <c r="B1053" s="37" t="n">
        <v>30</v>
      </c>
      <c r="C1053" s="37" t="n">
        <v>0</v>
      </c>
      <c r="D1053" s="37" t="n">
        <v>0</v>
      </c>
      <c r="E1053" s="37" t="n">
        <v>0</v>
      </c>
      <c r="F1053" s="37" t="n">
        <v>0</v>
      </c>
      <c r="G1053" s="37" t="s">
        <v>197</v>
      </c>
      <c r="H1053" s="38" t="n">
        <v>198.386345375576</v>
      </c>
      <c r="I1053" s="38" t="n">
        <v>195.628647521527</v>
      </c>
      <c r="J1053" s="38" t="n">
        <v>187.431178498446</v>
      </c>
      <c r="K1053" s="38" t="n">
        <v>197.137606906002</v>
      </c>
      <c r="L1053" s="38" t="n">
        <v>24.9873617721892</v>
      </c>
      <c r="M1053" s="38" t="n">
        <v>92.0829297547058</v>
      </c>
      <c r="N1053" s="38" t="n">
        <v>67.6039293628429</v>
      </c>
      <c r="O1053" s="38" t="n">
        <v>46.5296482085257</v>
      </c>
      <c r="P1053" s="37" t="n">
        <v>0</v>
      </c>
      <c r="Q1053" s="38" t="n">
        <v>0.0126382278108395</v>
      </c>
      <c r="R1053" s="38" t="n">
        <v>61.5</v>
      </c>
      <c r="S1053" s="37" t="n">
        <v>0</v>
      </c>
    </row>
    <row r="1054" customFormat="false" ht="15" hidden="false" customHeight="false" outlineLevel="0" collapsed="false">
      <c r="A1054" s="37" t="n">
        <v>0</v>
      </c>
      <c r="B1054" s="37" t="n">
        <v>30</v>
      </c>
      <c r="C1054" s="37" t="n">
        <v>0</v>
      </c>
      <c r="D1054" s="37" t="n">
        <v>0</v>
      </c>
      <c r="E1054" s="37" t="n">
        <v>0</v>
      </c>
      <c r="F1054" s="37" t="n">
        <v>0</v>
      </c>
      <c r="G1054" s="37" t="s">
        <v>196</v>
      </c>
      <c r="H1054" s="38" t="n">
        <v>198.386345375576</v>
      </c>
      <c r="I1054" s="38" t="n">
        <v>195.630081456246</v>
      </c>
      <c r="J1054" s="38" t="n">
        <v>193.059167611395</v>
      </c>
      <c r="K1054" s="38" t="n">
        <v>208.089293611554</v>
      </c>
      <c r="L1054" s="38" t="n">
        <v>24.9943238198609</v>
      </c>
      <c r="M1054" s="38" t="n">
        <v>94.4619981009138</v>
      </c>
      <c r="N1054" s="38" t="n">
        <v>84.207730224794</v>
      </c>
      <c r="O1054" s="38" t="n">
        <v>48.5609022649801</v>
      </c>
      <c r="P1054" s="37" t="n">
        <v>0</v>
      </c>
      <c r="Q1054" s="38" t="n">
        <v>0.00567618013909055</v>
      </c>
      <c r="R1054" s="38" t="n">
        <v>59.6970638429948</v>
      </c>
      <c r="S1054" s="37" t="n">
        <v>1</v>
      </c>
    </row>
    <row r="1055" customFormat="false" ht="15" hidden="false" customHeight="false" outlineLevel="0" collapsed="false">
      <c r="A1055" s="37" t="n">
        <v>5</v>
      </c>
      <c r="B1055" s="37" t="n">
        <v>0</v>
      </c>
      <c r="C1055" s="37" t="n">
        <v>0</v>
      </c>
      <c r="D1055" s="37" t="n">
        <v>0</v>
      </c>
      <c r="E1055" s="37" t="n">
        <v>0</v>
      </c>
      <c r="F1055" s="37" t="n">
        <v>25</v>
      </c>
      <c r="G1055" s="37" t="s">
        <v>188</v>
      </c>
      <c r="H1055" s="38" t="n">
        <v>198.511031293079</v>
      </c>
      <c r="I1055" s="38" t="n">
        <v>196.066458482885</v>
      </c>
      <c r="J1055" s="38" t="n">
        <v>185.82175530166</v>
      </c>
      <c r="K1055" s="38" t="n">
        <v>213.38550793876</v>
      </c>
      <c r="L1055" s="38" t="n">
        <v>208.175312474442</v>
      </c>
      <c r="M1055" s="38" t="n">
        <v>95.1429579139737</v>
      </c>
      <c r="N1055" s="38" t="n">
        <v>85.2165134685451</v>
      </c>
      <c r="O1055" s="38" t="n">
        <v>59.9452372612085</v>
      </c>
      <c r="P1055" s="37" t="n">
        <v>0</v>
      </c>
      <c r="Q1055" s="38" t="n">
        <v>0</v>
      </c>
      <c r="R1055" s="38" t="n">
        <v>70.5</v>
      </c>
      <c r="S1055" s="37" t="n">
        <v>0</v>
      </c>
    </row>
    <row r="1056" customFormat="false" ht="15" hidden="false" customHeight="false" outlineLevel="0" collapsed="false">
      <c r="A1056" s="37" t="n">
        <v>5</v>
      </c>
      <c r="B1056" s="37" t="n">
        <v>0</v>
      </c>
      <c r="C1056" s="37" t="n">
        <v>0</v>
      </c>
      <c r="D1056" s="37" t="n">
        <v>0</v>
      </c>
      <c r="E1056" s="37" t="n">
        <v>0</v>
      </c>
      <c r="F1056" s="37" t="n">
        <v>25</v>
      </c>
      <c r="G1056" s="37" t="s">
        <v>192</v>
      </c>
      <c r="H1056" s="38" t="n">
        <v>198.511031293079</v>
      </c>
      <c r="I1056" s="38" t="n">
        <v>196.026226808887</v>
      </c>
      <c r="J1056" s="38" t="n">
        <v>188.18909889258</v>
      </c>
      <c r="K1056" s="38" t="n">
        <v>216.183228994753</v>
      </c>
      <c r="L1056" s="38" t="n">
        <v>214.371378889198</v>
      </c>
      <c r="M1056" s="38" t="n">
        <v>90.0204295050233</v>
      </c>
      <c r="N1056" s="38" t="n">
        <v>80.6794976920264</v>
      </c>
      <c r="O1056" s="38" t="n">
        <v>56.1296459243691</v>
      </c>
      <c r="P1056" s="37" t="n">
        <v>0</v>
      </c>
      <c r="Q1056" s="38" t="n">
        <v>0</v>
      </c>
      <c r="R1056" s="38" t="n">
        <v>70.5</v>
      </c>
      <c r="S1056" s="37" t="n">
        <v>0</v>
      </c>
    </row>
    <row r="1057" customFormat="false" ht="15" hidden="false" customHeight="false" outlineLevel="0" collapsed="false">
      <c r="A1057" s="37" t="n">
        <v>5</v>
      </c>
      <c r="B1057" s="37" t="n">
        <v>0</v>
      </c>
      <c r="C1057" s="37" t="n">
        <v>0</v>
      </c>
      <c r="D1057" s="37" t="n">
        <v>0</v>
      </c>
      <c r="E1057" s="37" t="n">
        <v>0</v>
      </c>
      <c r="F1057" s="37" t="n">
        <v>25</v>
      </c>
      <c r="G1057" s="37" t="s">
        <v>195</v>
      </c>
      <c r="H1057" s="38" t="n">
        <v>198.511031293079</v>
      </c>
      <c r="I1057" s="38" t="n">
        <v>196.026021686275</v>
      </c>
      <c r="J1057" s="38" t="n">
        <v>183.890555040279</v>
      </c>
      <c r="K1057" s="38" t="n">
        <v>206.893608157043</v>
      </c>
      <c r="L1057" s="38" t="n">
        <v>207.863322442757</v>
      </c>
      <c r="M1057" s="38" t="n">
        <v>93.0198939595149</v>
      </c>
      <c r="N1057" s="38" t="n">
        <v>75.5013220708975</v>
      </c>
      <c r="O1057" s="38" t="n">
        <v>54.658089388181</v>
      </c>
      <c r="P1057" s="37" t="n">
        <v>0</v>
      </c>
      <c r="Q1057" s="38" t="n">
        <v>0</v>
      </c>
      <c r="R1057" s="38" t="n">
        <v>68.4659142857143</v>
      </c>
      <c r="S1057" s="37" t="n">
        <v>0</v>
      </c>
    </row>
    <row r="1058" customFormat="false" ht="15" hidden="false" customHeight="false" outlineLevel="0" collapsed="false">
      <c r="A1058" s="37" t="n">
        <v>5</v>
      </c>
      <c r="B1058" s="37" t="n">
        <v>0</v>
      </c>
      <c r="C1058" s="37" t="n">
        <v>0</v>
      </c>
      <c r="D1058" s="37" t="n">
        <v>0</v>
      </c>
      <c r="E1058" s="37" t="n">
        <v>0</v>
      </c>
      <c r="F1058" s="37" t="n">
        <v>25</v>
      </c>
      <c r="G1058" s="37" t="s">
        <v>197</v>
      </c>
      <c r="H1058" s="38" t="n">
        <v>198.511031293079</v>
      </c>
      <c r="I1058" s="38" t="n">
        <v>196.026286423841</v>
      </c>
      <c r="J1058" s="38" t="n">
        <v>187.434996681837</v>
      </c>
      <c r="K1058" s="38" t="n">
        <v>215.208047991165</v>
      </c>
      <c r="L1058" s="38" t="n">
        <v>212.483969412475</v>
      </c>
      <c r="M1058" s="38" t="n">
        <v>94.8205930797481</v>
      </c>
      <c r="N1058" s="38" t="n">
        <v>82.4667314870142</v>
      </c>
      <c r="O1058" s="38" t="n">
        <v>57.2252720991306</v>
      </c>
      <c r="P1058" s="37" t="n">
        <v>0</v>
      </c>
      <c r="Q1058" s="38" t="n">
        <v>0</v>
      </c>
      <c r="R1058" s="38" t="n">
        <v>70.5</v>
      </c>
      <c r="S1058" s="37" t="n">
        <v>0</v>
      </c>
    </row>
    <row r="1059" customFormat="false" ht="15" hidden="false" customHeight="false" outlineLevel="0" collapsed="false">
      <c r="A1059" s="37" t="n">
        <v>5</v>
      </c>
      <c r="B1059" s="37" t="n">
        <v>0</v>
      </c>
      <c r="C1059" s="37" t="n">
        <v>0</v>
      </c>
      <c r="D1059" s="37" t="n">
        <v>0</v>
      </c>
      <c r="E1059" s="37" t="n">
        <v>0</v>
      </c>
      <c r="F1059" s="37" t="n">
        <v>25</v>
      </c>
      <c r="G1059" s="37" t="s">
        <v>196</v>
      </c>
      <c r="H1059" s="38" t="n">
        <v>198.511031293079</v>
      </c>
      <c r="I1059" s="38" t="n">
        <v>196.026799357764</v>
      </c>
      <c r="J1059" s="38" t="n">
        <v>188.491634098982</v>
      </c>
      <c r="K1059" s="38" t="n">
        <v>216.666169180129</v>
      </c>
      <c r="L1059" s="38" t="n">
        <v>220.627518386478</v>
      </c>
      <c r="M1059" s="38" t="n">
        <v>95.1455491945104</v>
      </c>
      <c r="N1059" s="38" t="n">
        <v>88.234605000932</v>
      </c>
      <c r="O1059" s="38" t="n">
        <v>59.1682989221232</v>
      </c>
      <c r="P1059" s="37" t="n">
        <v>0</v>
      </c>
      <c r="Q1059" s="38" t="n">
        <v>0</v>
      </c>
      <c r="R1059" s="38" t="n">
        <v>69.6040571428571</v>
      </c>
      <c r="S1059" s="37" t="n">
        <v>1</v>
      </c>
    </row>
    <row r="1060" customFormat="false" ht="15" hidden="false" customHeight="false" outlineLevel="0" collapsed="false">
      <c r="A1060" s="37" t="n">
        <v>5</v>
      </c>
      <c r="B1060" s="37" t="n">
        <v>0</v>
      </c>
      <c r="C1060" s="37" t="n">
        <v>0</v>
      </c>
      <c r="D1060" s="37" t="n">
        <v>0</v>
      </c>
      <c r="E1060" s="37" t="n">
        <v>5</v>
      </c>
      <c r="F1060" s="37" t="n">
        <v>20</v>
      </c>
      <c r="G1060" s="37" t="s">
        <v>188</v>
      </c>
      <c r="H1060" s="38" t="n">
        <v>198.544995675326</v>
      </c>
      <c r="I1060" s="38" t="n">
        <v>196.365557036715</v>
      </c>
      <c r="J1060" s="38" t="n">
        <v>189.031497052192</v>
      </c>
      <c r="K1060" s="38" t="n">
        <v>218.988775373463</v>
      </c>
      <c r="L1060" s="38" t="n">
        <v>174.046030421787</v>
      </c>
      <c r="M1060" s="38" t="n">
        <v>96.5720723998382</v>
      </c>
      <c r="N1060" s="38" t="n">
        <v>93.2930598258515</v>
      </c>
      <c r="O1060" s="38" t="n">
        <v>61.182424636904</v>
      </c>
      <c r="P1060" s="37" t="n">
        <v>0</v>
      </c>
      <c r="Q1060" s="38" t="n">
        <v>0</v>
      </c>
      <c r="R1060" s="38" t="n">
        <v>70.5</v>
      </c>
      <c r="S1060" s="37" t="n">
        <v>0</v>
      </c>
    </row>
    <row r="1061" customFormat="false" ht="15" hidden="false" customHeight="false" outlineLevel="0" collapsed="false">
      <c r="A1061" s="37" t="n">
        <v>5</v>
      </c>
      <c r="B1061" s="37" t="n">
        <v>0</v>
      </c>
      <c r="C1061" s="37" t="n">
        <v>0</v>
      </c>
      <c r="D1061" s="37" t="n">
        <v>0</v>
      </c>
      <c r="E1061" s="37" t="n">
        <v>5</v>
      </c>
      <c r="F1061" s="37" t="n">
        <v>20</v>
      </c>
      <c r="G1061" s="37" t="s">
        <v>192</v>
      </c>
      <c r="H1061" s="38" t="n">
        <v>198.544995675326</v>
      </c>
      <c r="I1061" s="38" t="n">
        <v>196.32505599378</v>
      </c>
      <c r="J1061" s="38" t="n">
        <v>191.174304322336</v>
      </c>
      <c r="K1061" s="38" t="n">
        <v>221.534428709488</v>
      </c>
      <c r="L1061" s="38" t="n">
        <v>179.719619409148</v>
      </c>
      <c r="M1061" s="38" t="n">
        <v>91.4541824028083</v>
      </c>
      <c r="N1061" s="38" t="n">
        <v>88.2633770732393</v>
      </c>
      <c r="O1061" s="38" t="n">
        <v>57.4438200842964</v>
      </c>
      <c r="P1061" s="37" t="n">
        <v>0</v>
      </c>
      <c r="Q1061" s="38" t="n">
        <v>0</v>
      </c>
      <c r="R1061" s="38" t="n">
        <v>70.5</v>
      </c>
      <c r="S1061" s="37" t="n">
        <v>0</v>
      </c>
    </row>
    <row r="1062" customFormat="false" ht="15" hidden="false" customHeight="false" outlineLevel="0" collapsed="false">
      <c r="A1062" s="37" t="n">
        <v>5</v>
      </c>
      <c r="B1062" s="37" t="n">
        <v>0</v>
      </c>
      <c r="C1062" s="37" t="n">
        <v>0</v>
      </c>
      <c r="D1062" s="37" t="n">
        <v>0</v>
      </c>
      <c r="E1062" s="37" t="n">
        <v>5</v>
      </c>
      <c r="F1062" s="37" t="n">
        <v>20</v>
      </c>
      <c r="G1062" s="37" t="s">
        <v>195</v>
      </c>
      <c r="H1062" s="38" t="n">
        <v>198.544995675326</v>
      </c>
      <c r="I1062" s="38" t="n">
        <v>196.325142139897</v>
      </c>
      <c r="J1062" s="38" t="n">
        <v>186.744921001339</v>
      </c>
      <c r="K1062" s="38" t="n">
        <v>212.151970147008</v>
      </c>
      <c r="L1062" s="38" t="n">
        <v>173.121684432722</v>
      </c>
      <c r="M1062" s="38" t="n">
        <v>94.4543625552944</v>
      </c>
      <c r="N1062" s="38" t="n">
        <v>83.0334051516739</v>
      </c>
      <c r="O1062" s="38" t="n">
        <v>56.1585010642815</v>
      </c>
      <c r="P1062" s="37" t="n">
        <v>0</v>
      </c>
      <c r="Q1062" s="38" t="n">
        <v>0</v>
      </c>
      <c r="R1062" s="38" t="n">
        <v>68.4659142857143</v>
      </c>
      <c r="S1062" s="37" t="n">
        <v>0</v>
      </c>
    </row>
    <row r="1063" customFormat="false" ht="15" hidden="false" customHeight="false" outlineLevel="0" collapsed="false">
      <c r="A1063" s="37" t="n">
        <v>5</v>
      </c>
      <c r="B1063" s="37" t="n">
        <v>0</v>
      </c>
      <c r="C1063" s="37" t="n">
        <v>0</v>
      </c>
      <c r="D1063" s="37" t="n">
        <v>0</v>
      </c>
      <c r="E1063" s="37" t="n">
        <v>5</v>
      </c>
      <c r="F1063" s="37" t="n">
        <v>20</v>
      </c>
      <c r="G1063" s="37" t="s">
        <v>197</v>
      </c>
      <c r="H1063" s="38" t="n">
        <v>198.544995675326</v>
      </c>
      <c r="I1063" s="38" t="n">
        <v>196.333786541706</v>
      </c>
      <c r="J1063" s="38" t="n">
        <v>191.040214764699</v>
      </c>
      <c r="K1063" s="38" t="n">
        <v>221.524591202713</v>
      </c>
      <c r="L1063" s="38" t="n">
        <v>179.379740062134</v>
      </c>
      <c r="M1063" s="38" t="n">
        <v>99.6522798594055</v>
      </c>
      <c r="N1063" s="38" t="n">
        <v>99.8669682118014</v>
      </c>
      <c r="O1063" s="38" t="n">
        <v>62.7724294750165</v>
      </c>
      <c r="P1063" s="37" t="n">
        <v>0</v>
      </c>
      <c r="Q1063" s="38" t="n">
        <v>0</v>
      </c>
      <c r="R1063" s="38" t="n">
        <v>70.5</v>
      </c>
      <c r="S1063" s="37" t="n">
        <v>1</v>
      </c>
    </row>
    <row r="1064" customFormat="false" ht="15" hidden="false" customHeight="false" outlineLevel="0" collapsed="false">
      <c r="A1064" s="37" t="n">
        <v>5</v>
      </c>
      <c r="B1064" s="37" t="n">
        <v>0</v>
      </c>
      <c r="C1064" s="37" t="n">
        <v>0</v>
      </c>
      <c r="D1064" s="37" t="n">
        <v>0</v>
      </c>
      <c r="E1064" s="37" t="n">
        <v>5</v>
      </c>
      <c r="F1064" s="37" t="n">
        <v>20</v>
      </c>
      <c r="G1064" s="37" t="s">
        <v>196</v>
      </c>
      <c r="H1064" s="38" t="n">
        <v>198.544995675326</v>
      </c>
      <c r="I1064" s="38" t="n">
        <v>196.326272923056</v>
      </c>
      <c r="J1064" s="38" t="n">
        <v>191.351705606138</v>
      </c>
      <c r="K1064" s="38" t="n">
        <v>221.899000670205</v>
      </c>
      <c r="L1064" s="38" t="n">
        <v>185.860349876554</v>
      </c>
      <c r="M1064" s="38" t="n">
        <v>97.2510884479875</v>
      </c>
      <c r="N1064" s="38" t="n">
        <v>97.2443330826871</v>
      </c>
      <c r="O1064" s="38" t="n">
        <v>61.9100111873781</v>
      </c>
      <c r="P1064" s="37" t="n">
        <v>0</v>
      </c>
      <c r="Q1064" s="38" t="n">
        <v>0</v>
      </c>
      <c r="R1064" s="38" t="n">
        <v>69.6040571428571</v>
      </c>
      <c r="S1064" s="37" t="n">
        <v>0</v>
      </c>
    </row>
    <row r="1065" customFormat="false" ht="15" hidden="false" customHeight="false" outlineLevel="0" collapsed="false">
      <c r="A1065" s="37" t="n">
        <v>5</v>
      </c>
      <c r="B1065" s="37" t="n">
        <v>0</v>
      </c>
      <c r="C1065" s="37" t="n">
        <v>0</v>
      </c>
      <c r="D1065" s="37" t="n">
        <v>0</v>
      </c>
      <c r="E1065" s="37" t="n">
        <v>10</v>
      </c>
      <c r="F1065" s="37" t="n">
        <v>15</v>
      </c>
      <c r="G1065" s="37" t="s">
        <v>188</v>
      </c>
      <c r="H1065" s="38" t="n">
        <v>198.577928063709</v>
      </c>
      <c r="I1065" s="38" t="n">
        <v>196.687599445307</v>
      </c>
      <c r="J1065" s="38" t="n">
        <v>191.766157309013</v>
      </c>
      <c r="K1065" s="38" t="n">
        <v>224.017733936217</v>
      </c>
      <c r="L1065" s="38" t="n">
        <v>139.327827027694</v>
      </c>
      <c r="M1065" s="38" t="n">
        <v>97.9544722315577</v>
      </c>
      <c r="N1065" s="38" t="n">
        <v>99.986201386098</v>
      </c>
      <c r="O1065" s="38" t="n">
        <v>61.8424081930766</v>
      </c>
      <c r="P1065" s="37" t="n">
        <v>0</v>
      </c>
      <c r="Q1065" s="38" t="n">
        <v>0</v>
      </c>
      <c r="R1065" s="38" t="n">
        <v>70.5</v>
      </c>
      <c r="S1065" s="37" t="n">
        <v>0</v>
      </c>
    </row>
    <row r="1066" customFormat="false" ht="15" hidden="false" customHeight="false" outlineLevel="0" collapsed="false">
      <c r="A1066" s="37" t="n">
        <v>5</v>
      </c>
      <c r="B1066" s="37" t="n">
        <v>0</v>
      </c>
      <c r="C1066" s="37" t="n">
        <v>0</v>
      </c>
      <c r="D1066" s="37" t="n">
        <v>0</v>
      </c>
      <c r="E1066" s="37" t="n">
        <v>10</v>
      </c>
      <c r="F1066" s="37" t="n">
        <v>15</v>
      </c>
      <c r="G1066" s="37" t="s">
        <v>192</v>
      </c>
      <c r="H1066" s="38" t="n">
        <v>198.577928063709</v>
      </c>
      <c r="I1066" s="38" t="n">
        <v>196.646972916898</v>
      </c>
      <c r="J1066" s="38" t="n">
        <v>193.597166644616</v>
      </c>
      <c r="K1066" s="38" t="n">
        <v>226.227395328636</v>
      </c>
      <c r="L1066" s="38" t="n">
        <v>144.409560573357</v>
      </c>
      <c r="M1066" s="38" t="n">
        <v>92.841162048152</v>
      </c>
      <c r="N1066" s="38" t="n">
        <v>94.3217508165767</v>
      </c>
      <c r="O1066" s="38" t="n">
        <v>58.3295646109449</v>
      </c>
      <c r="P1066" s="37" t="n">
        <v>0</v>
      </c>
      <c r="Q1066" s="38" t="n">
        <v>0</v>
      </c>
      <c r="R1066" s="38" t="n">
        <v>70.5</v>
      </c>
      <c r="S1066" s="37" t="n">
        <v>0</v>
      </c>
    </row>
    <row r="1067" customFormat="false" ht="15" hidden="false" customHeight="false" outlineLevel="0" collapsed="false">
      <c r="A1067" s="37" t="n">
        <v>5</v>
      </c>
      <c r="B1067" s="37" t="n">
        <v>0</v>
      </c>
      <c r="C1067" s="37" t="n">
        <v>0</v>
      </c>
      <c r="D1067" s="37" t="n">
        <v>0</v>
      </c>
      <c r="E1067" s="37" t="n">
        <v>10</v>
      </c>
      <c r="F1067" s="37" t="n">
        <v>15</v>
      </c>
      <c r="G1067" s="37" t="s">
        <v>195</v>
      </c>
      <c r="H1067" s="38" t="n">
        <v>198.577928063709</v>
      </c>
      <c r="I1067" s="38" t="n">
        <v>196.648011418091</v>
      </c>
      <c r="J1067" s="38" t="n">
        <v>189.248922993254</v>
      </c>
      <c r="K1067" s="38" t="n">
        <v>216.961762409753</v>
      </c>
      <c r="L1067" s="38" t="n">
        <v>137.925928456229</v>
      </c>
      <c r="M1067" s="38" t="n">
        <v>95.8437709360269</v>
      </c>
      <c r="N1067" s="38" t="n">
        <v>89.4590766094386</v>
      </c>
      <c r="O1067" s="38" t="n">
        <v>57.0583014294541</v>
      </c>
      <c r="P1067" s="37" t="n">
        <v>0</v>
      </c>
      <c r="Q1067" s="38" t="n">
        <v>0</v>
      </c>
      <c r="R1067" s="38" t="n">
        <v>68.4642498139429</v>
      </c>
      <c r="S1067" s="37" t="n">
        <v>0</v>
      </c>
    </row>
    <row r="1068" customFormat="false" ht="15" hidden="false" customHeight="false" outlineLevel="0" collapsed="false">
      <c r="A1068" s="37" t="n">
        <v>5</v>
      </c>
      <c r="B1068" s="37" t="n">
        <v>0</v>
      </c>
      <c r="C1068" s="37" t="n">
        <v>0</v>
      </c>
      <c r="D1068" s="37" t="n">
        <v>0</v>
      </c>
      <c r="E1068" s="37" t="n">
        <v>10</v>
      </c>
      <c r="F1068" s="37" t="n">
        <v>15</v>
      </c>
      <c r="G1068" s="37" t="s">
        <v>197</v>
      </c>
      <c r="H1068" s="38" t="n">
        <v>198.577928063709</v>
      </c>
      <c r="I1068" s="38" t="n">
        <v>196.674679224659</v>
      </c>
      <c r="J1068" s="38" t="n">
        <v>194.422943936192</v>
      </c>
      <c r="K1068" s="38" t="n">
        <v>227.612870624975</v>
      </c>
      <c r="L1068" s="38" t="n">
        <v>146.210457222567</v>
      </c>
      <c r="M1068" s="38" t="n">
        <v>103.814067057908</v>
      </c>
      <c r="N1068" s="38" t="n">
        <v>114.381722685409</v>
      </c>
      <c r="O1068" s="38" t="n">
        <v>65.2713529528354</v>
      </c>
      <c r="P1068" s="37" t="n">
        <v>0</v>
      </c>
      <c r="Q1068" s="38" t="n">
        <v>0</v>
      </c>
      <c r="R1068" s="38" t="n">
        <v>70.5</v>
      </c>
      <c r="S1068" s="37" t="n">
        <v>1</v>
      </c>
    </row>
    <row r="1069" customFormat="false" ht="15" hidden="false" customHeight="false" outlineLevel="0" collapsed="false">
      <c r="A1069" s="37" t="n">
        <v>5</v>
      </c>
      <c r="B1069" s="37" t="n">
        <v>0</v>
      </c>
      <c r="C1069" s="37" t="n">
        <v>0</v>
      </c>
      <c r="D1069" s="37" t="n">
        <v>0</v>
      </c>
      <c r="E1069" s="37" t="n">
        <v>10</v>
      </c>
      <c r="F1069" s="37" t="n">
        <v>15</v>
      </c>
      <c r="G1069" s="37" t="s">
        <v>196</v>
      </c>
      <c r="H1069" s="38" t="n">
        <v>198.577928063709</v>
      </c>
      <c r="I1069" s="38" t="n">
        <v>196.648777780571</v>
      </c>
      <c r="J1069" s="38" t="n">
        <v>193.78822665169</v>
      </c>
      <c r="K1069" s="38" t="n">
        <v>226.614815070763</v>
      </c>
      <c r="L1069" s="38" t="n">
        <v>150.576164277112</v>
      </c>
      <c r="M1069" s="38" t="n">
        <v>99.175218444408</v>
      </c>
      <c r="N1069" s="38" t="n">
        <v>104.651341933535</v>
      </c>
      <c r="O1069" s="38" t="n">
        <v>63.4794162215242</v>
      </c>
      <c r="P1069" s="37" t="n">
        <v>0</v>
      </c>
      <c r="Q1069" s="38" t="n">
        <v>0</v>
      </c>
      <c r="R1069" s="38" t="n">
        <v>69.6040571428571</v>
      </c>
      <c r="S1069" s="37" t="n">
        <v>0</v>
      </c>
    </row>
    <row r="1070" customFormat="false" ht="15" hidden="false" customHeight="false" outlineLevel="0" collapsed="false">
      <c r="A1070" s="37" t="n">
        <v>5</v>
      </c>
      <c r="B1070" s="37" t="n">
        <v>0</v>
      </c>
      <c r="C1070" s="37" t="n">
        <v>0</v>
      </c>
      <c r="D1070" s="37" t="n">
        <v>0</v>
      </c>
      <c r="E1070" s="37" t="n">
        <v>15</v>
      </c>
      <c r="F1070" s="37" t="n">
        <v>10</v>
      </c>
      <c r="G1070" s="37" t="s">
        <v>188</v>
      </c>
      <c r="H1070" s="38" t="n">
        <v>198.608886656813</v>
      </c>
      <c r="I1070" s="38" t="n">
        <v>196.940611076652</v>
      </c>
      <c r="J1070" s="38" t="n">
        <v>193.647378316349</v>
      </c>
      <c r="K1070" s="38" t="n">
        <v>227.67861189728</v>
      </c>
      <c r="L1070" s="38" t="n">
        <v>103.220215525808</v>
      </c>
      <c r="M1070" s="38" t="n">
        <v>99.0645420980459</v>
      </c>
      <c r="N1070" s="38" t="n">
        <v>104.506841636913</v>
      </c>
      <c r="O1070" s="38" t="n">
        <v>61.4695572819826</v>
      </c>
      <c r="P1070" s="37" t="n">
        <v>0</v>
      </c>
      <c r="Q1070" s="38" t="n">
        <v>0</v>
      </c>
      <c r="R1070" s="38" t="n">
        <v>70.5</v>
      </c>
      <c r="S1070" s="37" t="n">
        <v>0</v>
      </c>
    </row>
    <row r="1071" customFormat="false" ht="15" hidden="false" customHeight="false" outlineLevel="0" collapsed="false">
      <c r="A1071" s="37" t="n">
        <v>5</v>
      </c>
      <c r="B1071" s="37" t="n">
        <v>0</v>
      </c>
      <c r="C1071" s="37" t="n">
        <v>0</v>
      </c>
      <c r="D1071" s="37" t="n">
        <v>0</v>
      </c>
      <c r="E1071" s="37" t="n">
        <v>15</v>
      </c>
      <c r="F1071" s="37" t="n">
        <v>10</v>
      </c>
      <c r="G1071" s="37" t="s">
        <v>192</v>
      </c>
      <c r="H1071" s="38" t="n">
        <v>198.608886656813</v>
      </c>
      <c r="I1071" s="38" t="n">
        <v>196.898955283344</v>
      </c>
      <c r="J1071" s="38" t="n">
        <v>195.319694922584</v>
      </c>
      <c r="K1071" s="38" t="n">
        <v>229.675047040598</v>
      </c>
      <c r="L1071" s="38" t="n">
        <v>107.854356863064</v>
      </c>
      <c r="M1071" s="38" t="n">
        <v>93.9551173350126</v>
      </c>
      <c r="N1071" s="38" t="n">
        <v>98.5642665361188</v>
      </c>
      <c r="O1071" s="38" t="n">
        <v>58.0322172483554</v>
      </c>
      <c r="P1071" s="37" t="n">
        <v>0</v>
      </c>
      <c r="Q1071" s="38" t="n">
        <v>0</v>
      </c>
      <c r="R1071" s="38" t="n">
        <v>70.5</v>
      </c>
      <c r="S1071" s="37" t="n">
        <v>0</v>
      </c>
    </row>
    <row r="1072" customFormat="false" ht="15" hidden="false" customHeight="false" outlineLevel="0" collapsed="false">
      <c r="A1072" s="37" t="n">
        <v>5</v>
      </c>
      <c r="B1072" s="37" t="n">
        <v>0</v>
      </c>
      <c r="C1072" s="37" t="n">
        <v>0</v>
      </c>
      <c r="D1072" s="37" t="n">
        <v>0</v>
      </c>
      <c r="E1072" s="37" t="n">
        <v>15</v>
      </c>
      <c r="F1072" s="37" t="n">
        <v>10</v>
      </c>
      <c r="G1072" s="37" t="s">
        <v>195</v>
      </c>
      <c r="H1072" s="38" t="n">
        <v>198.608886656813</v>
      </c>
      <c r="I1072" s="38" t="n">
        <v>196.901426797703</v>
      </c>
      <c r="J1072" s="38" t="n">
        <v>191.047908271035</v>
      </c>
      <c r="K1072" s="38" t="n">
        <v>220.505794868928</v>
      </c>
      <c r="L1072" s="38" t="n">
        <v>101.424519741449</v>
      </c>
      <c r="M1072" s="38" t="n">
        <v>96.9612394467777</v>
      </c>
      <c r="N1072" s="38" t="n">
        <v>93.9574765859954</v>
      </c>
      <c r="O1072" s="38" t="n">
        <v>56.9114460364065</v>
      </c>
      <c r="P1072" s="37" t="n">
        <v>0</v>
      </c>
      <c r="Q1072" s="38" t="n">
        <v>0</v>
      </c>
      <c r="R1072" s="38" t="n">
        <v>68.4506174617563</v>
      </c>
      <c r="S1072" s="37" t="n">
        <v>0</v>
      </c>
    </row>
    <row r="1073" customFormat="false" ht="15" hidden="false" customHeight="false" outlineLevel="0" collapsed="false">
      <c r="A1073" s="37" t="n">
        <v>5</v>
      </c>
      <c r="B1073" s="37" t="n">
        <v>0</v>
      </c>
      <c r="C1073" s="37" t="n">
        <v>0</v>
      </c>
      <c r="D1073" s="37" t="n">
        <v>0</v>
      </c>
      <c r="E1073" s="37" t="n">
        <v>15</v>
      </c>
      <c r="F1073" s="37" t="n">
        <v>10</v>
      </c>
      <c r="G1073" s="37" t="s">
        <v>197</v>
      </c>
      <c r="H1073" s="38" t="n">
        <v>198.608886656813</v>
      </c>
      <c r="I1073" s="38" t="n">
        <v>196.944683314997</v>
      </c>
      <c r="J1073" s="38" t="n">
        <v>196.931955909103</v>
      </c>
      <c r="K1073" s="38" t="n">
        <v>232.208366326101</v>
      </c>
      <c r="L1073" s="38" t="n">
        <v>111.313748149498</v>
      </c>
      <c r="M1073" s="38" t="n">
        <v>106.676995681983</v>
      </c>
      <c r="N1073" s="38" t="n">
        <v>120.918661380593</v>
      </c>
      <c r="O1073" s="38" t="n">
        <v>65.4701641540182</v>
      </c>
      <c r="P1073" s="37" t="n">
        <v>0</v>
      </c>
      <c r="Q1073" s="38" t="n">
        <v>0</v>
      </c>
      <c r="R1073" s="38" t="n">
        <v>70.5</v>
      </c>
      <c r="S1073" s="37" t="n">
        <v>1</v>
      </c>
    </row>
    <row r="1074" customFormat="false" ht="15" hidden="false" customHeight="false" outlineLevel="0" collapsed="false">
      <c r="A1074" s="37" t="n">
        <v>5</v>
      </c>
      <c r="B1074" s="37" t="n">
        <v>0</v>
      </c>
      <c r="C1074" s="37" t="n">
        <v>0</v>
      </c>
      <c r="D1074" s="37" t="n">
        <v>0</v>
      </c>
      <c r="E1074" s="37" t="n">
        <v>15</v>
      </c>
      <c r="F1074" s="37" t="n">
        <v>10</v>
      </c>
      <c r="G1074" s="37" t="s">
        <v>196</v>
      </c>
      <c r="H1074" s="38" t="n">
        <v>198.608886656813</v>
      </c>
      <c r="I1074" s="38" t="n">
        <v>196.90226067224</v>
      </c>
      <c r="J1074" s="38" t="n">
        <v>195.563747010896</v>
      </c>
      <c r="K1074" s="38" t="n">
        <v>230.149397621128</v>
      </c>
      <c r="L1074" s="38" t="n">
        <v>114.110746827477</v>
      </c>
      <c r="M1074" s="38" t="n">
        <v>100.623546478787</v>
      </c>
      <c r="N1074" s="38" t="n">
        <v>109.001988284544</v>
      </c>
      <c r="O1074" s="38" t="n">
        <v>63.0745711836149</v>
      </c>
      <c r="P1074" s="37" t="n">
        <v>0</v>
      </c>
      <c r="Q1074" s="38" t="n">
        <v>0</v>
      </c>
      <c r="R1074" s="38" t="n">
        <v>69.6040571428571</v>
      </c>
      <c r="S1074" s="37" t="n">
        <v>0</v>
      </c>
    </row>
    <row r="1075" customFormat="false" ht="15" hidden="false" customHeight="false" outlineLevel="0" collapsed="false">
      <c r="A1075" s="37" t="n">
        <v>5</v>
      </c>
      <c r="B1075" s="37" t="n">
        <v>0</v>
      </c>
      <c r="C1075" s="37" t="n">
        <v>0</v>
      </c>
      <c r="D1075" s="37" t="n">
        <v>0</v>
      </c>
      <c r="E1075" s="37" t="n">
        <v>20</v>
      </c>
      <c r="F1075" s="37" t="n">
        <v>5</v>
      </c>
      <c r="G1075" s="37" t="s">
        <v>188</v>
      </c>
      <c r="H1075" s="38" t="n">
        <v>198.633377948909</v>
      </c>
      <c r="I1075" s="38" t="n">
        <v>197.148996357951</v>
      </c>
      <c r="J1075" s="38" t="n">
        <v>195.107610182574</v>
      </c>
      <c r="K1075" s="38" t="n">
        <v>230.610357136256</v>
      </c>
      <c r="L1075" s="38" t="n">
        <v>66.3603716228847</v>
      </c>
      <c r="M1075" s="38" t="n">
        <v>100.024110150047</v>
      </c>
      <c r="N1075" s="38" t="n">
        <v>108.024672853796</v>
      </c>
      <c r="O1075" s="38" t="n">
        <v>60.8895951323833</v>
      </c>
      <c r="P1075" s="37" t="n">
        <v>0</v>
      </c>
      <c r="Q1075" s="38" t="n">
        <v>0</v>
      </c>
      <c r="R1075" s="38" t="n">
        <v>70.5</v>
      </c>
      <c r="S1075" s="37" t="n">
        <v>0</v>
      </c>
    </row>
    <row r="1076" customFormat="false" ht="15" hidden="false" customHeight="false" outlineLevel="0" collapsed="false">
      <c r="A1076" s="37" t="n">
        <v>5</v>
      </c>
      <c r="B1076" s="37" t="n">
        <v>0</v>
      </c>
      <c r="C1076" s="37" t="n">
        <v>0</v>
      </c>
      <c r="D1076" s="37" t="n">
        <v>0</v>
      </c>
      <c r="E1076" s="37" t="n">
        <v>20</v>
      </c>
      <c r="F1076" s="37" t="n">
        <v>5</v>
      </c>
      <c r="G1076" s="37" t="s">
        <v>192</v>
      </c>
      <c r="H1076" s="38" t="n">
        <v>198.633377948909</v>
      </c>
      <c r="I1076" s="38" t="n">
        <v>197.108601301466</v>
      </c>
      <c r="J1076" s="38" t="n">
        <v>196.742107361556</v>
      </c>
      <c r="K1076" s="38" t="n">
        <v>232.565331065452</v>
      </c>
      <c r="L1076" s="38" t="n">
        <v>70.741959598475</v>
      </c>
      <c r="M1076" s="38" t="n">
        <v>94.951378711553</v>
      </c>
      <c r="N1076" s="38" t="n">
        <v>102.077791789509</v>
      </c>
      <c r="O1076" s="38" t="n">
        <v>57.6006743039418</v>
      </c>
      <c r="P1076" s="37" t="n">
        <v>0</v>
      </c>
      <c r="Q1076" s="38" t="n">
        <v>0</v>
      </c>
      <c r="R1076" s="38" t="n">
        <v>70.5</v>
      </c>
      <c r="S1076" s="37" t="n">
        <v>0</v>
      </c>
    </row>
    <row r="1077" customFormat="false" ht="15" hidden="false" customHeight="false" outlineLevel="0" collapsed="false">
      <c r="A1077" s="37" t="n">
        <v>5</v>
      </c>
      <c r="B1077" s="37" t="n">
        <v>0</v>
      </c>
      <c r="C1077" s="37" t="n">
        <v>0</v>
      </c>
      <c r="D1077" s="37" t="n">
        <v>0</v>
      </c>
      <c r="E1077" s="37" t="n">
        <v>20</v>
      </c>
      <c r="F1077" s="37" t="n">
        <v>5</v>
      </c>
      <c r="G1077" s="37" t="s">
        <v>195</v>
      </c>
      <c r="H1077" s="38" t="n">
        <v>198.633377948909</v>
      </c>
      <c r="I1077" s="38" t="n">
        <v>197.113141176788</v>
      </c>
      <c r="J1077" s="38" t="n">
        <v>192.549026372905</v>
      </c>
      <c r="K1077" s="38" t="n">
        <v>223.500693316805</v>
      </c>
      <c r="L1077" s="38" t="n">
        <v>64.3738436113443</v>
      </c>
      <c r="M1077" s="38" t="n">
        <v>97.962824194681</v>
      </c>
      <c r="N1077" s="38" t="n">
        <v>97.60876998237</v>
      </c>
      <c r="O1077" s="38" t="n">
        <v>56.6113979110291</v>
      </c>
      <c r="P1077" s="37" t="n">
        <v>0</v>
      </c>
      <c r="Q1077" s="38" t="n">
        <v>0</v>
      </c>
      <c r="R1077" s="38" t="n">
        <v>68.4369450883618</v>
      </c>
      <c r="S1077" s="37" t="n">
        <v>0</v>
      </c>
    </row>
    <row r="1078" customFormat="false" ht="15" hidden="false" customHeight="false" outlineLevel="0" collapsed="false">
      <c r="A1078" s="37" t="n">
        <v>5</v>
      </c>
      <c r="B1078" s="37" t="n">
        <v>0</v>
      </c>
      <c r="C1078" s="37" t="n">
        <v>0</v>
      </c>
      <c r="D1078" s="37" t="n">
        <v>0</v>
      </c>
      <c r="E1078" s="37" t="n">
        <v>20</v>
      </c>
      <c r="F1078" s="37" t="n">
        <v>5</v>
      </c>
      <c r="G1078" s="37" t="s">
        <v>197</v>
      </c>
      <c r="H1078" s="38" t="n">
        <v>198.633377948909</v>
      </c>
      <c r="I1078" s="38" t="n">
        <v>197.174702900635</v>
      </c>
      <c r="J1078" s="38" t="n">
        <v>198.996664535434</v>
      </c>
      <c r="K1078" s="38" t="n">
        <v>236.109671092537</v>
      </c>
      <c r="L1078" s="38" t="n">
        <v>80.3632156598006</v>
      </c>
      <c r="M1078" s="38" t="n">
        <v>109.319336535276</v>
      </c>
      <c r="N1078" s="38" t="n">
        <v>126.043822467185</v>
      </c>
      <c r="O1078" s="38" t="n">
        <v>65.5783036469384</v>
      </c>
      <c r="P1078" s="37" t="n">
        <v>0</v>
      </c>
      <c r="Q1078" s="38" t="n">
        <v>0</v>
      </c>
      <c r="R1078" s="38" t="n">
        <v>70.5</v>
      </c>
      <c r="S1078" s="37" t="n">
        <v>1</v>
      </c>
    </row>
    <row r="1079" customFormat="false" ht="15" hidden="false" customHeight="false" outlineLevel="0" collapsed="false">
      <c r="A1079" s="37" t="n">
        <v>5</v>
      </c>
      <c r="B1079" s="37" t="n">
        <v>0</v>
      </c>
      <c r="C1079" s="37" t="n">
        <v>0</v>
      </c>
      <c r="D1079" s="37" t="n">
        <v>0</v>
      </c>
      <c r="E1079" s="37" t="n">
        <v>20</v>
      </c>
      <c r="F1079" s="37" t="n">
        <v>5</v>
      </c>
      <c r="G1079" s="37" t="s">
        <v>196</v>
      </c>
      <c r="H1079" s="38" t="n">
        <v>198.633377948909</v>
      </c>
      <c r="I1079" s="38" t="n">
        <v>197.113086579787</v>
      </c>
      <c r="J1079" s="38" t="n">
        <v>197.0037586328</v>
      </c>
      <c r="K1079" s="38" t="n">
        <v>233.078920179411</v>
      </c>
      <c r="L1079" s="38" t="n">
        <v>76.9981024539956</v>
      </c>
      <c r="M1079" s="38" t="n">
        <v>101.919428511306</v>
      </c>
      <c r="N1079" s="38" t="n">
        <v>112.447101911132</v>
      </c>
      <c r="O1079" s="38" t="n">
        <v>62.4823095161376</v>
      </c>
      <c r="P1079" s="37" t="n">
        <v>0</v>
      </c>
      <c r="Q1079" s="38" t="n">
        <v>0</v>
      </c>
      <c r="R1079" s="38" t="n">
        <v>69.5939370792337</v>
      </c>
      <c r="S1079" s="37" t="n">
        <v>0</v>
      </c>
    </row>
    <row r="1080" customFormat="false" ht="15" hidden="false" customHeight="false" outlineLevel="0" collapsed="false">
      <c r="A1080" s="37" t="n">
        <v>5</v>
      </c>
      <c r="B1080" s="37" t="n">
        <v>0</v>
      </c>
      <c r="C1080" s="37" t="n">
        <v>0</v>
      </c>
      <c r="D1080" s="37" t="n">
        <v>0</v>
      </c>
      <c r="E1080" s="37" t="n">
        <v>25</v>
      </c>
      <c r="F1080" s="37" t="n">
        <v>0</v>
      </c>
      <c r="G1080" s="37" t="s">
        <v>188</v>
      </c>
      <c r="H1080" s="38" t="n">
        <v>198.641692410812</v>
      </c>
      <c r="I1080" s="38" t="n">
        <v>197.23170378556</v>
      </c>
      <c r="J1080" s="38" t="n">
        <v>195.478259526642</v>
      </c>
      <c r="K1080" s="38" t="n">
        <v>231.596654965471</v>
      </c>
      <c r="L1080" s="38" t="n">
        <v>38.6836175429203</v>
      </c>
      <c r="M1080" s="38" t="n">
        <v>100.43277398949</v>
      </c>
      <c r="N1080" s="38" t="n">
        <v>107.339641348382</v>
      </c>
      <c r="O1080" s="38" t="n">
        <v>57.0881456453307</v>
      </c>
      <c r="P1080" s="37" t="n">
        <v>0</v>
      </c>
      <c r="Q1080" s="38" t="n">
        <v>0</v>
      </c>
      <c r="R1080" s="38" t="n">
        <v>70.5</v>
      </c>
      <c r="S1080" s="37" t="n">
        <v>0</v>
      </c>
    </row>
    <row r="1081" customFormat="false" ht="15" hidden="false" customHeight="false" outlineLevel="0" collapsed="false">
      <c r="A1081" s="37" t="n">
        <v>5</v>
      </c>
      <c r="B1081" s="37" t="n">
        <v>0</v>
      </c>
      <c r="C1081" s="37" t="n">
        <v>0</v>
      </c>
      <c r="D1081" s="37" t="n">
        <v>0</v>
      </c>
      <c r="E1081" s="37" t="n">
        <v>25</v>
      </c>
      <c r="F1081" s="37" t="n">
        <v>0</v>
      </c>
      <c r="G1081" s="37" t="s">
        <v>192</v>
      </c>
      <c r="H1081" s="38" t="n">
        <v>198.641692410812</v>
      </c>
      <c r="I1081" s="38" t="n">
        <v>197.192677354645</v>
      </c>
      <c r="J1081" s="38" t="n">
        <v>197.277177435389</v>
      </c>
      <c r="K1081" s="38" t="n">
        <v>233.694532355011</v>
      </c>
      <c r="L1081" s="38" t="n">
        <v>31.8699628862452</v>
      </c>
      <c r="M1081" s="38" t="n">
        <v>95.3973103026583</v>
      </c>
      <c r="N1081" s="38" t="n">
        <v>96.3731200806323</v>
      </c>
      <c r="O1081" s="38" t="n">
        <v>56.617662780385</v>
      </c>
      <c r="P1081" s="37" t="n">
        <v>0</v>
      </c>
      <c r="Q1081" s="38" t="n">
        <v>0</v>
      </c>
      <c r="R1081" s="38" t="n">
        <v>70.5</v>
      </c>
      <c r="S1081" s="37" t="n">
        <v>0</v>
      </c>
    </row>
    <row r="1082" customFormat="false" ht="15" hidden="false" customHeight="false" outlineLevel="0" collapsed="false">
      <c r="A1082" s="37" t="n">
        <v>5</v>
      </c>
      <c r="B1082" s="37" t="n">
        <v>0</v>
      </c>
      <c r="C1082" s="37" t="n">
        <v>0</v>
      </c>
      <c r="D1082" s="37" t="n">
        <v>0</v>
      </c>
      <c r="E1082" s="37" t="n">
        <v>25</v>
      </c>
      <c r="F1082" s="37" t="n">
        <v>0</v>
      </c>
      <c r="G1082" s="37" t="s">
        <v>195</v>
      </c>
      <c r="H1082" s="38" t="n">
        <v>198.641692410812</v>
      </c>
      <c r="I1082" s="38" t="n">
        <v>197.198321554223</v>
      </c>
      <c r="J1082" s="38" t="n">
        <v>193.102559883284</v>
      </c>
      <c r="K1082" s="38" t="n">
        <v>224.641670181775</v>
      </c>
      <c r="L1082" s="38" t="n">
        <v>25.4679811255477</v>
      </c>
      <c r="M1082" s="38" t="n">
        <v>98.4116099998834</v>
      </c>
      <c r="N1082" s="38" t="n">
        <v>86.4155617135813</v>
      </c>
      <c r="O1082" s="38" t="n">
        <v>55.6680374714099</v>
      </c>
      <c r="P1082" s="37" t="n">
        <v>0</v>
      </c>
      <c r="Q1082" s="38" t="n">
        <v>0</v>
      </c>
      <c r="R1082" s="38" t="n">
        <v>68.4228932831317</v>
      </c>
      <c r="S1082" s="37" t="n">
        <v>0</v>
      </c>
    </row>
    <row r="1083" customFormat="false" ht="15" hidden="false" customHeight="false" outlineLevel="0" collapsed="false">
      <c r="A1083" s="37" t="n">
        <v>5</v>
      </c>
      <c r="B1083" s="37" t="n">
        <v>0</v>
      </c>
      <c r="C1083" s="37" t="n">
        <v>0</v>
      </c>
      <c r="D1083" s="37" t="n">
        <v>0</v>
      </c>
      <c r="E1083" s="37" t="n">
        <v>25</v>
      </c>
      <c r="F1083" s="37" t="n">
        <v>0</v>
      </c>
      <c r="G1083" s="37" t="s">
        <v>197</v>
      </c>
      <c r="H1083" s="38" t="n">
        <v>198.641692410812</v>
      </c>
      <c r="I1083" s="38" t="n">
        <v>197.27118923192</v>
      </c>
      <c r="J1083" s="38" t="n">
        <v>198.210974707129</v>
      </c>
      <c r="K1083" s="38" t="n">
        <v>235.594907327038</v>
      </c>
      <c r="L1083" s="38" t="n">
        <v>49.0949073270382</v>
      </c>
      <c r="M1083" s="38" t="n">
        <v>110.668519425934</v>
      </c>
      <c r="N1083" s="38" t="n">
        <v>123.168694219518</v>
      </c>
      <c r="O1083" s="38" t="n">
        <v>63.9323919488051</v>
      </c>
      <c r="P1083" s="37" t="n">
        <v>0</v>
      </c>
      <c r="Q1083" s="38" t="n">
        <v>0</v>
      </c>
      <c r="R1083" s="38" t="n">
        <v>70.5</v>
      </c>
      <c r="S1083" s="37" t="n">
        <v>1</v>
      </c>
    </row>
    <row r="1084" customFormat="false" ht="15" hidden="false" customHeight="false" outlineLevel="0" collapsed="false">
      <c r="A1084" s="37" t="n">
        <v>5</v>
      </c>
      <c r="B1084" s="37" t="n">
        <v>0</v>
      </c>
      <c r="C1084" s="37" t="n">
        <v>0</v>
      </c>
      <c r="D1084" s="37" t="n">
        <v>0</v>
      </c>
      <c r="E1084" s="37" t="n">
        <v>25</v>
      </c>
      <c r="F1084" s="37" t="n">
        <v>0</v>
      </c>
      <c r="G1084" s="37" t="s">
        <v>196</v>
      </c>
      <c r="H1084" s="38" t="n">
        <v>198.641692410812</v>
      </c>
      <c r="I1084" s="38" t="n">
        <v>197.197211745966</v>
      </c>
      <c r="J1084" s="38" t="n">
        <v>197.515238027132</v>
      </c>
      <c r="K1084" s="38" t="n">
        <v>234.17840763221</v>
      </c>
      <c r="L1084" s="38" t="n">
        <v>38.0170428612098</v>
      </c>
      <c r="M1084" s="38" t="n">
        <v>102.517649023509</v>
      </c>
      <c r="N1084" s="38" t="n">
        <v>111.962546759514</v>
      </c>
      <c r="O1084" s="38" t="n">
        <v>61.3617063158535</v>
      </c>
      <c r="P1084" s="37" t="n">
        <v>0</v>
      </c>
      <c r="Q1084" s="38" t="n">
        <v>0</v>
      </c>
      <c r="R1084" s="38" t="n">
        <v>69.5746057882932</v>
      </c>
      <c r="S1084" s="37" t="n">
        <v>0</v>
      </c>
    </row>
    <row r="1085" customFormat="false" ht="15" hidden="false" customHeight="false" outlineLevel="0" collapsed="false">
      <c r="A1085" s="37" t="n">
        <v>5</v>
      </c>
      <c r="B1085" s="37" t="n">
        <v>0</v>
      </c>
      <c r="C1085" s="37" t="n">
        <v>0</v>
      </c>
      <c r="D1085" s="37" t="n">
        <v>5</v>
      </c>
      <c r="E1085" s="37" t="n">
        <v>0</v>
      </c>
      <c r="F1085" s="37" t="n">
        <v>20</v>
      </c>
      <c r="G1085" s="37" t="s">
        <v>188</v>
      </c>
      <c r="H1085" s="38" t="n">
        <v>198.686634057699</v>
      </c>
      <c r="I1085" s="38" t="n">
        <v>197.118439113143</v>
      </c>
      <c r="J1085" s="38" t="n">
        <v>190.802904227098</v>
      </c>
      <c r="K1085" s="38" t="n">
        <v>210.941901942607</v>
      </c>
      <c r="L1085" s="38" t="n">
        <v>166.399850957795</v>
      </c>
      <c r="M1085" s="38" t="n">
        <v>96.2522128657657</v>
      </c>
      <c r="N1085" s="38" t="n">
        <v>89.1790070273788</v>
      </c>
      <c r="O1085" s="38" t="n">
        <v>64.6718798205206</v>
      </c>
      <c r="P1085" s="37" t="n">
        <v>0</v>
      </c>
      <c r="Q1085" s="38" t="n">
        <v>0</v>
      </c>
      <c r="R1085" s="38" t="n">
        <v>72</v>
      </c>
      <c r="S1085" s="37" t="n">
        <v>0</v>
      </c>
    </row>
    <row r="1086" customFormat="false" ht="15" hidden="false" customHeight="false" outlineLevel="0" collapsed="false">
      <c r="A1086" s="37" t="n">
        <v>5</v>
      </c>
      <c r="B1086" s="37" t="n">
        <v>0</v>
      </c>
      <c r="C1086" s="37" t="n">
        <v>0</v>
      </c>
      <c r="D1086" s="37" t="n">
        <v>5</v>
      </c>
      <c r="E1086" s="37" t="n">
        <v>0</v>
      </c>
      <c r="F1086" s="37" t="n">
        <v>20</v>
      </c>
      <c r="G1086" s="37" t="s">
        <v>192</v>
      </c>
      <c r="H1086" s="38" t="n">
        <v>198.686634057699</v>
      </c>
      <c r="I1086" s="38" t="n">
        <v>197.070532380089</v>
      </c>
      <c r="J1086" s="38" t="n">
        <v>192.859482373005</v>
      </c>
      <c r="K1086" s="38" t="n">
        <v>213.277562975088</v>
      </c>
      <c r="L1086" s="38" t="n">
        <v>171.765176471795</v>
      </c>
      <c r="M1086" s="38" t="n">
        <v>91.1113174765074</v>
      </c>
      <c r="N1086" s="38" t="n">
        <v>84.0855923281638</v>
      </c>
      <c r="O1086" s="38" t="n">
        <v>60.3355538684358</v>
      </c>
      <c r="P1086" s="37" t="n">
        <v>0</v>
      </c>
      <c r="Q1086" s="38" t="n">
        <v>0</v>
      </c>
      <c r="R1086" s="38" t="n">
        <v>72</v>
      </c>
      <c r="S1086" s="37" t="n">
        <v>0</v>
      </c>
    </row>
    <row r="1087" customFormat="false" ht="15" hidden="false" customHeight="false" outlineLevel="0" collapsed="false">
      <c r="A1087" s="37" t="n">
        <v>5</v>
      </c>
      <c r="B1087" s="37" t="n">
        <v>0</v>
      </c>
      <c r="C1087" s="37" t="n">
        <v>0</v>
      </c>
      <c r="D1087" s="37" t="n">
        <v>5</v>
      </c>
      <c r="E1087" s="37" t="n">
        <v>0</v>
      </c>
      <c r="F1087" s="37" t="n">
        <v>20</v>
      </c>
      <c r="G1087" s="37" t="s">
        <v>195</v>
      </c>
      <c r="H1087" s="38" t="n">
        <v>198.686634057699</v>
      </c>
      <c r="I1087" s="38" t="n">
        <v>197.097721664469</v>
      </c>
      <c r="J1087" s="38" t="n">
        <v>190.589807640735</v>
      </c>
      <c r="K1087" s="38" t="n">
        <v>207.469802277388</v>
      </c>
      <c r="L1087" s="38" t="n">
        <v>169.763990379495</v>
      </c>
      <c r="M1087" s="38" t="n">
        <v>95.7832680903652</v>
      </c>
      <c r="N1087" s="38" t="n">
        <v>86.3836169784467</v>
      </c>
      <c r="O1087" s="38" t="n">
        <v>62.1304030753584</v>
      </c>
      <c r="P1087" s="37" t="n">
        <v>0</v>
      </c>
      <c r="Q1087" s="38" t="n">
        <v>0</v>
      </c>
      <c r="R1087" s="38" t="n">
        <v>70.3632564306324</v>
      </c>
      <c r="S1087" s="37" t="n">
        <v>0</v>
      </c>
    </row>
    <row r="1088" customFormat="false" ht="15" hidden="false" customHeight="false" outlineLevel="0" collapsed="false">
      <c r="A1088" s="37" t="n">
        <v>5</v>
      </c>
      <c r="B1088" s="37" t="n">
        <v>0</v>
      </c>
      <c r="C1088" s="37" t="n">
        <v>0</v>
      </c>
      <c r="D1088" s="37" t="n">
        <v>5</v>
      </c>
      <c r="E1088" s="37" t="n">
        <v>0</v>
      </c>
      <c r="F1088" s="37" t="n">
        <v>20</v>
      </c>
      <c r="G1088" s="37" t="s">
        <v>197</v>
      </c>
      <c r="H1088" s="38" t="n">
        <v>198.686634057699</v>
      </c>
      <c r="I1088" s="38" t="n">
        <v>197.070829263747</v>
      </c>
      <c r="J1088" s="38" t="n">
        <v>192.195932039496</v>
      </c>
      <c r="K1088" s="38" t="n">
        <v>212.411232001838</v>
      </c>
      <c r="L1088" s="38" t="n">
        <v>169.949831337585</v>
      </c>
      <c r="M1088" s="38" t="n">
        <v>95.9120685773414</v>
      </c>
      <c r="N1088" s="38" t="n">
        <v>86.1744302433254</v>
      </c>
      <c r="O1088" s="38" t="n">
        <v>61.8395144804727</v>
      </c>
      <c r="P1088" s="37" t="n">
        <v>0</v>
      </c>
      <c r="Q1088" s="38" t="n">
        <v>0</v>
      </c>
      <c r="R1088" s="38" t="n">
        <v>72</v>
      </c>
      <c r="S1088" s="37" t="n">
        <v>0</v>
      </c>
    </row>
    <row r="1089" customFormat="false" ht="15" hidden="false" customHeight="false" outlineLevel="0" collapsed="false">
      <c r="A1089" s="37" t="n">
        <v>5</v>
      </c>
      <c r="B1089" s="37" t="n">
        <v>0</v>
      </c>
      <c r="C1089" s="37" t="n">
        <v>0</v>
      </c>
      <c r="D1089" s="37" t="n">
        <v>5</v>
      </c>
      <c r="E1089" s="37" t="n">
        <v>0</v>
      </c>
      <c r="F1089" s="37" t="n">
        <v>20</v>
      </c>
      <c r="G1089" s="37" t="s">
        <v>196</v>
      </c>
      <c r="H1089" s="38" t="n">
        <v>198.686634057699</v>
      </c>
      <c r="I1089" s="38" t="n">
        <v>197.071448931242</v>
      </c>
      <c r="J1089" s="38" t="n">
        <v>185.933047405116</v>
      </c>
      <c r="K1089" s="38" t="n">
        <v>215.258243392076</v>
      </c>
      <c r="L1089" s="38" t="n">
        <v>181.702687836521</v>
      </c>
      <c r="M1089" s="38" t="n">
        <v>96.8786643244426</v>
      </c>
      <c r="N1089" s="38" t="n">
        <v>91.736669830437</v>
      </c>
      <c r="O1089" s="38" t="n">
        <v>61.8761496364207</v>
      </c>
      <c r="P1089" s="37" t="n">
        <v>0</v>
      </c>
      <c r="Q1089" s="38" t="n">
        <v>0</v>
      </c>
      <c r="R1089" s="38" t="n">
        <v>70.6413275560494</v>
      </c>
      <c r="S1089" s="37" t="n">
        <v>1</v>
      </c>
    </row>
    <row r="1090" customFormat="false" ht="15" hidden="false" customHeight="false" outlineLevel="0" collapsed="false">
      <c r="A1090" s="37" t="n">
        <v>5</v>
      </c>
      <c r="B1090" s="37" t="n">
        <v>0</v>
      </c>
      <c r="C1090" s="37" t="n">
        <v>0</v>
      </c>
      <c r="D1090" s="37" t="n">
        <v>5</v>
      </c>
      <c r="E1090" s="37" t="n">
        <v>5</v>
      </c>
      <c r="F1090" s="37" t="n">
        <v>15</v>
      </c>
      <c r="G1090" s="37" t="s">
        <v>188</v>
      </c>
      <c r="H1090" s="38" t="n">
        <v>198.723203590224</v>
      </c>
      <c r="I1090" s="38" t="n">
        <v>197.463795251476</v>
      </c>
      <c r="J1090" s="38" t="n">
        <v>194.603279486351</v>
      </c>
      <c r="K1090" s="38" t="n">
        <v>217.554818819426</v>
      </c>
      <c r="L1090" s="38" t="n">
        <v>133.293956014608</v>
      </c>
      <c r="M1090" s="38" t="n">
        <v>97.7734586386015</v>
      </c>
      <c r="N1090" s="38" t="n">
        <v>98.0847324790234</v>
      </c>
      <c r="O1090" s="38" t="n">
        <v>65.5209240352753</v>
      </c>
      <c r="P1090" s="37" t="n">
        <v>0</v>
      </c>
      <c r="Q1090" s="38" t="n">
        <v>0</v>
      </c>
      <c r="R1090" s="38" t="n">
        <v>72</v>
      </c>
      <c r="S1090" s="37" t="n">
        <v>0</v>
      </c>
    </row>
    <row r="1091" customFormat="false" ht="15" hidden="false" customHeight="false" outlineLevel="0" collapsed="false">
      <c r="A1091" s="37" t="n">
        <v>5</v>
      </c>
      <c r="B1091" s="37" t="n">
        <v>0</v>
      </c>
      <c r="C1091" s="37" t="n">
        <v>0</v>
      </c>
      <c r="D1091" s="37" t="n">
        <v>5</v>
      </c>
      <c r="E1091" s="37" t="n">
        <v>5</v>
      </c>
      <c r="F1091" s="37" t="n">
        <v>15</v>
      </c>
      <c r="G1091" s="37" t="s">
        <v>192</v>
      </c>
      <c r="H1091" s="38" t="n">
        <v>198.723203590224</v>
      </c>
      <c r="I1091" s="38" t="n">
        <v>197.414274244637</v>
      </c>
      <c r="J1091" s="38" t="n">
        <v>196.359268157444</v>
      </c>
      <c r="K1091" s="38" t="n">
        <v>219.520934249654</v>
      </c>
      <c r="L1091" s="38" t="n">
        <v>138.002852377337</v>
      </c>
      <c r="M1091" s="38" t="n">
        <v>92.6348781279265</v>
      </c>
      <c r="N1091" s="38" t="n">
        <v>92.395038020249</v>
      </c>
      <c r="O1091" s="38" t="n">
        <v>61.379154319235</v>
      </c>
      <c r="P1091" s="37" t="n">
        <v>0</v>
      </c>
      <c r="Q1091" s="38" t="n">
        <v>0</v>
      </c>
      <c r="R1091" s="38" t="n">
        <v>72</v>
      </c>
      <c r="S1091" s="37" t="n">
        <v>0</v>
      </c>
    </row>
    <row r="1092" customFormat="false" ht="15" hidden="false" customHeight="false" outlineLevel="0" collapsed="false">
      <c r="A1092" s="37" t="n">
        <v>5</v>
      </c>
      <c r="B1092" s="37" t="n">
        <v>0</v>
      </c>
      <c r="C1092" s="37" t="n">
        <v>0</v>
      </c>
      <c r="D1092" s="37" t="n">
        <v>5</v>
      </c>
      <c r="E1092" s="37" t="n">
        <v>5</v>
      </c>
      <c r="F1092" s="37" t="n">
        <v>15</v>
      </c>
      <c r="G1092" s="37" t="s">
        <v>195</v>
      </c>
      <c r="H1092" s="38" t="n">
        <v>198.723203590224</v>
      </c>
      <c r="I1092" s="38" t="n">
        <v>197.449200586875</v>
      </c>
      <c r="J1092" s="38" t="n">
        <v>194.213696354098</v>
      </c>
      <c r="K1092" s="38" t="n">
        <v>213.951701452762</v>
      </c>
      <c r="L1092" s="38" t="n">
        <v>136.23472025413</v>
      </c>
      <c r="M1092" s="38" t="n">
        <v>97.3209848079543</v>
      </c>
      <c r="N1092" s="38" t="n">
        <v>95.0746167226696</v>
      </c>
      <c r="O1092" s="38" t="n">
        <v>63.3954887660446</v>
      </c>
      <c r="P1092" s="37" t="n">
        <v>0</v>
      </c>
      <c r="Q1092" s="38" t="n">
        <v>0</v>
      </c>
      <c r="R1092" s="38" t="n">
        <v>70.3599056404103</v>
      </c>
      <c r="S1092" s="37" t="n">
        <v>0</v>
      </c>
    </row>
    <row r="1093" customFormat="false" ht="15" hidden="false" customHeight="false" outlineLevel="0" collapsed="false">
      <c r="A1093" s="37" t="n">
        <v>5</v>
      </c>
      <c r="B1093" s="37" t="n">
        <v>0</v>
      </c>
      <c r="C1093" s="37" t="n">
        <v>0</v>
      </c>
      <c r="D1093" s="37" t="n">
        <v>5</v>
      </c>
      <c r="E1093" s="37" t="n">
        <v>5</v>
      </c>
      <c r="F1093" s="37" t="n">
        <v>15</v>
      </c>
      <c r="G1093" s="37" t="s">
        <v>197</v>
      </c>
      <c r="H1093" s="38" t="n">
        <v>198.723203590224</v>
      </c>
      <c r="I1093" s="38" t="n">
        <v>197.424832894522</v>
      </c>
      <c r="J1093" s="38" t="n">
        <v>196.401729457323</v>
      </c>
      <c r="K1093" s="38" t="n">
        <v>219.733193699981</v>
      </c>
      <c r="L1093" s="38" t="n">
        <v>137.848527575124</v>
      </c>
      <c r="M1093" s="38" t="n">
        <v>100.838045107043</v>
      </c>
      <c r="N1093" s="38" t="n">
        <v>104.439959633861</v>
      </c>
      <c r="O1093" s="38" t="n">
        <v>67.1480831120172</v>
      </c>
      <c r="P1093" s="37" t="n">
        <v>0</v>
      </c>
      <c r="Q1093" s="38" t="n">
        <v>0</v>
      </c>
      <c r="R1093" s="38" t="n">
        <v>72</v>
      </c>
      <c r="S1093" s="37" t="n">
        <v>1</v>
      </c>
    </row>
    <row r="1094" customFormat="false" ht="15" hidden="false" customHeight="false" outlineLevel="0" collapsed="false">
      <c r="A1094" s="37" t="n">
        <v>5</v>
      </c>
      <c r="B1094" s="37" t="n">
        <v>0</v>
      </c>
      <c r="C1094" s="37" t="n">
        <v>0</v>
      </c>
      <c r="D1094" s="37" t="n">
        <v>5</v>
      </c>
      <c r="E1094" s="37" t="n">
        <v>5</v>
      </c>
      <c r="F1094" s="37" t="n">
        <v>15</v>
      </c>
      <c r="G1094" s="37" t="s">
        <v>196</v>
      </c>
      <c r="H1094" s="38" t="n">
        <v>198.723203590224</v>
      </c>
      <c r="I1094" s="38" t="n">
        <v>197.416237135951</v>
      </c>
      <c r="J1094" s="38" t="n">
        <v>196.69481580757</v>
      </c>
      <c r="K1094" s="38" t="n">
        <v>220.031147068357</v>
      </c>
      <c r="L1094" s="38" t="n">
        <v>143.993693938092</v>
      </c>
      <c r="M1094" s="38" t="n">
        <v>99.0726354147535</v>
      </c>
      <c r="N1094" s="38" t="n">
        <v>103.143636778581</v>
      </c>
      <c r="O1094" s="38" t="n">
        <v>66.0401130078223</v>
      </c>
      <c r="P1094" s="37" t="n">
        <v>0</v>
      </c>
      <c r="Q1094" s="38" t="n">
        <v>0</v>
      </c>
      <c r="R1094" s="38" t="n">
        <v>71.1043445820698</v>
      </c>
      <c r="S1094" s="37" t="n">
        <v>0</v>
      </c>
    </row>
    <row r="1095" customFormat="false" ht="15" hidden="false" customHeight="false" outlineLevel="0" collapsed="false">
      <c r="A1095" s="37" t="n">
        <v>5</v>
      </c>
      <c r="B1095" s="37" t="n">
        <v>0</v>
      </c>
      <c r="C1095" s="37" t="n">
        <v>0</v>
      </c>
      <c r="D1095" s="37" t="n">
        <v>5</v>
      </c>
      <c r="E1095" s="37" t="n">
        <v>10</v>
      </c>
      <c r="F1095" s="37" t="n">
        <v>10</v>
      </c>
      <c r="G1095" s="37" t="s">
        <v>188</v>
      </c>
      <c r="H1095" s="38" t="n">
        <v>198.753077602115</v>
      </c>
      <c r="I1095" s="38" t="n">
        <v>197.804314058851</v>
      </c>
      <c r="J1095" s="38" t="n">
        <v>197.735624079835</v>
      </c>
      <c r="K1095" s="38" t="n">
        <v>223.236564482757</v>
      </c>
      <c r="L1095" s="38" t="n">
        <v>99.2364135377261</v>
      </c>
      <c r="M1095" s="38" t="n">
        <v>99.1792828933211</v>
      </c>
      <c r="N1095" s="38" t="n">
        <v>105.279152154513</v>
      </c>
      <c r="O1095" s="38" t="n">
        <v>65.5320209214655</v>
      </c>
      <c r="P1095" s="37" t="n">
        <v>0</v>
      </c>
      <c r="Q1095" s="38" t="n">
        <v>0</v>
      </c>
      <c r="R1095" s="38" t="n">
        <v>72</v>
      </c>
      <c r="S1095" s="37" t="n">
        <v>0</v>
      </c>
    </row>
    <row r="1096" customFormat="false" ht="15" hidden="false" customHeight="false" outlineLevel="0" collapsed="false">
      <c r="A1096" s="37" t="n">
        <v>5</v>
      </c>
      <c r="B1096" s="37" t="n">
        <v>0</v>
      </c>
      <c r="C1096" s="37" t="n">
        <v>0</v>
      </c>
      <c r="D1096" s="37" t="n">
        <v>5</v>
      </c>
      <c r="E1096" s="37" t="n">
        <v>10</v>
      </c>
      <c r="F1096" s="37" t="n">
        <v>10</v>
      </c>
      <c r="G1096" s="37" t="s">
        <v>192</v>
      </c>
      <c r="H1096" s="38" t="n">
        <v>198.753077602115</v>
      </c>
      <c r="I1096" s="38" t="n">
        <v>197.753273090653</v>
      </c>
      <c r="J1096" s="38" t="n">
        <v>199.236359025673</v>
      </c>
      <c r="K1096" s="38" t="n">
        <v>224.883243025377</v>
      </c>
      <c r="L1096" s="38" t="n">
        <v>103.359234096679</v>
      </c>
      <c r="M1096" s="38" t="n">
        <v>94.0514156318087</v>
      </c>
      <c r="N1096" s="38" t="n">
        <v>99.127762923986</v>
      </c>
      <c r="O1096" s="38" t="n">
        <v>61.4627775849094</v>
      </c>
      <c r="P1096" s="37" t="n">
        <v>0</v>
      </c>
      <c r="Q1096" s="38" t="n">
        <v>0</v>
      </c>
      <c r="R1096" s="38" t="n">
        <v>72</v>
      </c>
      <c r="S1096" s="37" t="n">
        <v>0</v>
      </c>
    </row>
    <row r="1097" customFormat="false" ht="15" hidden="false" customHeight="false" outlineLevel="0" collapsed="false">
      <c r="A1097" s="37" t="n">
        <v>5</v>
      </c>
      <c r="B1097" s="37" t="n">
        <v>0</v>
      </c>
      <c r="C1097" s="37" t="n">
        <v>0</v>
      </c>
      <c r="D1097" s="37" t="n">
        <v>5</v>
      </c>
      <c r="E1097" s="37" t="n">
        <v>10</v>
      </c>
      <c r="F1097" s="37" t="n">
        <v>10</v>
      </c>
      <c r="G1097" s="37" t="s">
        <v>195</v>
      </c>
      <c r="H1097" s="38" t="n">
        <v>198.753077602115</v>
      </c>
      <c r="I1097" s="38" t="n">
        <v>197.796432762042</v>
      </c>
      <c r="J1097" s="38" t="n">
        <v>197.150138619494</v>
      </c>
      <c r="K1097" s="38" t="n">
        <v>219.490645358433</v>
      </c>
      <c r="L1097" s="38" t="n">
        <v>101.762238704841</v>
      </c>
      <c r="M1097" s="38" t="n">
        <v>98.7466247180626</v>
      </c>
      <c r="N1097" s="38" t="n">
        <v>101.996274952346</v>
      </c>
      <c r="O1097" s="38" t="n">
        <v>63.6938037354768</v>
      </c>
      <c r="P1097" s="37" t="n">
        <v>0</v>
      </c>
      <c r="Q1097" s="38" t="n">
        <v>0</v>
      </c>
      <c r="R1097" s="38" t="n">
        <v>70.3564780039224</v>
      </c>
      <c r="S1097" s="37" t="n">
        <v>0</v>
      </c>
    </row>
    <row r="1098" customFormat="false" ht="15" hidden="false" customHeight="false" outlineLevel="0" collapsed="false">
      <c r="A1098" s="37" t="n">
        <v>5</v>
      </c>
      <c r="B1098" s="37" t="n">
        <v>0</v>
      </c>
      <c r="C1098" s="37" t="n">
        <v>0</v>
      </c>
      <c r="D1098" s="37" t="n">
        <v>5</v>
      </c>
      <c r="E1098" s="37" t="n">
        <v>10</v>
      </c>
      <c r="F1098" s="37" t="n">
        <v>10</v>
      </c>
      <c r="G1098" s="37" t="s">
        <v>197</v>
      </c>
      <c r="H1098" s="38" t="n">
        <v>198.753077602115</v>
      </c>
      <c r="I1098" s="38" t="n">
        <v>197.784704954916</v>
      </c>
      <c r="J1098" s="38" t="n">
        <v>200.330688652806</v>
      </c>
      <c r="K1098" s="38" t="n">
        <v>226.610611417236</v>
      </c>
      <c r="L1098" s="38" t="n">
        <v>105.460220833127</v>
      </c>
      <c r="M1098" s="38" t="n">
        <v>104.998675960467</v>
      </c>
      <c r="N1098" s="38" t="n">
        <v>119.723045867766</v>
      </c>
      <c r="O1098" s="38" t="n">
        <v>68.8883548669104</v>
      </c>
      <c r="P1098" s="37" t="n">
        <v>0</v>
      </c>
      <c r="Q1098" s="38" t="n">
        <v>0</v>
      </c>
      <c r="R1098" s="38" t="n">
        <v>72</v>
      </c>
      <c r="S1098" s="37" t="n">
        <v>1</v>
      </c>
    </row>
    <row r="1099" customFormat="false" ht="15" hidden="false" customHeight="false" outlineLevel="0" collapsed="false">
      <c r="A1099" s="37" t="n">
        <v>5</v>
      </c>
      <c r="B1099" s="37" t="n">
        <v>0</v>
      </c>
      <c r="C1099" s="37" t="n">
        <v>0</v>
      </c>
      <c r="D1099" s="37" t="n">
        <v>5</v>
      </c>
      <c r="E1099" s="37" t="n">
        <v>10</v>
      </c>
      <c r="F1099" s="37" t="n">
        <v>10</v>
      </c>
      <c r="G1099" s="37" t="s">
        <v>196</v>
      </c>
      <c r="H1099" s="38" t="n">
        <v>198.753077602115</v>
      </c>
      <c r="I1099" s="38" t="n">
        <v>197.756660706878</v>
      </c>
      <c r="J1099" s="38" t="n">
        <v>199.564333377645</v>
      </c>
      <c r="K1099" s="38" t="n">
        <v>225.403421418808</v>
      </c>
      <c r="L1099" s="38" t="n">
        <v>109.363872649626</v>
      </c>
      <c r="M1099" s="38" t="n">
        <v>101.012754067276</v>
      </c>
      <c r="N1099" s="38" t="n">
        <v>111.16403343177</v>
      </c>
      <c r="O1099" s="38" t="n">
        <v>66.6465360131184</v>
      </c>
      <c r="P1099" s="37" t="n">
        <v>0</v>
      </c>
      <c r="Q1099" s="38" t="n">
        <v>0</v>
      </c>
      <c r="R1099" s="38" t="n">
        <v>71.1038416287296</v>
      </c>
      <c r="S1099" s="37" t="n">
        <v>0</v>
      </c>
    </row>
    <row r="1100" customFormat="false" ht="15" hidden="false" customHeight="false" outlineLevel="0" collapsed="false">
      <c r="A1100" s="37" t="n">
        <v>5</v>
      </c>
      <c r="B1100" s="37" t="n">
        <v>0</v>
      </c>
      <c r="C1100" s="37" t="n">
        <v>0</v>
      </c>
      <c r="D1100" s="37" t="n">
        <v>5</v>
      </c>
      <c r="E1100" s="37" t="n">
        <v>15</v>
      </c>
      <c r="F1100" s="37" t="n">
        <v>5</v>
      </c>
      <c r="G1100" s="37" t="s">
        <v>188</v>
      </c>
      <c r="H1100" s="38" t="n">
        <v>198.776209825669</v>
      </c>
      <c r="I1100" s="38" t="n">
        <v>198.031532197129</v>
      </c>
      <c r="J1100" s="38" t="n">
        <v>199.840679513487</v>
      </c>
      <c r="K1100" s="38" t="n">
        <v>226.999142907354</v>
      </c>
      <c r="L1100" s="38" t="n">
        <v>63.215795503131</v>
      </c>
      <c r="M1100" s="38" t="n">
        <v>100.192719093136</v>
      </c>
      <c r="N1100" s="38" t="n">
        <v>110.172947952056</v>
      </c>
      <c r="O1100" s="38" t="n">
        <v>65.1384108090759</v>
      </c>
      <c r="P1100" s="37" t="n">
        <v>0</v>
      </c>
      <c r="Q1100" s="38" t="n">
        <v>0</v>
      </c>
      <c r="R1100" s="38" t="n">
        <v>72</v>
      </c>
      <c r="S1100" s="37" t="n">
        <v>0</v>
      </c>
    </row>
    <row r="1101" customFormat="false" ht="15" hidden="false" customHeight="false" outlineLevel="0" collapsed="false">
      <c r="A1101" s="37" t="n">
        <v>5</v>
      </c>
      <c r="B1101" s="37" t="n">
        <v>0</v>
      </c>
      <c r="C1101" s="37" t="n">
        <v>0</v>
      </c>
      <c r="D1101" s="37" t="n">
        <v>5</v>
      </c>
      <c r="E1101" s="37" t="n">
        <v>15</v>
      </c>
      <c r="F1101" s="37" t="n">
        <v>5</v>
      </c>
      <c r="G1101" s="37" t="s">
        <v>192</v>
      </c>
      <c r="H1101" s="38" t="n">
        <v>198.776209825669</v>
      </c>
      <c r="I1101" s="38" t="n">
        <v>197.979687430313</v>
      </c>
      <c r="J1101" s="38" t="n">
        <v>201.113607333185</v>
      </c>
      <c r="K1101" s="38" t="n">
        <v>228.37376218853</v>
      </c>
      <c r="L1101" s="38" t="n">
        <v>66.8416968509417</v>
      </c>
      <c r="M1101" s="38" t="n">
        <v>95.0913323017395</v>
      </c>
      <c r="N1101" s="38" t="n">
        <v>103.630123098953</v>
      </c>
      <c r="O1101" s="38" t="n">
        <v>61.1403131724539</v>
      </c>
      <c r="P1101" s="37" t="n">
        <v>0</v>
      </c>
      <c r="Q1101" s="38" t="n">
        <v>0</v>
      </c>
      <c r="R1101" s="38" t="n">
        <v>72</v>
      </c>
      <c r="S1101" s="37" t="n">
        <v>0</v>
      </c>
    </row>
    <row r="1102" customFormat="false" ht="15" hidden="false" customHeight="false" outlineLevel="0" collapsed="false">
      <c r="A1102" s="37" t="n">
        <v>5</v>
      </c>
      <c r="B1102" s="37" t="n">
        <v>0</v>
      </c>
      <c r="C1102" s="37" t="n">
        <v>0</v>
      </c>
      <c r="D1102" s="37" t="n">
        <v>5</v>
      </c>
      <c r="E1102" s="37" t="n">
        <v>15</v>
      </c>
      <c r="F1102" s="37" t="n">
        <v>5</v>
      </c>
      <c r="G1102" s="37" t="s">
        <v>195</v>
      </c>
      <c r="H1102" s="38" t="n">
        <v>198.776209825669</v>
      </c>
      <c r="I1102" s="38" t="n">
        <v>198.030858398052</v>
      </c>
      <c r="J1102" s="38" t="n">
        <v>199.070224799991</v>
      </c>
      <c r="K1102" s="38" t="n">
        <v>223.148019313801</v>
      </c>
      <c r="L1102" s="38" t="n">
        <v>65.4009188108726</v>
      </c>
      <c r="M1102" s="38" t="n">
        <v>99.7827210243901</v>
      </c>
      <c r="N1102" s="38" t="n">
        <v>106.54345323158</v>
      </c>
      <c r="O1102" s="38" t="n">
        <v>63.5306474812705</v>
      </c>
      <c r="P1102" s="37" t="n">
        <v>0</v>
      </c>
      <c r="Q1102" s="38" t="n">
        <v>0</v>
      </c>
      <c r="R1102" s="38" t="n">
        <v>70.3508698491214</v>
      </c>
      <c r="S1102" s="37" t="n">
        <v>0</v>
      </c>
    </row>
    <row r="1103" customFormat="false" ht="15" hidden="false" customHeight="false" outlineLevel="0" collapsed="false">
      <c r="A1103" s="37" t="n">
        <v>5</v>
      </c>
      <c r="B1103" s="37" t="n">
        <v>0</v>
      </c>
      <c r="C1103" s="37" t="n">
        <v>0</v>
      </c>
      <c r="D1103" s="37" t="n">
        <v>5</v>
      </c>
      <c r="E1103" s="37" t="n">
        <v>15</v>
      </c>
      <c r="F1103" s="37" t="n">
        <v>5</v>
      </c>
      <c r="G1103" s="37" t="s">
        <v>197</v>
      </c>
      <c r="H1103" s="38" t="n">
        <v>198.776209825669</v>
      </c>
      <c r="I1103" s="38" t="n">
        <v>198.030450945397</v>
      </c>
      <c r="J1103" s="38" t="n">
        <v>201.258983764271</v>
      </c>
      <c r="K1103" s="38" t="n">
        <v>228.995273917079</v>
      </c>
      <c r="L1103" s="38" t="n">
        <v>72.4952739170792</v>
      </c>
      <c r="M1103" s="38" t="n">
        <v>107.691012973306</v>
      </c>
      <c r="N1103" s="38" t="n">
        <v>121.183467231785</v>
      </c>
      <c r="O1103" s="38" t="n">
        <v>68.0066798431315</v>
      </c>
      <c r="P1103" s="37" t="n">
        <v>0</v>
      </c>
      <c r="Q1103" s="38" t="n">
        <v>0</v>
      </c>
      <c r="R1103" s="38" t="n">
        <v>72</v>
      </c>
      <c r="S1103" s="37" t="n">
        <v>1</v>
      </c>
    </row>
    <row r="1104" customFormat="false" ht="15" hidden="false" customHeight="false" outlineLevel="0" collapsed="false">
      <c r="A1104" s="37" t="n">
        <v>5</v>
      </c>
      <c r="B1104" s="37" t="n">
        <v>0</v>
      </c>
      <c r="C1104" s="37" t="n">
        <v>0</v>
      </c>
      <c r="D1104" s="37" t="n">
        <v>5</v>
      </c>
      <c r="E1104" s="37" t="n">
        <v>15</v>
      </c>
      <c r="F1104" s="37" t="n">
        <v>5</v>
      </c>
      <c r="G1104" s="37" t="s">
        <v>196</v>
      </c>
      <c r="H1104" s="38" t="n">
        <v>198.776209825669</v>
      </c>
      <c r="I1104" s="38" t="n">
        <v>197.986141719888</v>
      </c>
      <c r="J1104" s="38" t="n">
        <v>201.351243985535</v>
      </c>
      <c r="K1104" s="38" t="n">
        <v>228.860130356307</v>
      </c>
      <c r="L1104" s="38" t="n">
        <v>72.8171438274843</v>
      </c>
      <c r="M1104" s="38" t="n">
        <v>102.354497364537</v>
      </c>
      <c r="N1104" s="38" t="n">
        <v>115.435101169303</v>
      </c>
      <c r="O1104" s="38" t="n">
        <v>66.1661989315148</v>
      </c>
      <c r="P1104" s="37" t="n">
        <v>0</v>
      </c>
      <c r="Q1104" s="38" t="n">
        <v>0</v>
      </c>
      <c r="R1104" s="38" t="n">
        <v>71.103016566416</v>
      </c>
      <c r="S1104" s="37" t="n">
        <v>0</v>
      </c>
    </row>
    <row r="1105" customFormat="false" ht="15" hidden="false" customHeight="false" outlineLevel="0" collapsed="false">
      <c r="A1105" s="37" t="n">
        <v>5</v>
      </c>
      <c r="B1105" s="37" t="n">
        <v>0</v>
      </c>
      <c r="C1105" s="37" t="n">
        <v>0</v>
      </c>
      <c r="D1105" s="37" t="n">
        <v>5</v>
      </c>
      <c r="E1105" s="37" t="n">
        <v>20</v>
      </c>
      <c r="F1105" s="37" t="n">
        <v>0</v>
      </c>
      <c r="G1105" s="37" t="s">
        <v>188</v>
      </c>
      <c r="H1105" s="38" t="n">
        <v>198.797343393171</v>
      </c>
      <c r="I1105" s="38" t="n">
        <v>198.230016610887</v>
      </c>
      <c r="J1105" s="38" t="n">
        <v>201.416832739492</v>
      </c>
      <c r="K1105" s="38" t="n">
        <v>230.050710620306</v>
      </c>
      <c r="L1105" s="38" t="n">
        <v>37.7145892422842</v>
      </c>
      <c r="M1105" s="38" t="n">
        <v>101.125770594037</v>
      </c>
      <c r="N1105" s="38" t="n">
        <v>111.439840879389</v>
      </c>
      <c r="O1105" s="38" t="n">
        <v>61.8582354392407</v>
      </c>
      <c r="P1105" s="37" t="n">
        <v>0</v>
      </c>
      <c r="Q1105" s="38" t="n">
        <v>0</v>
      </c>
      <c r="R1105" s="38" t="n">
        <v>72</v>
      </c>
      <c r="S1105" s="37" t="n">
        <v>0</v>
      </c>
    </row>
    <row r="1106" customFormat="false" ht="15" hidden="false" customHeight="false" outlineLevel="0" collapsed="false">
      <c r="A1106" s="37" t="n">
        <v>5</v>
      </c>
      <c r="B1106" s="37" t="n">
        <v>0</v>
      </c>
      <c r="C1106" s="37" t="n">
        <v>0</v>
      </c>
      <c r="D1106" s="37" t="n">
        <v>5</v>
      </c>
      <c r="E1106" s="37" t="n">
        <v>20</v>
      </c>
      <c r="F1106" s="37" t="n">
        <v>0</v>
      </c>
      <c r="G1106" s="37" t="s">
        <v>192</v>
      </c>
      <c r="H1106" s="38" t="n">
        <v>198.797343393171</v>
      </c>
      <c r="I1106" s="38" t="n">
        <v>198.17978924735</v>
      </c>
      <c r="J1106" s="38" t="n">
        <v>202.607351733671</v>
      </c>
      <c r="K1106" s="38" t="n">
        <v>231.304275304382</v>
      </c>
      <c r="L1106" s="38" t="n">
        <v>29.7638996008042</v>
      </c>
      <c r="M1106" s="38" t="n">
        <v>96.0606696374353</v>
      </c>
      <c r="N1106" s="38" t="n">
        <v>98.4029193376072</v>
      </c>
      <c r="O1106" s="38" t="n">
        <v>60.674907482128</v>
      </c>
      <c r="P1106" s="37" t="n">
        <v>0</v>
      </c>
      <c r="Q1106" s="38" t="n">
        <v>0</v>
      </c>
      <c r="R1106" s="38" t="n">
        <v>72</v>
      </c>
      <c r="S1106" s="37" t="n">
        <v>0</v>
      </c>
    </row>
    <row r="1107" customFormat="false" ht="15" hidden="false" customHeight="false" outlineLevel="0" collapsed="false">
      <c r="A1107" s="37" t="n">
        <v>5</v>
      </c>
      <c r="B1107" s="37" t="n">
        <v>0</v>
      </c>
      <c r="C1107" s="37" t="n">
        <v>0</v>
      </c>
      <c r="D1107" s="37" t="n">
        <v>5</v>
      </c>
      <c r="E1107" s="37" t="n">
        <v>20</v>
      </c>
      <c r="F1107" s="37" t="n">
        <v>0</v>
      </c>
      <c r="G1107" s="37" t="s">
        <v>195</v>
      </c>
      <c r="H1107" s="38" t="n">
        <v>198.797343393171</v>
      </c>
      <c r="I1107" s="38" t="n">
        <v>198.238209339827</v>
      </c>
      <c r="J1107" s="38" t="n">
        <v>200.6459897953</v>
      </c>
      <c r="K1107" s="38" t="n">
        <v>226.23358487783</v>
      </c>
      <c r="L1107" s="38" t="n">
        <v>28.4346910560709</v>
      </c>
      <c r="M1107" s="38" t="n">
        <v>100.745046047354</v>
      </c>
      <c r="N1107" s="38" t="n">
        <v>100.197841662585</v>
      </c>
      <c r="O1107" s="38" t="n">
        <v>63.1746201555121</v>
      </c>
      <c r="P1107" s="37" t="n">
        <v>0</v>
      </c>
      <c r="Q1107" s="38" t="n">
        <v>0</v>
      </c>
      <c r="R1107" s="38" t="n">
        <v>70.3353318534723</v>
      </c>
      <c r="S1107" s="37" t="n">
        <v>0</v>
      </c>
    </row>
    <row r="1108" customFormat="false" ht="15" hidden="false" customHeight="false" outlineLevel="0" collapsed="false">
      <c r="A1108" s="37" t="n">
        <v>5</v>
      </c>
      <c r="B1108" s="37" t="n">
        <v>0</v>
      </c>
      <c r="C1108" s="37" t="n">
        <v>0</v>
      </c>
      <c r="D1108" s="37" t="n">
        <v>5</v>
      </c>
      <c r="E1108" s="37" t="n">
        <v>20</v>
      </c>
      <c r="F1108" s="37" t="n">
        <v>0</v>
      </c>
      <c r="G1108" s="37" t="s">
        <v>197</v>
      </c>
      <c r="H1108" s="38" t="n">
        <v>198.797343393171</v>
      </c>
      <c r="I1108" s="38" t="n">
        <v>198.252430263108</v>
      </c>
      <c r="J1108" s="38" t="n">
        <v>203.513595600799</v>
      </c>
      <c r="K1108" s="38" t="n">
        <v>233.107124055953</v>
      </c>
      <c r="L1108" s="38" t="n">
        <v>41.6071240559531</v>
      </c>
      <c r="M1108" s="38" t="n">
        <v>110.282348661565</v>
      </c>
      <c r="N1108" s="38" t="n">
        <v>126.783870342752</v>
      </c>
      <c r="O1108" s="38" t="n">
        <v>68.1521536093037</v>
      </c>
      <c r="P1108" s="37" t="n">
        <v>0</v>
      </c>
      <c r="Q1108" s="38" t="n">
        <v>0</v>
      </c>
      <c r="R1108" s="38" t="n">
        <v>72</v>
      </c>
      <c r="S1108" s="37" t="n">
        <v>1</v>
      </c>
    </row>
    <row r="1109" customFormat="false" ht="15" hidden="false" customHeight="false" outlineLevel="0" collapsed="false">
      <c r="A1109" s="37" t="n">
        <v>5</v>
      </c>
      <c r="B1109" s="37" t="n">
        <v>0</v>
      </c>
      <c r="C1109" s="37" t="n">
        <v>0</v>
      </c>
      <c r="D1109" s="37" t="n">
        <v>5</v>
      </c>
      <c r="E1109" s="37" t="n">
        <v>20</v>
      </c>
      <c r="F1109" s="37" t="n">
        <v>0</v>
      </c>
      <c r="G1109" s="37" t="s">
        <v>196</v>
      </c>
      <c r="H1109" s="38" t="n">
        <v>198.797343393171</v>
      </c>
      <c r="I1109" s="38" t="n">
        <v>198.186960976181</v>
      </c>
      <c r="J1109" s="38" t="n">
        <v>202.837698120967</v>
      </c>
      <c r="K1109" s="38" t="n">
        <v>231.80395246688</v>
      </c>
      <c r="L1109" s="38" t="n">
        <v>35.7564687581349</v>
      </c>
      <c r="M1109" s="38" t="n">
        <v>103.604878965222</v>
      </c>
      <c r="N1109" s="38" t="n">
        <v>115.239793887437</v>
      </c>
      <c r="O1109" s="38" t="n">
        <v>65.5526107567973</v>
      </c>
      <c r="P1109" s="37" t="n">
        <v>0</v>
      </c>
      <c r="Q1109" s="38" t="n">
        <v>0</v>
      </c>
      <c r="R1109" s="38" t="n">
        <v>71.1019372432346</v>
      </c>
      <c r="S1109" s="37" t="n">
        <v>0</v>
      </c>
    </row>
    <row r="1110" customFormat="false" ht="15" hidden="false" customHeight="false" outlineLevel="0" collapsed="false">
      <c r="A1110" s="37" t="n">
        <v>5</v>
      </c>
      <c r="B1110" s="37" t="n">
        <v>0</v>
      </c>
      <c r="C1110" s="37" t="n">
        <v>0</v>
      </c>
      <c r="D1110" s="37" t="n">
        <v>10</v>
      </c>
      <c r="E1110" s="37" t="n">
        <v>0</v>
      </c>
      <c r="F1110" s="37" t="n">
        <v>15</v>
      </c>
      <c r="G1110" s="37" t="s">
        <v>188</v>
      </c>
      <c r="H1110" s="38" t="n">
        <v>198.916570125719</v>
      </c>
      <c r="I1110" s="38" t="n">
        <v>198.055954244056</v>
      </c>
      <c r="J1110" s="38" t="n">
        <v>194.469675428186</v>
      </c>
      <c r="K1110" s="38" t="n">
        <v>211.330751944125</v>
      </c>
      <c r="L1110" s="38" t="n">
        <v>127.307036402641</v>
      </c>
      <c r="M1110" s="38" t="n">
        <v>97.0675909499205</v>
      </c>
      <c r="N1110" s="38" t="n">
        <v>92.5678450422174</v>
      </c>
      <c r="O1110" s="38" t="n">
        <v>65.6919985106822</v>
      </c>
      <c r="P1110" s="37" t="n">
        <v>0</v>
      </c>
      <c r="Q1110" s="38" t="n">
        <v>0</v>
      </c>
      <c r="R1110" s="38" t="n">
        <v>72</v>
      </c>
      <c r="S1110" s="37" t="n">
        <v>0</v>
      </c>
    </row>
    <row r="1111" customFormat="false" ht="15" hidden="false" customHeight="false" outlineLevel="0" collapsed="false">
      <c r="A1111" s="37" t="n">
        <v>5</v>
      </c>
      <c r="B1111" s="37" t="n">
        <v>0</v>
      </c>
      <c r="C1111" s="37" t="n">
        <v>0</v>
      </c>
      <c r="D1111" s="37" t="n">
        <v>10</v>
      </c>
      <c r="E1111" s="37" t="n">
        <v>0</v>
      </c>
      <c r="F1111" s="37" t="n">
        <v>15</v>
      </c>
      <c r="G1111" s="37" t="s">
        <v>192</v>
      </c>
      <c r="H1111" s="38" t="n">
        <v>198.916570125719</v>
      </c>
      <c r="I1111" s="38" t="n">
        <v>198.001817099186</v>
      </c>
      <c r="J1111" s="38" t="n">
        <v>196.320741673065</v>
      </c>
      <c r="K1111" s="38" t="n">
        <v>213.345414163112</v>
      </c>
      <c r="L1111" s="38" t="n">
        <v>132.072714055501</v>
      </c>
      <c r="M1111" s="38" t="n">
        <v>91.9118903684175</v>
      </c>
      <c r="N1111" s="38" t="n">
        <v>87.1289568152525</v>
      </c>
      <c r="O1111" s="38" t="n">
        <v>61.1681638305457</v>
      </c>
      <c r="P1111" s="37" t="n">
        <v>0</v>
      </c>
      <c r="Q1111" s="38" t="n">
        <v>0</v>
      </c>
      <c r="R1111" s="38" t="n">
        <v>72</v>
      </c>
      <c r="S1111" s="37" t="n">
        <v>0</v>
      </c>
    </row>
    <row r="1112" customFormat="false" ht="15" hidden="false" customHeight="false" outlineLevel="0" collapsed="false">
      <c r="A1112" s="37" t="n">
        <v>5</v>
      </c>
      <c r="B1112" s="37" t="n">
        <v>0</v>
      </c>
      <c r="C1112" s="37" t="n">
        <v>0</v>
      </c>
      <c r="D1112" s="37" t="n">
        <v>10</v>
      </c>
      <c r="E1112" s="37" t="n">
        <v>0</v>
      </c>
      <c r="F1112" s="37" t="n">
        <v>15</v>
      </c>
      <c r="G1112" s="37" t="s">
        <v>195</v>
      </c>
      <c r="H1112" s="38" t="n">
        <v>198.916570125719</v>
      </c>
      <c r="I1112" s="38" t="n">
        <v>198.085047397411</v>
      </c>
      <c r="J1112" s="38" t="n">
        <v>194.553401095193</v>
      </c>
      <c r="K1112" s="38" t="n">
        <v>211.399852942488</v>
      </c>
      <c r="L1112" s="38" t="n">
        <v>138.149852942488</v>
      </c>
      <c r="M1112" s="38" t="n">
        <v>97.9251144512648</v>
      </c>
      <c r="N1112" s="38" t="n">
        <v>94.5539454069712</v>
      </c>
      <c r="O1112" s="38" t="n">
        <v>64.3982674464226</v>
      </c>
      <c r="P1112" s="37" t="n">
        <v>0</v>
      </c>
      <c r="Q1112" s="38" t="n">
        <v>0</v>
      </c>
      <c r="R1112" s="38" t="n">
        <v>67.3040481004049</v>
      </c>
      <c r="S1112" s="37" t="n">
        <v>0</v>
      </c>
    </row>
    <row r="1113" customFormat="false" ht="15" hidden="false" customHeight="false" outlineLevel="0" collapsed="false">
      <c r="A1113" s="37" t="n">
        <v>5</v>
      </c>
      <c r="B1113" s="37" t="n">
        <v>0</v>
      </c>
      <c r="C1113" s="37" t="n">
        <v>0</v>
      </c>
      <c r="D1113" s="37" t="n">
        <v>10</v>
      </c>
      <c r="E1113" s="37" t="n">
        <v>0</v>
      </c>
      <c r="F1113" s="37" t="n">
        <v>15</v>
      </c>
      <c r="G1113" s="37" t="s">
        <v>197</v>
      </c>
      <c r="H1113" s="38" t="n">
        <v>198.916570125719</v>
      </c>
      <c r="I1113" s="38" t="n">
        <v>198.00232915357</v>
      </c>
      <c r="J1113" s="38" t="n">
        <v>195.700361519264</v>
      </c>
      <c r="K1113" s="38" t="n">
        <v>212.539835930593</v>
      </c>
      <c r="L1113" s="38" t="n">
        <v>130.288600680444</v>
      </c>
      <c r="M1113" s="38" t="n">
        <v>96.7131621938702</v>
      </c>
      <c r="N1113" s="38" t="n">
        <v>89.3895374849497</v>
      </c>
      <c r="O1113" s="38" t="n">
        <v>62.9232207050626</v>
      </c>
      <c r="P1113" s="37" t="n">
        <v>0</v>
      </c>
      <c r="Q1113" s="38" t="n">
        <v>0</v>
      </c>
      <c r="R1113" s="38" t="n">
        <v>72</v>
      </c>
      <c r="S1113" s="37" t="n">
        <v>0</v>
      </c>
    </row>
    <row r="1114" customFormat="false" ht="15" hidden="false" customHeight="false" outlineLevel="0" collapsed="false">
      <c r="A1114" s="37" t="n">
        <v>5</v>
      </c>
      <c r="B1114" s="37" t="n">
        <v>0</v>
      </c>
      <c r="C1114" s="37" t="n">
        <v>0</v>
      </c>
      <c r="D1114" s="37" t="n">
        <v>10</v>
      </c>
      <c r="E1114" s="37" t="n">
        <v>0</v>
      </c>
      <c r="F1114" s="37" t="n">
        <v>15</v>
      </c>
      <c r="G1114" s="37" t="s">
        <v>196</v>
      </c>
      <c r="H1114" s="38" t="n">
        <v>198.916570125719</v>
      </c>
      <c r="I1114" s="38" t="n">
        <v>198.00284669631</v>
      </c>
      <c r="J1114" s="38" t="n">
        <v>189.393469111137</v>
      </c>
      <c r="K1114" s="38" t="n">
        <v>215.294732477306</v>
      </c>
      <c r="L1114" s="38" t="n">
        <v>141.73917692175</v>
      </c>
      <c r="M1114" s="38" t="n">
        <v>98.1605758825904</v>
      </c>
      <c r="N1114" s="38" t="n">
        <v>95.5724828592015</v>
      </c>
      <c r="O1114" s="38" t="n">
        <v>63.2264149749006</v>
      </c>
      <c r="P1114" s="37" t="n">
        <v>0</v>
      </c>
      <c r="Q1114" s="38" t="n">
        <v>0</v>
      </c>
      <c r="R1114" s="38" t="n">
        <v>70.7373333333333</v>
      </c>
      <c r="S1114" s="37" t="n">
        <v>1</v>
      </c>
    </row>
    <row r="1115" customFormat="false" ht="15" hidden="false" customHeight="false" outlineLevel="0" collapsed="false">
      <c r="A1115" s="37" t="n">
        <v>5</v>
      </c>
      <c r="B1115" s="37" t="n">
        <v>0</v>
      </c>
      <c r="C1115" s="37" t="n">
        <v>0</v>
      </c>
      <c r="D1115" s="37" t="n">
        <v>10</v>
      </c>
      <c r="E1115" s="37" t="n">
        <v>5</v>
      </c>
      <c r="F1115" s="37" t="n">
        <v>10</v>
      </c>
      <c r="G1115" s="37" t="s">
        <v>188</v>
      </c>
      <c r="H1115" s="38" t="n">
        <v>198.952134181997</v>
      </c>
      <c r="I1115" s="38" t="n">
        <v>198.411732855933</v>
      </c>
      <c r="J1115" s="38" t="n">
        <v>198.518337267693</v>
      </c>
      <c r="K1115" s="38" t="n">
        <v>218.30303796478</v>
      </c>
      <c r="L1115" s="38" t="n">
        <v>94.5606865358195</v>
      </c>
      <c r="M1115" s="38" t="n">
        <v>98.6053900464458</v>
      </c>
      <c r="N1115" s="38" t="n">
        <v>101.794849084125</v>
      </c>
      <c r="O1115" s="38" t="n">
        <v>66.1564535397954</v>
      </c>
      <c r="P1115" s="37" t="n">
        <v>0</v>
      </c>
      <c r="Q1115" s="38" t="n">
        <v>0</v>
      </c>
      <c r="R1115" s="38" t="n">
        <v>72</v>
      </c>
      <c r="S1115" s="37" t="n">
        <v>0</v>
      </c>
    </row>
    <row r="1116" customFormat="false" ht="15" hidden="false" customHeight="false" outlineLevel="0" collapsed="false">
      <c r="A1116" s="37" t="n">
        <v>5</v>
      </c>
      <c r="B1116" s="37" t="n">
        <v>0</v>
      </c>
      <c r="C1116" s="37" t="n">
        <v>0</v>
      </c>
      <c r="D1116" s="37" t="n">
        <v>10</v>
      </c>
      <c r="E1116" s="37" t="n">
        <v>5</v>
      </c>
      <c r="F1116" s="37" t="n">
        <v>10</v>
      </c>
      <c r="G1116" s="37" t="s">
        <v>192</v>
      </c>
      <c r="H1116" s="38" t="n">
        <v>198.952134181997</v>
      </c>
      <c r="I1116" s="38" t="n">
        <v>198.355958416792</v>
      </c>
      <c r="J1116" s="38" t="n">
        <v>200.046556899829</v>
      </c>
      <c r="K1116" s="38" t="n">
        <v>219.920692524341</v>
      </c>
      <c r="L1116" s="38" t="n">
        <v>98.6402331282547</v>
      </c>
      <c r="M1116" s="38" t="n">
        <v>93.4541599947391</v>
      </c>
      <c r="N1116" s="38" t="n">
        <v>95.7354836111347</v>
      </c>
      <c r="O1116" s="38" t="n">
        <v>61.6642536504377</v>
      </c>
      <c r="P1116" s="37" t="n">
        <v>0</v>
      </c>
      <c r="Q1116" s="38" t="n">
        <v>0</v>
      </c>
      <c r="R1116" s="38" t="n">
        <v>72</v>
      </c>
      <c r="S1116" s="37" t="n">
        <v>0</v>
      </c>
    </row>
    <row r="1117" customFormat="false" ht="15" hidden="false" customHeight="false" outlineLevel="0" collapsed="false">
      <c r="A1117" s="37" t="n">
        <v>5</v>
      </c>
      <c r="B1117" s="37" t="n">
        <v>0</v>
      </c>
      <c r="C1117" s="37" t="n">
        <v>0</v>
      </c>
      <c r="D1117" s="37" t="n">
        <v>10</v>
      </c>
      <c r="E1117" s="37" t="n">
        <v>5</v>
      </c>
      <c r="F1117" s="37" t="n">
        <v>10</v>
      </c>
      <c r="G1117" s="37" t="s">
        <v>195</v>
      </c>
      <c r="H1117" s="38" t="n">
        <v>198.952134181997</v>
      </c>
      <c r="I1117" s="38" t="n">
        <v>198.453470956756</v>
      </c>
      <c r="J1117" s="38" t="n">
        <v>198.453692847794</v>
      </c>
      <c r="K1117" s="38" t="n">
        <v>218.346583651084</v>
      </c>
      <c r="L1117" s="38" t="n">
        <v>105.096583651084</v>
      </c>
      <c r="M1117" s="38" t="n">
        <v>99.4905814568701</v>
      </c>
      <c r="N1117" s="38" t="n">
        <v>103.524914956677</v>
      </c>
      <c r="O1117" s="38" t="n">
        <v>65.2015792988538</v>
      </c>
      <c r="P1117" s="37" t="n">
        <v>0</v>
      </c>
      <c r="Q1117" s="38" t="n">
        <v>0</v>
      </c>
      <c r="R1117" s="38" t="n">
        <v>67.2974488827132</v>
      </c>
      <c r="S1117" s="37" t="n">
        <v>0</v>
      </c>
    </row>
    <row r="1118" customFormat="false" ht="15" hidden="false" customHeight="false" outlineLevel="0" collapsed="false">
      <c r="A1118" s="37" t="n">
        <v>5</v>
      </c>
      <c r="B1118" s="37" t="n">
        <v>0</v>
      </c>
      <c r="C1118" s="37" t="n">
        <v>0</v>
      </c>
      <c r="D1118" s="37" t="n">
        <v>10</v>
      </c>
      <c r="E1118" s="37" t="n">
        <v>5</v>
      </c>
      <c r="F1118" s="37" t="n">
        <v>10</v>
      </c>
      <c r="G1118" s="37" t="s">
        <v>197</v>
      </c>
      <c r="H1118" s="38" t="n">
        <v>198.952134181997</v>
      </c>
      <c r="I1118" s="38" t="n">
        <v>198.367705298317</v>
      </c>
      <c r="J1118" s="38" t="n">
        <v>200.166604523535</v>
      </c>
      <c r="K1118" s="38" t="n">
        <v>220.247138727967</v>
      </c>
      <c r="L1118" s="38" t="n">
        <v>98.5714273688001</v>
      </c>
      <c r="M1118" s="38" t="n">
        <v>101.656620363574</v>
      </c>
      <c r="N1118" s="38" t="n">
        <v>107.998277467436</v>
      </c>
      <c r="O1118" s="38" t="n">
        <v>67.729894850143</v>
      </c>
      <c r="P1118" s="37" t="n">
        <v>0</v>
      </c>
      <c r="Q1118" s="38" t="n">
        <v>0</v>
      </c>
      <c r="R1118" s="38" t="n">
        <v>72</v>
      </c>
      <c r="S1118" s="37" t="n">
        <v>1</v>
      </c>
    </row>
    <row r="1119" customFormat="false" ht="15" hidden="false" customHeight="false" outlineLevel="0" collapsed="false">
      <c r="A1119" s="37" t="n">
        <v>5</v>
      </c>
      <c r="B1119" s="37" t="n">
        <v>0</v>
      </c>
      <c r="C1119" s="37" t="n">
        <v>0</v>
      </c>
      <c r="D1119" s="37" t="n">
        <v>10</v>
      </c>
      <c r="E1119" s="37" t="n">
        <v>5</v>
      </c>
      <c r="F1119" s="37" t="n">
        <v>10</v>
      </c>
      <c r="G1119" s="37" t="s">
        <v>196</v>
      </c>
      <c r="H1119" s="38" t="n">
        <v>198.952134181997</v>
      </c>
      <c r="I1119" s="38" t="n">
        <v>198.358142183519</v>
      </c>
      <c r="J1119" s="38" t="n">
        <v>192.710652292904</v>
      </c>
      <c r="K1119" s="38" t="n">
        <v>221.368828937802</v>
      </c>
      <c r="L1119" s="38" t="n">
        <v>107.813273382246</v>
      </c>
      <c r="M1119" s="38" t="n">
        <v>100.368933971607</v>
      </c>
      <c r="N1119" s="38" t="n">
        <v>105.31517854687</v>
      </c>
      <c r="O1119" s="38" t="n">
        <v>64.9414349083972</v>
      </c>
      <c r="P1119" s="37" t="n">
        <v>0</v>
      </c>
      <c r="Q1119" s="38" t="n">
        <v>0</v>
      </c>
      <c r="R1119" s="38" t="n">
        <v>70.604</v>
      </c>
      <c r="S1119" s="37" t="n">
        <v>0</v>
      </c>
    </row>
    <row r="1120" customFormat="false" ht="15" hidden="false" customHeight="false" outlineLevel="0" collapsed="false">
      <c r="A1120" s="37" t="n">
        <v>5</v>
      </c>
      <c r="B1120" s="37" t="n">
        <v>0</v>
      </c>
      <c r="C1120" s="37" t="n">
        <v>0</v>
      </c>
      <c r="D1120" s="37" t="n">
        <v>10</v>
      </c>
      <c r="E1120" s="37" t="n">
        <v>10</v>
      </c>
      <c r="F1120" s="37" t="n">
        <v>5</v>
      </c>
      <c r="G1120" s="37" t="s">
        <v>188</v>
      </c>
      <c r="H1120" s="38" t="n">
        <v>198.973538054738</v>
      </c>
      <c r="I1120" s="38" t="n">
        <v>198.724549624042</v>
      </c>
      <c r="J1120" s="38" t="n">
        <v>201.6863272334</v>
      </c>
      <c r="K1120" s="38" t="n">
        <v>223.895235960987</v>
      </c>
      <c r="L1120" s="38" t="n">
        <v>60.4014092666883</v>
      </c>
      <c r="M1120" s="38" t="n">
        <v>99.9352248839644</v>
      </c>
      <c r="N1120" s="38" t="n">
        <v>108.983463223361</v>
      </c>
      <c r="O1120" s="38" t="n">
        <v>66.2055986177496</v>
      </c>
      <c r="P1120" s="37" t="n">
        <v>0</v>
      </c>
      <c r="Q1120" s="38" t="n">
        <v>0</v>
      </c>
      <c r="R1120" s="38" t="n">
        <v>72</v>
      </c>
      <c r="S1120" s="37" t="n">
        <v>0</v>
      </c>
    </row>
    <row r="1121" customFormat="false" ht="15" hidden="false" customHeight="false" outlineLevel="0" collapsed="false">
      <c r="A1121" s="37" t="n">
        <v>5</v>
      </c>
      <c r="B1121" s="37" t="n">
        <v>0</v>
      </c>
      <c r="C1121" s="37" t="n">
        <v>0</v>
      </c>
      <c r="D1121" s="37" t="n">
        <v>10</v>
      </c>
      <c r="E1121" s="37" t="n">
        <v>10</v>
      </c>
      <c r="F1121" s="37" t="n">
        <v>5</v>
      </c>
      <c r="G1121" s="37" t="s">
        <v>192</v>
      </c>
      <c r="H1121" s="38" t="n">
        <v>198.973538054738</v>
      </c>
      <c r="I1121" s="38" t="n">
        <v>198.668403133206</v>
      </c>
      <c r="J1121" s="38" t="n">
        <v>202.962494609664</v>
      </c>
      <c r="K1121" s="38" t="n">
        <v>225.217784633486</v>
      </c>
      <c r="L1121" s="38" t="n">
        <v>63.9271119418684</v>
      </c>
      <c r="M1121" s="38" t="n">
        <v>94.8116595969024</v>
      </c>
      <c r="N1121" s="38" t="n">
        <v>102.482314225395</v>
      </c>
      <c r="O1121" s="38" t="n">
        <v>61.7891275903758</v>
      </c>
      <c r="P1121" s="37" t="n">
        <v>0</v>
      </c>
      <c r="Q1121" s="38" t="n">
        <v>0</v>
      </c>
      <c r="R1121" s="38" t="n">
        <v>72</v>
      </c>
      <c r="S1121" s="37" t="n">
        <v>0</v>
      </c>
    </row>
    <row r="1122" customFormat="false" ht="15" hidden="false" customHeight="false" outlineLevel="0" collapsed="false">
      <c r="A1122" s="37" t="n">
        <v>5</v>
      </c>
      <c r="B1122" s="37" t="n">
        <v>0</v>
      </c>
      <c r="C1122" s="37" t="n">
        <v>0</v>
      </c>
      <c r="D1122" s="37" t="n">
        <v>10</v>
      </c>
      <c r="E1122" s="37" t="n">
        <v>10</v>
      </c>
      <c r="F1122" s="37" t="n">
        <v>5</v>
      </c>
      <c r="G1122" s="37" t="s">
        <v>195</v>
      </c>
      <c r="H1122" s="38" t="n">
        <v>198.973538054738</v>
      </c>
      <c r="I1122" s="38" t="n">
        <v>198.777921801003</v>
      </c>
      <c r="J1122" s="38" t="n">
        <v>201.539052496203</v>
      </c>
      <c r="K1122" s="38" t="n">
        <v>223.918465661371</v>
      </c>
      <c r="L1122" s="38" t="n">
        <v>70.6684656613705</v>
      </c>
      <c r="M1122" s="38" t="n">
        <v>100.838106124898</v>
      </c>
      <c r="N1122" s="38" t="n">
        <v>110.551883232915</v>
      </c>
      <c r="O1122" s="38" t="n">
        <v>65.5568743239914</v>
      </c>
      <c r="P1122" s="37" t="n">
        <v>0</v>
      </c>
      <c r="Q1122" s="38" t="n">
        <v>0</v>
      </c>
      <c r="R1122" s="38" t="n">
        <v>67.2865506410097</v>
      </c>
      <c r="S1122" s="37" t="n">
        <v>0</v>
      </c>
    </row>
    <row r="1123" customFormat="false" ht="15" hidden="false" customHeight="false" outlineLevel="0" collapsed="false">
      <c r="A1123" s="37" t="n">
        <v>5</v>
      </c>
      <c r="B1123" s="37" t="n">
        <v>0</v>
      </c>
      <c r="C1123" s="37" t="n">
        <v>0</v>
      </c>
      <c r="D1123" s="37" t="n">
        <v>10</v>
      </c>
      <c r="E1123" s="37" t="n">
        <v>10</v>
      </c>
      <c r="F1123" s="37" t="n">
        <v>5</v>
      </c>
      <c r="G1123" s="37" t="s">
        <v>197</v>
      </c>
      <c r="H1123" s="38" t="n">
        <v>198.973538054738</v>
      </c>
      <c r="I1123" s="38" t="n">
        <v>198.701299291144</v>
      </c>
      <c r="J1123" s="38" t="n">
        <v>204.158453979627</v>
      </c>
      <c r="K1123" s="38" t="n">
        <v>227.06717606372</v>
      </c>
      <c r="L1123" s="38" t="n">
        <v>66.1140557468115</v>
      </c>
      <c r="M1123" s="38" t="n">
        <v>105.707521059613</v>
      </c>
      <c r="N1123" s="38" t="n">
        <v>123.259800499403</v>
      </c>
      <c r="O1123" s="38" t="n">
        <v>69.4847550956078</v>
      </c>
      <c r="P1123" s="37" t="n">
        <v>0</v>
      </c>
      <c r="Q1123" s="38" t="n">
        <v>0</v>
      </c>
      <c r="R1123" s="38" t="n">
        <v>72</v>
      </c>
      <c r="S1123" s="37" t="n">
        <v>1</v>
      </c>
    </row>
    <row r="1124" customFormat="false" ht="15" hidden="false" customHeight="false" outlineLevel="0" collapsed="false">
      <c r="A1124" s="37" t="n">
        <v>5</v>
      </c>
      <c r="B1124" s="37" t="n">
        <v>0</v>
      </c>
      <c r="C1124" s="37" t="n">
        <v>0</v>
      </c>
      <c r="D1124" s="37" t="n">
        <v>10</v>
      </c>
      <c r="E1124" s="37" t="n">
        <v>10</v>
      </c>
      <c r="F1124" s="37" t="n">
        <v>5</v>
      </c>
      <c r="G1124" s="37" t="s">
        <v>196</v>
      </c>
      <c r="H1124" s="38" t="n">
        <v>198.973538054738</v>
      </c>
      <c r="I1124" s="38" t="n">
        <v>198.671813238982</v>
      </c>
      <c r="J1124" s="38" t="n">
        <v>195.515383629883</v>
      </c>
      <c r="K1124" s="38" t="n">
        <v>226.53502566488</v>
      </c>
      <c r="L1124" s="38" t="n">
        <v>72.9794701093247</v>
      </c>
      <c r="M1124" s="38" t="n">
        <v>102.222337163196</v>
      </c>
      <c r="N1124" s="38" t="n">
        <v>113.301712498456</v>
      </c>
      <c r="O1124" s="38" t="n">
        <v>65.5407831906105</v>
      </c>
      <c r="P1124" s="37" t="n">
        <v>0</v>
      </c>
      <c r="Q1124" s="38" t="n">
        <v>0</v>
      </c>
      <c r="R1124" s="38" t="n">
        <v>70.604</v>
      </c>
      <c r="S1124" s="37" t="n">
        <v>0</v>
      </c>
    </row>
    <row r="1125" customFormat="false" ht="15" hidden="false" customHeight="false" outlineLevel="0" collapsed="false">
      <c r="A1125" s="37" t="n">
        <v>5</v>
      </c>
      <c r="B1125" s="37" t="n">
        <v>0</v>
      </c>
      <c r="C1125" s="37" t="n">
        <v>0</v>
      </c>
      <c r="D1125" s="37" t="n">
        <v>10</v>
      </c>
      <c r="E1125" s="37" t="n">
        <v>15</v>
      </c>
      <c r="F1125" s="37" t="n">
        <v>0</v>
      </c>
      <c r="G1125" s="37" t="s">
        <v>188</v>
      </c>
      <c r="H1125" s="38" t="n">
        <v>198.994450254449</v>
      </c>
      <c r="I1125" s="38" t="n">
        <v>198.9638083013</v>
      </c>
      <c r="J1125" s="38" t="n">
        <v>203.843024069826</v>
      </c>
      <c r="K1125" s="38" t="n">
        <v>227.801124568783</v>
      </c>
      <c r="L1125" s="38" t="n">
        <v>35.7803903317846</v>
      </c>
      <c r="M1125" s="38" t="n">
        <v>100.974823468844</v>
      </c>
      <c r="N1125" s="38" t="n">
        <v>109.588056163174</v>
      </c>
      <c r="O1125" s="38" t="n">
        <v>63.1592313671004</v>
      </c>
      <c r="P1125" s="37" t="n">
        <v>0</v>
      </c>
      <c r="Q1125" s="38" t="n">
        <v>0</v>
      </c>
      <c r="R1125" s="38" t="n">
        <v>72</v>
      </c>
      <c r="S1125" s="37" t="n">
        <v>0</v>
      </c>
    </row>
    <row r="1126" customFormat="false" ht="15" hidden="false" customHeight="false" outlineLevel="0" collapsed="false">
      <c r="A1126" s="37" t="n">
        <v>5</v>
      </c>
      <c r="B1126" s="37" t="n">
        <v>0</v>
      </c>
      <c r="C1126" s="37" t="n">
        <v>0</v>
      </c>
      <c r="D1126" s="37" t="n">
        <v>10</v>
      </c>
      <c r="E1126" s="37" t="n">
        <v>15</v>
      </c>
      <c r="F1126" s="37" t="n">
        <v>0</v>
      </c>
      <c r="G1126" s="37" t="s">
        <v>192</v>
      </c>
      <c r="H1126" s="38" t="n">
        <v>198.994450254449</v>
      </c>
      <c r="I1126" s="38" t="n">
        <v>198.905237765416</v>
      </c>
      <c r="J1126" s="38" t="n">
        <v>205.024529106251</v>
      </c>
      <c r="K1126" s="38" t="n">
        <v>228.953674895303</v>
      </c>
      <c r="L1126" s="38" t="n">
        <v>38.9020391833539</v>
      </c>
      <c r="M1126" s="38" t="n">
        <v>95.8718250792435</v>
      </c>
      <c r="N1126" s="38" t="n">
        <v>105.772634168466</v>
      </c>
      <c r="O1126" s="38" t="n">
        <v>58.9505685048088</v>
      </c>
      <c r="P1126" s="37" t="n">
        <v>0</v>
      </c>
      <c r="Q1126" s="38" t="n">
        <v>0</v>
      </c>
      <c r="R1126" s="38" t="n">
        <v>72</v>
      </c>
      <c r="S1126" s="37" t="n">
        <v>0</v>
      </c>
    </row>
    <row r="1127" customFormat="false" ht="15" hidden="false" customHeight="false" outlineLevel="0" collapsed="false">
      <c r="A1127" s="37" t="n">
        <v>5</v>
      </c>
      <c r="B1127" s="37" t="n">
        <v>0</v>
      </c>
      <c r="C1127" s="37" t="n">
        <v>0</v>
      </c>
      <c r="D1127" s="37" t="n">
        <v>10</v>
      </c>
      <c r="E1127" s="37" t="n">
        <v>15</v>
      </c>
      <c r="F1127" s="37" t="n">
        <v>0</v>
      </c>
      <c r="G1127" s="37" t="s">
        <v>195</v>
      </c>
      <c r="H1127" s="38" t="n">
        <v>198.994450254449</v>
      </c>
      <c r="I1127" s="38" t="n">
        <v>199.028745725848</v>
      </c>
      <c r="J1127" s="38" t="n">
        <v>203.717227941363</v>
      </c>
      <c r="K1127" s="38" t="n">
        <v>227.897753136792</v>
      </c>
      <c r="L1127" s="38" t="n">
        <v>34.6477531367915</v>
      </c>
      <c r="M1127" s="38" t="n">
        <v>101.89596255171</v>
      </c>
      <c r="N1127" s="38" t="n">
        <v>110.698553787024</v>
      </c>
      <c r="O1127" s="38" t="n">
        <v>65.5263655054581</v>
      </c>
      <c r="P1127" s="37" t="n">
        <v>0</v>
      </c>
      <c r="Q1127" s="38" t="n">
        <v>0</v>
      </c>
      <c r="R1127" s="38" t="n">
        <v>67.2762065715003</v>
      </c>
      <c r="S1127" s="37" t="n">
        <v>0</v>
      </c>
    </row>
    <row r="1128" customFormat="false" ht="15" hidden="false" customHeight="false" outlineLevel="0" collapsed="false">
      <c r="A1128" s="37" t="n">
        <v>5</v>
      </c>
      <c r="B1128" s="37" t="n">
        <v>0</v>
      </c>
      <c r="C1128" s="37" t="n">
        <v>0</v>
      </c>
      <c r="D1128" s="37" t="n">
        <v>10</v>
      </c>
      <c r="E1128" s="37" t="n">
        <v>15</v>
      </c>
      <c r="F1128" s="37" t="n">
        <v>0</v>
      </c>
      <c r="G1128" s="37" t="s">
        <v>197</v>
      </c>
      <c r="H1128" s="38" t="n">
        <v>198.994450254449</v>
      </c>
      <c r="I1128" s="38" t="n">
        <v>198.958086471846</v>
      </c>
      <c r="J1128" s="38" t="n">
        <v>205.324625238423</v>
      </c>
      <c r="K1128" s="38" t="n">
        <v>229.703194217</v>
      </c>
      <c r="L1128" s="38" t="n">
        <v>33.203194217</v>
      </c>
      <c r="M1128" s="38" t="n">
        <v>108.407810745727</v>
      </c>
      <c r="N1128" s="38" t="n">
        <v>119.19080128531</v>
      </c>
      <c r="O1128" s="38" t="n">
        <v>68.6951583671716</v>
      </c>
      <c r="P1128" s="37" t="n">
        <v>0</v>
      </c>
      <c r="Q1128" s="38" t="n">
        <v>0</v>
      </c>
      <c r="R1128" s="38" t="n">
        <v>72</v>
      </c>
      <c r="S1128" s="37" t="n">
        <v>1</v>
      </c>
    </row>
    <row r="1129" customFormat="false" ht="15" hidden="false" customHeight="false" outlineLevel="0" collapsed="false">
      <c r="A1129" s="37" t="n">
        <v>5</v>
      </c>
      <c r="B1129" s="37" t="n">
        <v>0</v>
      </c>
      <c r="C1129" s="37" t="n">
        <v>0</v>
      </c>
      <c r="D1129" s="37" t="n">
        <v>10</v>
      </c>
      <c r="E1129" s="37" t="n">
        <v>15</v>
      </c>
      <c r="F1129" s="37" t="n">
        <v>0</v>
      </c>
      <c r="G1129" s="37" t="s">
        <v>196</v>
      </c>
      <c r="H1129" s="38" t="n">
        <v>198.994450254449</v>
      </c>
      <c r="I1129" s="38" t="n">
        <v>198.912053607196</v>
      </c>
      <c r="J1129" s="38" t="n">
        <v>197.580209025944</v>
      </c>
      <c r="K1129" s="38" t="n">
        <v>230.329936182501</v>
      </c>
      <c r="L1129" s="38" t="n">
        <v>36.7743806269459</v>
      </c>
      <c r="M1129" s="38" t="n">
        <v>103.576311548677</v>
      </c>
      <c r="N1129" s="38" t="n">
        <v>115.315847734788</v>
      </c>
      <c r="O1129" s="38" t="n">
        <v>65.1891033705031</v>
      </c>
      <c r="P1129" s="37" t="n">
        <v>0</v>
      </c>
      <c r="Q1129" s="38" t="n">
        <v>0</v>
      </c>
      <c r="R1129" s="38" t="n">
        <v>70.604</v>
      </c>
      <c r="S1129" s="37" t="n">
        <v>0</v>
      </c>
    </row>
    <row r="1130" customFormat="false" ht="15" hidden="false" customHeight="false" outlineLevel="0" collapsed="false">
      <c r="A1130" s="37" t="n">
        <v>5</v>
      </c>
      <c r="B1130" s="37" t="n">
        <v>0</v>
      </c>
      <c r="C1130" s="37" t="n">
        <v>0</v>
      </c>
      <c r="D1130" s="37" t="n">
        <v>15</v>
      </c>
      <c r="E1130" s="37" t="n">
        <v>0</v>
      </c>
      <c r="F1130" s="37" t="n">
        <v>10</v>
      </c>
      <c r="G1130" s="37" t="s">
        <v>188</v>
      </c>
      <c r="H1130" s="38" t="n">
        <v>199.081584811171</v>
      </c>
      <c r="I1130" s="38" t="n">
        <v>198.743089125174</v>
      </c>
      <c r="J1130" s="38" t="n">
        <v>197.159380173523</v>
      </c>
      <c r="K1130" s="38" t="n">
        <v>209.403322759019</v>
      </c>
      <c r="L1130" s="38" t="n">
        <v>85.8163634130309</v>
      </c>
      <c r="M1130" s="38" t="n">
        <v>97.4601958016572</v>
      </c>
      <c r="N1130" s="38" t="n">
        <v>94.5069770754325</v>
      </c>
      <c r="O1130" s="38" t="n">
        <v>64.7893096203284</v>
      </c>
      <c r="P1130" s="37" t="n">
        <v>0</v>
      </c>
      <c r="Q1130" s="38" t="n">
        <v>0</v>
      </c>
      <c r="R1130" s="38" t="n">
        <v>72</v>
      </c>
      <c r="S1130" s="37" t="n">
        <v>0</v>
      </c>
    </row>
    <row r="1131" customFormat="false" ht="15" hidden="false" customHeight="false" outlineLevel="0" collapsed="false">
      <c r="A1131" s="37" t="n">
        <v>5</v>
      </c>
      <c r="B1131" s="37" t="n">
        <v>0</v>
      </c>
      <c r="C1131" s="37" t="n">
        <v>0</v>
      </c>
      <c r="D1131" s="37" t="n">
        <v>15</v>
      </c>
      <c r="E1131" s="37" t="n">
        <v>0</v>
      </c>
      <c r="F1131" s="37" t="n">
        <v>10</v>
      </c>
      <c r="G1131" s="37" t="s">
        <v>192</v>
      </c>
      <c r="H1131" s="38" t="n">
        <v>199.081584811171</v>
      </c>
      <c r="I1131" s="38" t="n">
        <v>198.683489523565</v>
      </c>
      <c r="J1131" s="38" t="n">
        <v>198.814640012695</v>
      </c>
      <c r="K1131" s="38" t="n">
        <v>211.118586283443</v>
      </c>
      <c r="L1131" s="38" t="n">
        <v>90.0554390348096</v>
      </c>
      <c r="M1131" s="38" t="n">
        <v>92.2917403805468</v>
      </c>
      <c r="N1131" s="38" t="n">
        <v>88.7603227116114</v>
      </c>
      <c r="O1131" s="38" t="n">
        <v>60.078305976099</v>
      </c>
      <c r="P1131" s="37" t="n">
        <v>0</v>
      </c>
      <c r="Q1131" s="38" t="n">
        <v>0</v>
      </c>
      <c r="R1131" s="38" t="n">
        <v>72</v>
      </c>
      <c r="S1131" s="37" t="n">
        <v>0</v>
      </c>
    </row>
    <row r="1132" customFormat="false" ht="15" hidden="false" customHeight="false" outlineLevel="0" collapsed="false">
      <c r="A1132" s="37" t="n">
        <v>5</v>
      </c>
      <c r="B1132" s="37" t="n">
        <v>0</v>
      </c>
      <c r="C1132" s="37" t="n">
        <v>0</v>
      </c>
      <c r="D1132" s="37" t="n">
        <v>15</v>
      </c>
      <c r="E1132" s="37" t="n">
        <v>0</v>
      </c>
      <c r="F1132" s="37" t="n">
        <v>10</v>
      </c>
      <c r="G1132" s="37" t="s">
        <v>195</v>
      </c>
      <c r="H1132" s="38" t="n">
        <v>199.081584811171</v>
      </c>
      <c r="I1132" s="38" t="n">
        <v>198.825676740361</v>
      </c>
      <c r="J1132" s="38" t="n">
        <v>198.095059004525</v>
      </c>
      <c r="K1132" s="38" t="n">
        <v>210.949317886829</v>
      </c>
      <c r="L1132" s="38" t="n">
        <v>97.6993178868288</v>
      </c>
      <c r="M1132" s="38" t="n">
        <v>99.2513039371943</v>
      </c>
      <c r="N1132" s="38" t="n">
        <v>97.9151796122385</v>
      </c>
      <c r="O1132" s="38" t="n">
        <v>64.1722397549191</v>
      </c>
      <c r="P1132" s="37" t="n">
        <v>0</v>
      </c>
      <c r="Q1132" s="38" t="n">
        <v>0</v>
      </c>
      <c r="R1132" s="38" t="n">
        <v>67.36</v>
      </c>
      <c r="S1132" s="37" t="n">
        <v>1</v>
      </c>
    </row>
    <row r="1133" customFormat="false" ht="15" hidden="false" customHeight="false" outlineLevel="0" collapsed="false">
      <c r="A1133" s="37" t="n">
        <v>5</v>
      </c>
      <c r="B1133" s="37" t="n">
        <v>0</v>
      </c>
      <c r="C1133" s="37" t="n">
        <v>0</v>
      </c>
      <c r="D1133" s="37" t="n">
        <v>15</v>
      </c>
      <c r="E1133" s="37" t="n">
        <v>0</v>
      </c>
      <c r="F1133" s="37" t="n">
        <v>10</v>
      </c>
      <c r="G1133" s="37" t="s">
        <v>197</v>
      </c>
      <c r="H1133" s="38" t="n">
        <v>199.081584811171</v>
      </c>
      <c r="I1133" s="38" t="n">
        <v>198.684213150574</v>
      </c>
      <c r="J1133" s="38" t="n">
        <v>198.223784568252</v>
      </c>
      <c r="K1133" s="38" t="n">
        <v>210.356186947707</v>
      </c>
      <c r="L1133" s="38" t="n">
        <v>88.2877261178939</v>
      </c>
      <c r="M1133" s="38" t="n">
        <v>97.0935198514517</v>
      </c>
      <c r="N1133" s="38" t="n">
        <v>91.1539124266642</v>
      </c>
      <c r="O1133" s="38" t="n">
        <v>62.0184157672668</v>
      </c>
      <c r="P1133" s="37" t="n">
        <v>0</v>
      </c>
      <c r="Q1133" s="38" t="n">
        <v>0</v>
      </c>
      <c r="R1133" s="38" t="n">
        <v>72</v>
      </c>
      <c r="S1133" s="37" t="n">
        <v>0</v>
      </c>
    </row>
    <row r="1134" customFormat="false" ht="15" hidden="false" customHeight="false" outlineLevel="0" collapsed="false">
      <c r="A1134" s="37" t="n">
        <v>5</v>
      </c>
      <c r="B1134" s="37" t="n">
        <v>0</v>
      </c>
      <c r="C1134" s="37" t="n">
        <v>0</v>
      </c>
      <c r="D1134" s="37" t="n">
        <v>15</v>
      </c>
      <c r="E1134" s="37" t="n">
        <v>0</v>
      </c>
      <c r="F1134" s="37" t="n">
        <v>10</v>
      </c>
      <c r="G1134" s="37" t="s">
        <v>196</v>
      </c>
      <c r="H1134" s="38" t="n">
        <v>199.081584811171</v>
      </c>
      <c r="I1134" s="38" t="n">
        <v>198.684604663871</v>
      </c>
      <c r="J1134" s="38" t="n">
        <v>191.768962468694</v>
      </c>
      <c r="K1134" s="38" t="n">
        <v>212.892875809878</v>
      </c>
      <c r="L1134" s="38" t="n">
        <v>99.3373202543227</v>
      </c>
      <c r="M1134" s="38" t="n">
        <v>98.8607151435095</v>
      </c>
      <c r="N1134" s="38" t="n">
        <v>97.0118633343118</v>
      </c>
      <c r="O1134" s="38" t="n">
        <v>62.0481930862784</v>
      </c>
      <c r="P1134" s="37" t="n">
        <v>0</v>
      </c>
      <c r="Q1134" s="38" t="n">
        <v>0</v>
      </c>
      <c r="R1134" s="38" t="n">
        <v>70.7373333333333</v>
      </c>
      <c r="S1134" s="37" t="n">
        <v>0</v>
      </c>
    </row>
    <row r="1135" customFormat="false" ht="15" hidden="false" customHeight="false" outlineLevel="0" collapsed="false">
      <c r="A1135" s="37" t="n">
        <v>5</v>
      </c>
      <c r="B1135" s="37" t="n">
        <v>0</v>
      </c>
      <c r="C1135" s="37" t="n">
        <v>0</v>
      </c>
      <c r="D1135" s="37" t="n">
        <v>15</v>
      </c>
      <c r="E1135" s="37" t="n">
        <v>5</v>
      </c>
      <c r="F1135" s="37" t="n">
        <v>5</v>
      </c>
      <c r="G1135" s="37" t="s">
        <v>188</v>
      </c>
      <c r="H1135" s="38" t="n">
        <v>199.107703420009</v>
      </c>
      <c r="I1135" s="38" t="n">
        <v>199.070825318649</v>
      </c>
      <c r="J1135" s="38" t="n">
        <v>201.223499080054</v>
      </c>
      <c r="K1135" s="38" t="n">
        <v>216.200138111244</v>
      </c>
      <c r="L1135" s="38" t="n">
        <v>52.8847058151089</v>
      </c>
      <c r="M1135" s="38" t="n">
        <v>98.9337471535522</v>
      </c>
      <c r="N1135" s="38" t="n">
        <v>103.674985327915</v>
      </c>
      <c r="O1135" s="38" t="n">
        <v>65.2341541136528</v>
      </c>
      <c r="P1135" s="37" t="n">
        <v>0</v>
      </c>
      <c r="Q1135" s="38" t="n">
        <v>0</v>
      </c>
      <c r="R1135" s="38" t="n">
        <v>72</v>
      </c>
      <c r="S1135" s="37" t="n">
        <v>0</v>
      </c>
    </row>
    <row r="1136" customFormat="false" ht="15" hidden="false" customHeight="false" outlineLevel="0" collapsed="false">
      <c r="A1136" s="37" t="n">
        <v>5</v>
      </c>
      <c r="B1136" s="37" t="n">
        <v>0</v>
      </c>
      <c r="C1136" s="37" t="n">
        <v>0</v>
      </c>
      <c r="D1136" s="37" t="n">
        <v>15</v>
      </c>
      <c r="E1136" s="37" t="n">
        <v>5</v>
      </c>
      <c r="F1136" s="37" t="n">
        <v>5</v>
      </c>
      <c r="G1136" s="37" t="s">
        <v>192</v>
      </c>
      <c r="H1136" s="38" t="n">
        <v>199.107703420009</v>
      </c>
      <c r="I1136" s="38" t="n">
        <v>199.010377216216</v>
      </c>
      <c r="J1136" s="38" t="n">
        <v>202.564158779877</v>
      </c>
      <c r="K1136" s="38" t="n">
        <v>217.595279435424</v>
      </c>
      <c r="L1136" s="38" t="n">
        <v>56.5200855658097</v>
      </c>
      <c r="M1136" s="38" t="n">
        <v>93.7835486037393</v>
      </c>
      <c r="N1136" s="38" t="n">
        <v>97.3593797565442</v>
      </c>
      <c r="O1136" s="38" t="n">
        <v>60.5701676769094</v>
      </c>
      <c r="P1136" s="37" t="n">
        <v>0</v>
      </c>
      <c r="Q1136" s="38" t="n">
        <v>0</v>
      </c>
      <c r="R1136" s="38" t="n">
        <v>72</v>
      </c>
      <c r="S1136" s="37" t="n">
        <v>0</v>
      </c>
    </row>
    <row r="1137" customFormat="false" ht="15" hidden="false" customHeight="false" outlineLevel="0" collapsed="false">
      <c r="A1137" s="37" t="n">
        <v>5</v>
      </c>
      <c r="B1137" s="37" t="n">
        <v>0</v>
      </c>
      <c r="C1137" s="37" t="n">
        <v>0</v>
      </c>
      <c r="D1137" s="37" t="n">
        <v>15</v>
      </c>
      <c r="E1137" s="37" t="n">
        <v>5</v>
      </c>
      <c r="F1137" s="37" t="n">
        <v>5</v>
      </c>
      <c r="G1137" s="37" t="s">
        <v>195</v>
      </c>
      <c r="H1137" s="38" t="n">
        <v>199.107703420009</v>
      </c>
      <c r="I1137" s="38" t="n">
        <v>199.169935568209</v>
      </c>
      <c r="J1137" s="38" t="n">
        <v>202.133220400695</v>
      </c>
      <c r="K1137" s="38" t="n">
        <v>217.813397667705</v>
      </c>
      <c r="L1137" s="38" t="n">
        <v>64.5633976677054</v>
      </c>
      <c r="M1137" s="38" t="n">
        <v>100.749219377099</v>
      </c>
      <c r="N1137" s="38" t="n">
        <v>107.015273206497</v>
      </c>
      <c r="O1137" s="38" t="n">
        <v>65.0118641420425</v>
      </c>
      <c r="P1137" s="37" t="n">
        <v>0</v>
      </c>
      <c r="Q1137" s="38" t="n">
        <v>0</v>
      </c>
      <c r="R1137" s="38" t="n">
        <v>67.36</v>
      </c>
      <c r="S1137" s="37" t="n">
        <v>0</v>
      </c>
    </row>
    <row r="1138" customFormat="false" ht="15" hidden="false" customHeight="false" outlineLevel="0" collapsed="false">
      <c r="A1138" s="37" t="n">
        <v>5</v>
      </c>
      <c r="B1138" s="37" t="n">
        <v>0</v>
      </c>
      <c r="C1138" s="37" t="n">
        <v>0</v>
      </c>
      <c r="D1138" s="37" t="n">
        <v>15</v>
      </c>
      <c r="E1138" s="37" t="n">
        <v>5</v>
      </c>
      <c r="F1138" s="37" t="n">
        <v>5</v>
      </c>
      <c r="G1138" s="37" t="s">
        <v>197</v>
      </c>
      <c r="H1138" s="38" t="n">
        <v>199.107703420009</v>
      </c>
      <c r="I1138" s="38" t="n">
        <v>199.022990666326</v>
      </c>
      <c r="J1138" s="38" t="n">
        <v>202.739529015723</v>
      </c>
      <c r="K1138" s="38" t="n">
        <v>217.991047863179</v>
      </c>
      <c r="L1138" s="38" t="n">
        <v>56.4908268392685</v>
      </c>
      <c r="M1138" s="38" t="n">
        <v>101.96537352457</v>
      </c>
      <c r="N1138" s="38" t="n">
        <v>109.765600074791</v>
      </c>
      <c r="O1138" s="38" t="n">
        <v>66.8223317455321</v>
      </c>
      <c r="P1138" s="37" t="n">
        <v>0</v>
      </c>
      <c r="Q1138" s="38" t="n">
        <v>0</v>
      </c>
      <c r="R1138" s="38" t="n">
        <v>72</v>
      </c>
      <c r="S1138" s="37" t="n">
        <v>1</v>
      </c>
    </row>
    <row r="1139" customFormat="false" ht="15" hidden="false" customHeight="false" outlineLevel="0" collapsed="false">
      <c r="A1139" s="37" t="n">
        <v>5</v>
      </c>
      <c r="B1139" s="37" t="n">
        <v>0</v>
      </c>
      <c r="C1139" s="37" t="n">
        <v>0</v>
      </c>
      <c r="D1139" s="37" t="n">
        <v>15</v>
      </c>
      <c r="E1139" s="37" t="n">
        <v>5</v>
      </c>
      <c r="F1139" s="37" t="n">
        <v>5</v>
      </c>
      <c r="G1139" s="37" t="s">
        <v>196</v>
      </c>
      <c r="H1139" s="38" t="n">
        <v>199.107703420009</v>
      </c>
      <c r="I1139" s="38" t="n">
        <v>199.012712934512</v>
      </c>
      <c r="J1139" s="38" t="n">
        <v>195.1020082393</v>
      </c>
      <c r="K1139" s="38" t="n">
        <v>218.859616707143</v>
      </c>
      <c r="L1139" s="38" t="n">
        <v>65.3040611515871</v>
      </c>
      <c r="M1139" s="38" t="n">
        <v>100.999515444497</v>
      </c>
      <c r="N1139" s="38" t="n">
        <v>106.730462815024</v>
      </c>
      <c r="O1139" s="38" t="n">
        <v>63.7487789597061</v>
      </c>
      <c r="P1139" s="37" t="n">
        <v>0</v>
      </c>
      <c r="Q1139" s="38" t="n">
        <v>0</v>
      </c>
      <c r="R1139" s="38" t="n">
        <v>70.604</v>
      </c>
      <c r="S1139" s="37" t="n">
        <v>0</v>
      </c>
    </row>
    <row r="1140" customFormat="false" ht="15" hidden="false" customHeight="false" outlineLevel="0" collapsed="false">
      <c r="A1140" s="37" t="n">
        <v>5</v>
      </c>
      <c r="B1140" s="37" t="n">
        <v>0</v>
      </c>
      <c r="C1140" s="37" t="n">
        <v>0</v>
      </c>
      <c r="D1140" s="37" t="n">
        <v>15</v>
      </c>
      <c r="E1140" s="37" t="n">
        <v>10</v>
      </c>
      <c r="F1140" s="37" t="n">
        <v>0</v>
      </c>
      <c r="G1140" s="37" t="s">
        <v>188</v>
      </c>
      <c r="H1140" s="38" t="n">
        <v>199.127841405938</v>
      </c>
      <c r="I1140" s="38" t="n">
        <v>199.379803928373</v>
      </c>
      <c r="J1140" s="38" t="n">
        <v>204.250936162869</v>
      </c>
      <c r="K1140" s="38" t="n">
        <v>221.511662822761</v>
      </c>
      <c r="L1140" s="38" t="n">
        <v>29.6882803064545</v>
      </c>
      <c r="M1140" s="38" t="n">
        <v>100.247377925857</v>
      </c>
      <c r="N1140" s="38" t="n">
        <v>101.011474587473</v>
      </c>
      <c r="O1140" s="38" t="n">
        <v>62.4981168734783</v>
      </c>
      <c r="P1140" s="37" t="n">
        <v>0</v>
      </c>
      <c r="Q1140" s="38" t="n">
        <v>0</v>
      </c>
      <c r="R1140" s="38" t="n">
        <v>72</v>
      </c>
      <c r="S1140" s="37" t="n">
        <v>0</v>
      </c>
    </row>
    <row r="1141" customFormat="false" ht="15" hidden="false" customHeight="false" outlineLevel="0" collapsed="false">
      <c r="A1141" s="37" t="n">
        <v>5</v>
      </c>
      <c r="B1141" s="37" t="n">
        <v>0</v>
      </c>
      <c r="C1141" s="37" t="n">
        <v>0</v>
      </c>
      <c r="D1141" s="37" t="n">
        <v>15</v>
      </c>
      <c r="E1141" s="37" t="n">
        <v>10</v>
      </c>
      <c r="F1141" s="37" t="n">
        <v>0</v>
      </c>
      <c r="G1141" s="37" t="s">
        <v>192</v>
      </c>
      <c r="H1141" s="38" t="n">
        <v>199.127841405938</v>
      </c>
      <c r="I1141" s="38" t="n">
        <v>199.318927425644</v>
      </c>
      <c r="J1141" s="38" t="n">
        <v>205.495523910825</v>
      </c>
      <c r="K1141" s="38" t="n">
        <v>222.694676487792</v>
      </c>
      <c r="L1141" s="38" t="n">
        <v>32.8559527474595</v>
      </c>
      <c r="M1141" s="38" t="n">
        <v>95.1267929947272</v>
      </c>
      <c r="N1141" s="38" t="n">
        <v>97.3598163801238</v>
      </c>
      <c r="O1141" s="38" t="n">
        <v>58.0398806653842</v>
      </c>
      <c r="P1141" s="37" t="n">
        <v>0</v>
      </c>
      <c r="Q1141" s="38" t="n">
        <v>0</v>
      </c>
      <c r="R1141" s="38" t="n">
        <v>72</v>
      </c>
      <c r="S1141" s="37" t="n">
        <v>0</v>
      </c>
    </row>
    <row r="1142" customFormat="false" ht="15" hidden="false" customHeight="false" outlineLevel="0" collapsed="false">
      <c r="A1142" s="37" t="n">
        <v>5</v>
      </c>
      <c r="B1142" s="37" t="n">
        <v>0</v>
      </c>
      <c r="C1142" s="37" t="n">
        <v>0</v>
      </c>
      <c r="D1142" s="37" t="n">
        <v>15</v>
      </c>
      <c r="E1142" s="37" t="n">
        <v>10</v>
      </c>
      <c r="F1142" s="37" t="n">
        <v>0</v>
      </c>
      <c r="G1142" s="37" t="s">
        <v>195</v>
      </c>
      <c r="H1142" s="38" t="n">
        <v>199.127841405938</v>
      </c>
      <c r="I1142" s="38" t="n">
        <v>199.49350432265</v>
      </c>
      <c r="J1142" s="38" t="n">
        <v>205.401492040993</v>
      </c>
      <c r="K1142" s="38" t="n">
        <v>223.456072334815</v>
      </c>
      <c r="L1142" s="38" t="n">
        <v>30.2060723348145</v>
      </c>
      <c r="M1142" s="38" t="n">
        <v>102.074581378542</v>
      </c>
      <c r="N1142" s="38" t="n">
        <v>105.803097105074</v>
      </c>
      <c r="O1142" s="38" t="n">
        <v>65.429227167509</v>
      </c>
      <c r="P1142" s="37" t="n">
        <v>0</v>
      </c>
      <c r="Q1142" s="38" t="n">
        <v>0</v>
      </c>
      <c r="R1142" s="38" t="n">
        <v>67.36</v>
      </c>
      <c r="S1142" s="37" t="n">
        <v>0</v>
      </c>
    </row>
    <row r="1143" customFormat="false" ht="15" hidden="false" customHeight="false" outlineLevel="0" collapsed="false">
      <c r="A1143" s="37" t="n">
        <v>5</v>
      </c>
      <c r="B1143" s="37" t="n">
        <v>0</v>
      </c>
      <c r="C1143" s="37" t="n">
        <v>0</v>
      </c>
      <c r="D1143" s="37" t="n">
        <v>15</v>
      </c>
      <c r="E1143" s="37" t="n">
        <v>10</v>
      </c>
      <c r="F1143" s="37" t="n">
        <v>0</v>
      </c>
      <c r="G1143" s="37" t="s">
        <v>197</v>
      </c>
      <c r="H1143" s="38" t="n">
        <v>199.127841405938</v>
      </c>
      <c r="I1143" s="38" t="n">
        <v>199.353500607486</v>
      </c>
      <c r="J1143" s="38" t="n">
        <v>206.781464105319</v>
      </c>
      <c r="K1143" s="38" t="n">
        <v>224.584799135829</v>
      </c>
      <c r="L1143" s="38" t="n">
        <v>38.8001546314859</v>
      </c>
      <c r="M1143" s="38" t="n">
        <v>105.97981151551</v>
      </c>
      <c r="N1143" s="38" t="n">
        <v>123.756553185134</v>
      </c>
      <c r="O1143" s="38" t="n">
        <v>66.2915109630438</v>
      </c>
      <c r="P1143" s="37" t="n">
        <v>0</v>
      </c>
      <c r="Q1143" s="38" t="n">
        <v>0</v>
      </c>
      <c r="R1143" s="38" t="n">
        <v>72</v>
      </c>
      <c r="S1143" s="37" t="n">
        <v>1</v>
      </c>
    </row>
    <row r="1144" customFormat="false" ht="15" hidden="false" customHeight="false" outlineLevel="0" collapsed="false">
      <c r="A1144" s="37" t="n">
        <v>5</v>
      </c>
      <c r="B1144" s="37" t="n">
        <v>0</v>
      </c>
      <c r="C1144" s="37" t="n">
        <v>0</v>
      </c>
      <c r="D1144" s="37" t="n">
        <v>15</v>
      </c>
      <c r="E1144" s="37" t="n">
        <v>10</v>
      </c>
      <c r="F1144" s="37" t="n">
        <v>0</v>
      </c>
      <c r="G1144" s="37" t="s">
        <v>196</v>
      </c>
      <c r="H1144" s="38" t="n">
        <v>199.127841405938</v>
      </c>
      <c r="I1144" s="38" t="n">
        <v>199.322776195417</v>
      </c>
      <c r="J1144" s="38" t="n">
        <v>197.956170055189</v>
      </c>
      <c r="K1144" s="38" t="n">
        <v>223.924362594881</v>
      </c>
      <c r="L1144" s="38" t="n">
        <v>30.3688070393257</v>
      </c>
      <c r="M1144" s="38" t="n">
        <v>102.827555814047</v>
      </c>
      <c r="N1144" s="38" t="n">
        <v>106.372910151415</v>
      </c>
      <c r="O1144" s="38" t="n">
        <v>64.3443024853357</v>
      </c>
      <c r="P1144" s="37" t="n">
        <v>0</v>
      </c>
      <c r="Q1144" s="38" t="n">
        <v>0</v>
      </c>
      <c r="R1144" s="38" t="n">
        <v>70.604</v>
      </c>
      <c r="S1144" s="37" t="n">
        <v>0</v>
      </c>
    </row>
    <row r="1145" customFormat="false" ht="15" hidden="false" customHeight="false" outlineLevel="0" collapsed="false">
      <c r="A1145" s="37" t="n">
        <v>5</v>
      </c>
      <c r="B1145" s="37" t="n">
        <v>0</v>
      </c>
      <c r="C1145" s="37" t="n">
        <v>0</v>
      </c>
      <c r="D1145" s="37" t="n">
        <v>20</v>
      </c>
      <c r="E1145" s="37" t="n">
        <v>0</v>
      </c>
      <c r="F1145" s="37" t="n">
        <v>5</v>
      </c>
      <c r="G1145" s="37" t="s">
        <v>188</v>
      </c>
      <c r="H1145" s="38" t="n">
        <v>199.256586224332</v>
      </c>
      <c r="I1145" s="38" t="n">
        <v>199.417136296407</v>
      </c>
      <c r="J1145" s="38" t="n">
        <v>199.693790744661</v>
      </c>
      <c r="K1145" s="38" t="n">
        <v>207.027816351855</v>
      </c>
      <c r="L1145" s="38" t="n">
        <v>43.8664651172878</v>
      </c>
      <c r="M1145" s="38" t="n">
        <v>97.8189899261702</v>
      </c>
      <c r="N1145" s="38" t="n">
        <v>96.1906329022606</v>
      </c>
      <c r="O1145" s="38" t="n">
        <v>63.832637347745</v>
      </c>
      <c r="P1145" s="37" t="n">
        <v>0</v>
      </c>
      <c r="Q1145" s="38" t="n">
        <v>0</v>
      </c>
      <c r="R1145" s="38" t="n">
        <v>72</v>
      </c>
      <c r="S1145" s="37" t="n">
        <v>0</v>
      </c>
    </row>
    <row r="1146" customFormat="false" ht="15" hidden="false" customHeight="false" outlineLevel="0" collapsed="false">
      <c r="A1146" s="37" t="n">
        <v>5</v>
      </c>
      <c r="B1146" s="37" t="n">
        <v>0</v>
      </c>
      <c r="C1146" s="37" t="n">
        <v>0</v>
      </c>
      <c r="D1146" s="37" t="n">
        <v>20</v>
      </c>
      <c r="E1146" s="37" t="n">
        <v>0</v>
      </c>
      <c r="F1146" s="37" t="n">
        <v>5</v>
      </c>
      <c r="G1146" s="37" t="s">
        <v>192</v>
      </c>
      <c r="H1146" s="38" t="n">
        <v>199.256586224332</v>
      </c>
      <c r="I1146" s="38" t="n">
        <v>199.351904889934</v>
      </c>
      <c r="J1146" s="38" t="n">
        <v>201.12173470852</v>
      </c>
      <c r="K1146" s="38" t="n">
        <v>208.457433134023</v>
      </c>
      <c r="L1146" s="38" t="n">
        <v>47.4898762746977</v>
      </c>
      <c r="M1146" s="38" t="n">
        <v>92.6374480050094</v>
      </c>
      <c r="N1146" s="38" t="n">
        <v>90.0996004391254</v>
      </c>
      <c r="O1146" s="38" t="n">
        <v>58.9073126591972</v>
      </c>
      <c r="P1146" s="37" t="n">
        <v>0</v>
      </c>
      <c r="Q1146" s="38" t="n">
        <v>0</v>
      </c>
      <c r="R1146" s="38" t="n">
        <v>72</v>
      </c>
      <c r="S1146" s="37" t="n">
        <v>0</v>
      </c>
    </row>
    <row r="1147" customFormat="false" ht="15" hidden="false" customHeight="false" outlineLevel="0" collapsed="false">
      <c r="A1147" s="37" t="n">
        <v>5</v>
      </c>
      <c r="B1147" s="37" t="n">
        <v>0</v>
      </c>
      <c r="C1147" s="37" t="n">
        <v>0</v>
      </c>
      <c r="D1147" s="37" t="n">
        <v>20</v>
      </c>
      <c r="E1147" s="37" t="n">
        <v>0</v>
      </c>
      <c r="F1147" s="37" t="n">
        <v>5</v>
      </c>
      <c r="G1147" s="37" t="s">
        <v>195</v>
      </c>
      <c r="H1147" s="38" t="n">
        <v>199.256586224332</v>
      </c>
      <c r="I1147" s="38" t="n">
        <v>199.566420494613</v>
      </c>
      <c r="J1147" s="38" t="n">
        <v>201.21794472563</v>
      </c>
      <c r="K1147" s="38" t="n">
        <v>209.631981706281</v>
      </c>
      <c r="L1147" s="38" t="n">
        <v>56.3819817062806</v>
      </c>
      <c r="M1147" s="38" t="n">
        <v>100.575701361483</v>
      </c>
      <c r="N1147" s="38" t="n">
        <v>100.42458086611</v>
      </c>
      <c r="O1147" s="38" t="n">
        <v>63.7061793398909</v>
      </c>
      <c r="P1147" s="37" t="n">
        <v>0</v>
      </c>
      <c r="Q1147" s="38" t="n">
        <v>0</v>
      </c>
      <c r="R1147" s="38" t="n">
        <v>67.36</v>
      </c>
      <c r="S1147" s="37" t="n">
        <v>1</v>
      </c>
    </row>
    <row r="1148" customFormat="false" ht="15" hidden="false" customHeight="false" outlineLevel="0" collapsed="false">
      <c r="A1148" s="37" t="n">
        <v>5</v>
      </c>
      <c r="B1148" s="37" t="n">
        <v>0</v>
      </c>
      <c r="C1148" s="37" t="n">
        <v>0</v>
      </c>
      <c r="D1148" s="37" t="n">
        <v>20</v>
      </c>
      <c r="E1148" s="37" t="n">
        <v>0</v>
      </c>
      <c r="F1148" s="37" t="n">
        <v>5</v>
      </c>
      <c r="G1148" s="37" t="s">
        <v>197</v>
      </c>
      <c r="H1148" s="38" t="n">
        <v>199.256586224332</v>
      </c>
      <c r="I1148" s="38" t="n">
        <v>199.352855329143</v>
      </c>
      <c r="J1148" s="38" t="n">
        <v>200.551238786068</v>
      </c>
      <c r="K1148" s="38" t="n">
        <v>207.722256507276</v>
      </c>
      <c r="L1148" s="38" t="n">
        <v>45.7382847734145</v>
      </c>
      <c r="M1148" s="38" t="n">
        <v>97.4397669587207</v>
      </c>
      <c r="N1148" s="38" t="n">
        <v>92.5704861632248</v>
      </c>
      <c r="O1148" s="38" t="n">
        <v>60.9792839521863</v>
      </c>
      <c r="P1148" s="37" t="n">
        <v>0</v>
      </c>
      <c r="Q1148" s="38" t="n">
        <v>0</v>
      </c>
      <c r="R1148" s="38" t="n">
        <v>72</v>
      </c>
      <c r="S1148" s="37" t="n">
        <v>0</v>
      </c>
    </row>
    <row r="1149" customFormat="false" ht="15" hidden="false" customHeight="false" outlineLevel="0" collapsed="false">
      <c r="A1149" s="37" t="n">
        <v>5</v>
      </c>
      <c r="B1149" s="37" t="n">
        <v>0</v>
      </c>
      <c r="C1149" s="37" t="n">
        <v>0</v>
      </c>
      <c r="D1149" s="37" t="n">
        <v>20</v>
      </c>
      <c r="E1149" s="37" t="n">
        <v>0</v>
      </c>
      <c r="F1149" s="37" t="n">
        <v>5</v>
      </c>
      <c r="G1149" s="37" t="s">
        <v>196</v>
      </c>
      <c r="H1149" s="38" t="n">
        <v>199.256586224332</v>
      </c>
      <c r="I1149" s="38" t="n">
        <v>199.353092329795</v>
      </c>
      <c r="J1149" s="38" t="n">
        <v>193.985726237619</v>
      </c>
      <c r="K1149" s="38" t="n">
        <v>210.095514379209</v>
      </c>
      <c r="L1149" s="38" t="n">
        <v>56.5399588236534</v>
      </c>
      <c r="M1149" s="38" t="n">
        <v>99.5265364552059</v>
      </c>
      <c r="N1149" s="38" t="n">
        <v>98.2168317368336</v>
      </c>
      <c r="O1149" s="38" t="n">
        <v>60.8184210802992</v>
      </c>
      <c r="P1149" s="37" t="n">
        <v>0</v>
      </c>
      <c r="Q1149" s="38" t="n">
        <v>0</v>
      </c>
      <c r="R1149" s="38" t="n">
        <v>70.7373333333333</v>
      </c>
      <c r="S1149" s="37" t="n">
        <v>0</v>
      </c>
    </row>
    <row r="1150" customFormat="false" ht="15" hidden="false" customHeight="false" outlineLevel="0" collapsed="false">
      <c r="A1150" s="37" t="n">
        <v>5</v>
      </c>
      <c r="B1150" s="37" t="n">
        <v>0</v>
      </c>
      <c r="C1150" s="37" t="n">
        <v>0</v>
      </c>
      <c r="D1150" s="37" t="n">
        <v>20</v>
      </c>
      <c r="E1150" s="37" t="n">
        <v>5</v>
      </c>
      <c r="F1150" s="37" t="n">
        <v>0</v>
      </c>
      <c r="G1150" s="37" t="s">
        <v>188</v>
      </c>
      <c r="H1150" s="38" t="n">
        <v>199.268615266254</v>
      </c>
      <c r="I1150" s="38" t="n">
        <v>199.700594273289</v>
      </c>
      <c r="J1150" s="38" t="n">
        <v>203.49352063901</v>
      </c>
      <c r="K1150" s="38" t="n">
        <v>213.280664899279</v>
      </c>
      <c r="L1150" s="38" t="n">
        <v>24.9904292385426</v>
      </c>
      <c r="M1150" s="38" t="n">
        <v>99.1981792192693</v>
      </c>
      <c r="N1150" s="38" t="n">
        <v>91.2710694369536</v>
      </c>
      <c r="O1150" s="38" t="n">
        <v>61.5373185680327</v>
      </c>
      <c r="P1150" s="37" t="n">
        <v>0</v>
      </c>
      <c r="Q1150" s="38" t="n">
        <v>0.0095707614574394</v>
      </c>
      <c r="R1150" s="38" t="n">
        <v>72</v>
      </c>
      <c r="S1150" s="37" t="n">
        <v>0</v>
      </c>
    </row>
    <row r="1151" customFormat="false" ht="15" hidden="false" customHeight="false" outlineLevel="0" collapsed="false">
      <c r="A1151" s="37" t="n">
        <v>5</v>
      </c>
      <c r="B1151" s="37" t="n">
        <v>0</v>
      </c>
      <c r="C1151" s="37" t="n">
        <v>0</v>
      </c>
      <c r="D1151" s="37" t="n">
        <v>20</v>
      </c>
      <c r="E1151" s="37" t="n">
        <v>5</v>
      </c>
      <c r="F1151" s="37" t="n">
        <v>0</v>
      </c>
      <c r="G1151" s="37" t="s">
        <v>192</v>
      </c>
      <c r="H1151" s="38" t="n">
        <v>199.268615266254</v>
      </c>
      <c r="I1151" s="38" t="n">
        <v>199.635653750031</v>
      </c>
      <c r="J1151" s="38" t="n">
        <v>204.790188727567</v>
      </c>
      <c r="K1151" s="38" t="n">
        <v>214.478199294195</v>
      </c>
      <c r="L1151" s="38" t="n">
        <v>24.9987064373496</v>
      </c>
      <c r="M1151" s="38" t="n">
        <v>94.0519450806411</v>
      </c>
      <c r="N1151" s="38" t="n">
        <v>85.0435861973604</v>
      </c>
      <c r="O1151" s="38" t="n">
        <v>56.7130013253475</v>
      </c>
      <c r="P1151" s="37" t="n">
        <v>0</v>
      </c>
      <c r="Q1151" s="38" t="n">
        <v>0.00129356265040315</v>
      </c>
      <c r="R1151" s="38" t="n">
        <v>72</v>
      </c>
      <c r="S1151" s="37" t="n">
        <v>0</v>
      </c>
    </row>
    <row r="1152" customFormat="false" ht="15" hidden="false" customHeight="false" outlineLevel="0" collapsed="false">
      <c r="A1152" s="37" t="n">
        <v>5</v>
      </c>
      <c r="B1152" s="37" t="n">
        <v>0</v>
      </c>
      <c r="C1152" s="37" t="n">
        <v>0</v>
      </c>
      <c r="D1152" s="37" t="n">
        <v>20</v>
      </c>
      <c r="E1152" s="37" t="n">
        <v>5</v>
      </c>
      <c r="F1152" s="37" t="n">
        <v>0</v>
      </c>
      <c r="G1152" s="37" t="s">
        <v>195</v>
      </c>
      <c r="H1152" s="38" t="n">
        <v>199.268615266254</v>
      </c>
      <c r="I1152" s="38" t="n">
        <v>199.868417775282</v>
      </c>
      <c r="J1152" s="38" t="n">
        <v>205.21070961646</v>
      </c>
      <c r="K1152" s="38" t="n">
        <v>216.229896101986</v>
      </c>
      <c r="L1152" s="38" t="n">
        <v>34.2298961019864</v>
      </c>
      <c r="M1152" s="38" t="n">
        <v>101.959162455932</v>
      </c>
      <c r="N1152" s="38" t="n">
        <v>104.211738074674</v>
      </c>
      <c r="O1152" s="38" t="n">
        <v>62.1089365062944</v>
      </c>
      <c r="P1152" s="37" t="n">
        <v>0</v>
      </c>
      <c r="Q1152" s="38" t="n">
        <v>0</v>
      </c>
      <c r="R1152" s="38" t="n">
        <v>67.36</v>
      </c>
      <c r="S1152" s="37" t="n">
        <v>1</v>
      </c>
    </row>
    <row r="1153" customFormat="false" ht="15" hidden="false" customHeight="false" outlineLevel="0" collapsed="false">
      <c r="A1153" s="37" t="n">
        <v>5</v>
      </c>
      <c r="B1153" s="37" t="n">
        <v>0</v>
      </c>
      <c r="C1153" s="37" t="n">
        <v>0</v>
      </c>
      <c r="D1153" s="37" t="n">
        <v>20</v>
      </c>
      <c r="E1153" s="37" t="n">
        <v>5</v>
      </c>
      <c r="F1153" s="37" t="n">
        <v>0</v>
      </c>
      <c r="G1153" s="37" t="s">
        <v>197</v>
      </c>
      <c r="H1153" s="38" t="n">
        <v>199.268615266254</v>
      </c>
      <c r="I1153" s="38" t="n">
        <v>199.649093737516</v>
      </c>
      <c r="J1153" s="38" t="n">
        <v>205.013069173565</v>
      </c>
      <c r="K1153" s="38" t="n">
        <v>214.911237381997</v>
      </c>
      <c r="L1153" s="38" t="n">
        <v>28.4963769393913</v>
      </c>
      <c r="M1153" s="38" t="n">
        <v>102.209717636124</v>
      </c>
      <c r="N1153" s="38" t="n">
        <v>100.407367870975</v>
      </c>
      <c r="O1153" s="38" t="n">
        <v>63.2430709045476</v>
      </c>
      <c r="P1153" s="37" t="n">
        <v>0</v>
      </c>
      <c r="Q1153" s="38" t="n">
        <v>0</v>
      </c>
      <c r="R1153" s="38" t="n">
        <v>72</v>
      </c>
      <c r="S1153" s="37" t="n">
        <v>0</v>
      </c>
    </row>
    <row r="1154" customFormat="false" ht="15" hidden="false" customHeight="false" outlineLevel="0" collapsed="false">
      <c r="A1154" s="37" t="n">
        <v>5</v>
      </c>
      <c r="B1154" s="37" t="n">
        <v>0</v>
      </c>
      <c r="C1154" s="37" t="n">
        <v>0</v>
      </c>
      <c r="D1154" s="37" t="n">
        <v>20</v>
      </c>
      <c r="E1154" s="37" t="n">
        <v>5</v>
      </c>
      <c r="F1154" s="37" t="n">
        <v>0</v>
      </c>
      <c r="G1154" s="37" t="s">
        <v>196</v>
      </c>
      <c r="H1154" s="38" t="n">
        <v>199.268615266254</v>
      </c>
      <c r="I1154" s="38" t="n">
        <v>199.638112330995</v>
      </c>
      <c r="J1154" s="38" t="n">
        <v>197.186528240289</v>
      </c>
      <c r="K1154" s="38" t="n">
        <v>215.626679595544</v>
      </c>
      <c r="L1154" s="38" t="n">
        <v>32.6266795955442</v>
      </c>
      <c r="M1154" s="38" t="n">
        <v>101.561414952355</v>
      </c>
      <c r="N1154" s="38" t="n">
        <v>101.012975896149</v>
      </c>
      <c r="O1154" s="38" t="n">
        <v>59.800931767855</v>
      </c>
      <c r="P1154" s="37" t="n">
        <v>0</v>
      </c>
      <c r="Q1154" s="38" t="n">
        <v>0</v>
      </c>
      <c r="R1154" s="38" t="n">
        <v>70.604</v>
      </c>
      <c r="S1154" s="37" t="n">
        <v>0</v>
      </c>
    </row>
    <row r="1155" customFormat="false" ht="15" hidden="false" customHeight="false" outlineLevel="0" collapsed="false">
      <c r="A1155" s="37" t="n">
        <v>5</v>
      </c>
      <c r="B1155" s="37" t="n">
        <v>0</v>
      </c>
      <c r="C1155" s="37" t="n">
        <v>0</v>
      </c>
      <c r="D1155" s="37" t="n">
        <v>25</v>
      </c>
      <c r="E1155" s="37" t="n">
        <v>0</v>
      </c>
      <c r="F1155" s="37" t="n">
        <v>0</v>
      </c>
      <c r="G1155" s="37" t="s">
        <v>188</v>
      </c>
      <c r="H1155" s="38" t="n">
        <v>199.33792967188</v>
      </c>
      <c r="I1155" s="38" t="n">
        <v>199.744502260857</v>
      </c>
      <c r="J1155" s="38" t="n">
        <v>200.706582708939</v>
      </c>
      <c r="K1155" s="38" t="n">
        <v>201.645056476116</v>
      </c>
      <c r="L1155" s="38" t="n">
        <v>24.9694427356568</v>
      </c>
      <c r="M1155" s="38" t="n">
        <v>97.590037849384</v>
      </c>
      <c r="N1155" s="38" t="n">
        <v>82.3963382366149</v>
      </c>
      <c r="O1155" s="38" t="n">
        <v>60.1228514742907</v>
      </c>
      <c r="P1155" s="37" t="n">
        <v>0</v>
      </c>
      <c r="Q1155" s="38" t="n">
        <v>0.0305572643432548</v>
      </c>
      <c r="R1155" s="38" t="n">
        <v>72</v>
      </c>
      <c r="S1155" s="37" t="n">
        <v>0</v>
      </c>
    </row>
    <row r="1156" customFormat="false" ht="15" hidden="false" customHeight="false" outlineLevel="0" collapsed="false">
      <c r="A1156" s="37" t="n">
        <v>5</v>
      </c>
      <c r="B1156" s="37" t="n">
        <v>0</v>
      </c>
      <c r="C1156" s="37" t="n">
        <v>0</v>
      </c>
      <c r="D1156" s="37" t="n">
        <v>25</v>
      </c>
      <c r="E1156" s="37" t="n">
        <v>0</v>
      </c>
      <c r="F1156" s="37" t="n">
        <v>0</v>
      </c>
      <c r="G1156" s="37" t="s">
        <v>192</v>
      </c>
      <c r="H1156" s="38" t="n">
        <v>199.33792967188</v>
      </c>
      <c r="I1156" s="38" t="n">
        <v>199.676810370701</v>
      </c>
      <c r="J1156" s="38" t="n">
        <v>202.110772004588</v>
      </c>
      <c r="K1156" s="38" t="n">
        <v>202.834271815031</v>
      </c>
      <c r="L1156" s="38" t="n">
        <v>24.9533275368162</v>
      </c>
      <c r="M1156" s="38" t="n">
        <v>92.4121638360603</v>
      </c>
      <c r="N1156" s="38" t="n">
        <v>76.26458747432</v>
      </c>
      <c r="O1156" s="38" t="n">
        <v>55.0348176763103</v>
      </c>
      <c r="P1156" s="37" t="n">
        <v>0</v>
      </c>
      <c r="Q1156" s="38" t="n">
        <v>0.0466724631837998</v>
      </c>
      <c r="R1156" s="38" t="n">
        <v>72</v>
      </c>
      <c r="S1156" s="37" t="n">
        <v>0</v>
      </c>
    </row>
    <row r="1157" customFormat="false" ht="15" hidden="false" customHeight="false" outlineLevel="0" collapsed="false">
      <c r="A1157" s="37" t="n">
        <v>5</v>
      </c>
      <c r="B1157" s="37" t="n">
        <v>0</v>
      </c>
      <c r="C1157" s="37" t="n">
        <v>0</v>
      </c>
      <c r="D1157" s="37" t="n">
        <v>25</v>
      </c>
      <c r="E1157" s="37" t="n">
        <v>0</v>
      </c>
      <c r="F1157" s="37" t="n">
        <v>0</v>
      </c>
      <c r="G1157" s="37" t="s">
        <v>195</v>
      </c>
      <c r="H1157" s="38" t="n">
        <v>199.33792967188</v>
      </c>
      <c r="I1157" s="38" t="n">
        <v>199.932951216806</v>
      </c>
      <c r="J1157" s="38" t="n">
        <v>202.728889625268</v>
      </c>
      <c r="K1157" s="38" t="n">
        <v>204.687733737801</v>
      </c>
      <c r="L1157" s="38" t="n">
        <v>24.9654554827925</v>
      </c>
      <c r="M1157" s="38" t="n">
        <v>100.83130264082</v>
      </c>
      <c r="N1157" s="38" t="n">
        <v>87.534388953415</v>
      </c>
      <c r="O1157" s="38" t="n">
        <v>60.0670192184687</v>
      </c>
      <c r="P1157" s="37" t="n">
        <v>0</v>
      </c>
      <c r="Q1157" s="38" t="n">
        <v>0.034544517207479</v>
      </c>
      <c r="R1157" s="38" t="n">
        <v>67.36</v>
      </c>
      <c r="S1157" s="37" t="n">
        <v>1</v>
      </c>
    </row>
    <row r="1158" customFormat="false" ht="15" hidden="false" customHeight="false" outlineLevel="0" collapsed="false">
      <c r="A1158" s="37" t="n">
        <v>5</v>
      </c>
      <c r="B1158" s="37" t="n">
        <v>0</v>
      </c>
      <c r="C1158" s="37" t="n">
        <v>0</v>
      </c>
      <c r="D1158" s="37" t="n">
        <v>25</v>
      </c>
      <c r="E1158" s="37" t="n">
        <v>0</v>
      </c>
      <c r="F1158" s="37" t="n">
        <v>0</v>
      </c>
      <c r="G1158" s="37" t="s">
        <v>197</v>
      </c>
      <c r="H1158" s="38" t="n">
        <v>199.33792967188</v>
      </c>
      <c r="I1158" s="38" t="n">
        <v>199.677895958201</v>
      </c>
      <c r="J1158" s="38" t="n">
        <v>201.577323696316</v>
      </c>
      <c r="K1158" s="38" t="n">
        <v>202.017534743197</v>
      </c>
      <c r="L1158" s="38" t="n">
        <v>24.9598468513153</v>
      </c>
      <c r="M1158" s="38" t="n">
        <v>97.2148050026178</v>
      </c>
      <c r="N1158" s="38" t="n">
        <v>78.4435881238741</v>
      </c>
      <c r="O1158" s="38" t="n">
        <v>57.1975440727493</v>
      </c>
      <c r="P1158" s="37" t="n">
        <v>0</v>
      </c>
      <c r="Q1158" s="38" t="n">
        <v>0.0401531486846807</v>
      </c>
      <c r="R1158" s="38" t="n">
        <v>72</v>
      </c>
      <c r="S1158" s="37" t="n">
        <v>0</v>
      </c>
    </row>
    <row r="1159" customFormat="false" ht="15" hidden="false" customHeight="false" outlineLevel="0" collapsed="false">
      <c r="A1159" s="37" t="n">
        <v>5</v>
      </c>
      <c r="B1159" s="37" t="n">
        <v>0</v>
      </c>
      <c r="C1159" s="37" t="n">
        <v>0</v>
      </c>
      <c r="D1159" s="37" t="n">
        <v>25</v>
      </c>
      <c r="E1159" s="37" t="n">
        <v>0</v>
      </c>
      <c r="F1159" s="37" t="n">
        <v>0</v>
      </c>
      <c r="G1159" s="37" t="s">
        <v>196</v>
      </c>
      <c r="H1159" s="38" t="n">
        <v>199.33792967188</v>
      </c>
      <c r="I1159" s="38" t="n">
        <v>199.678031009704</v>
      </c>
      <c r="J1159" s="38" t="n">
        <v>194.990673472513</v>
      </c>
      <c r="K1159" s="38" t="n">
        <v>204.303034721177</v>
      </c>
      <c r="L1159" s="38" t="n">
        <v>24.9849978121638</v>
      </c>
      <c r="M1159" s="38" t="n">
        <v>99.4484869569422</v>
      </c>
      <c r="N1159" s="38" t="n">
        <v>84.463683680254</v>
      </c>
      <c r="O1159" s="38" t="n">
        <v>56.6348683371431</v>
      </c>
      <c r="P1159" s="37" t="n">
        <v>0</v>
      </c>
      <c r="Q1159" s="38" t="n">
        <v>0.0150021878362452</v>
      </c>
      <c r="R1159" s="38" t="n">
        <v>70.7373333333333</v>
      </c>
      <c r="S1159" s="37" t="n">
        <v>0</v>
      </c>
    </row>
    <row r="1160" customFormat="false" ht="15" hidden="false" customHeight="false" outlineLevel="0" collapsed="false">
      <c r="A1160" s="37" t="n">
        <v>5</v>
      </c>
      <c r="B1160" s="37" t="n">
        <v>0</v>
      </c>
      <c r="C1160" s="37" t="n">
        <v>5</v>
      </c>
      <c r="D1160" s="37" t="n">
        <v>0</v>
      </c>
      <c r="E1160" s="37" t="n">
        <v>0</v>
      </c>
      <c r="F1160" s="37" t="n">
        <v>20</v>
      </c>
      <c r="G1160" s="37" t="s">
        <v>188</v>
      </c>
      <c r="H1160" s="38" t="n">
        <v>198.649784956263</v>
      </c>
      <c r="I1160" s="38" t="n">
        <v>198.261356206021</v>
      </c>
      <c r="J1160" s="38" t="n">
        <v>205.845767139713</v>
      </c>
      <c r="K1160" s="38" t="n">
        <v>245.544063537597</v>
      </c>
      <c r="L1160" s="38" t="n">
        <v>201.664282674783</v>
      </c>
      <c r="M1160" s="38" t="n">
        <v>101.274881835962</v>
      </c>
      <c r="N1160" s="38" t="n">
        <v>121.508616176541</v>
      </c>
      <c r="O1160" s="38" t="n">
        <v>70.5805518792635</v>
      </c>
      <c r="P1160" s="37" t="n">
        <v>0</v>
      </c>
      <c r="Q1160" s="38" t="n">
        <v>0</v>
      </c>
      <c r="R1160" s="38" t="n">
        <v>70.5</v>
      </c>
      <c r="S1160" s="37" t="n">
        <v>1</v>
      </c>
    </row>
    <row r="1161" customFormat="false" ht="15" hidden="false" customHeight="false" outlineLevel="0" collapsed="false">
      <c r="A1161" s="37" t="n">
        <v>5</v>
      </c>
      <c r="B1161" s="37" t="n">
        <v>0</v>
      </c>
      <c r="C1161" s="37" t="n">
        <v>5</v>
      </c>
      <c r="D1161" s="37" t="n">
        <v>0</v>
      </c>
      <c r="E1161" s="37" t="n">
        <v>0</v>
      </c>
      <c r="F1161" s="37" t="n">
        <v>20</v>
      </c>
      <c r="G1161" s="37" t="s">
        <v>192</v>
      </c>
      <c r="H1161" s="38" t="n">
        <v>198.649784956263</v>
      </c>
      <c r="I1161" s="38" t="n">
        <v>198.175271069575</v>
      </c>
      <c r="J1161" s="38" t="n">
        <v>206.008798868196</v>
      </c>
      <c r="K1161" s="38" t="n">
        <v>245.10368109572</v>
      </c>
      <c r="L1161" s="38" t="n">
        <v>203.70016773191</v>
      </c>
      <c r="M1161" s="38" t="n">
        <v>96.0247811843776</v>
      </c>
      <c r="N1161" s="38" t="n">
        <v>113.090201385234</v>
      </c>
      <c r="O1161" s="38" t="n">
        <v>65.1635722368062</v>
      </c>
      <c r="P1161" s="37" t="n">
        <v>0</v>
      </c>
      <c r="Q1161" s="38" t="n">
        <v>0</v>
      </c>
      <c r="R1161" s="38" t="n">
        <v>70.5</v>
      </c>
      <c r="S1161" s="37" t="n">
        <v>0</v>
      </c>
    </row>
    <row r="1162" customFormat="false" ht="15" hidden="false" customHeight="false" outlineLevel="0" collapsed="false">
      <c r="A1162" s="37" t="n">
        <v>5</v>
      </c>
      <c r="B1162" s="37" t="n">
        <v>0</v>
      </c>
      <c r="C1162" s="37" t="n">
        <v>5</v>
      </c>
      <c r="D1162" s="37" t="n">
        <v>0</v>
      </c>
      <c r="E1162" s="37" t="n">
        <v>0</v>
      </c>
      <c r="F1162" s="37" t="n">
        <v>20</v>
      </c>
      <c r="G1162" s="37" t="s">
        <v>195</v>
      </c>
      <c r="H1162" s="38" t="n">
        <v>198.649784956263</v>
      </c>
      <c r="I1162" s="38" t="n">
        <v>198.182169433897</v>
      </c>
      <c r="J1162" s="38" t="n">
        <v>201.479141254962</v>
      </c>
      <c r="K1162" s="38" t="n">
        <v>235.883753588719</v>
      </c>
      <c r="L1162" s="38" t="n">
        <v>197.115399040408</v>
      </c>
      <c r="M1162" s="38" t="n">
        <v>99.0383097831001</v>
      </c>
      <c r="N1162" s="38" t="n">
        <v>108.186020410992</v>
      </c>
      <c r="O1162" s="38" t="n">
        <v>63.5346568462799</v>
      </c>
      <c r="P1162" s="37" t="n">
        <v>0</v>
      </c>
      <c r="Q1162" s="38" t="n">
        <v>0</v>
      </c>
      <c r="R1162" s="38" t="n">
        <v>68.5444936355068</v>
      </c>
      <c r="S1162" s="37" t="n">
        <v>0</v>
      </c>
    </row>
    <row r="1163" customFormat="false" ht="15" hidden="false" customHeight="false" outlineLevel="0" collapsed="false">
      <c r="A1163" s="37" t="n">
        <v>5</v>
      </c>
      <c r="B1163" s="37" t="n">
        <v>0</v>
      </c>
      <c r="C1163" s="37" t="n">
        <v>5</v>
      </c>
      <c r="D1163" s="37" t="n">
        <v>0</v>
      </c>
      <c r="E1163" s="37" t="n">
        <v>0</v>
      </c>
      <c r="F1163" s="37" t="n">
        <v>20</v>
      </c>
      <c r="G1163" s="37" t="s">
        <v>197</v>
      </c>
      <c r="H1163" s="38" t="n">
        <v>198.649784956263</v>
      </c>
      <c r="I1163" s="38" t="n">
        <v>198.173960375546</v>
      </c>
      <c r="J1163" s="38" t="n">
        <v>205.107360457916</v>
      </c>
      <c r="K1163" s="38" t="n">
        <v>243.956330550098</v>
      </c>
      <c r="L1163" s="38" t="n">
        <v>201.366044905982</v>
      </c>
      <c r="M1163" s="38" t="n">
        <v>98.4757896848138</v>
      </c>
      <c r="N1163" s="38" t="n">
        <v>109.158803146986</v>
      </c>
      <c r="O1163" s="38" t="n">
        <v>65.0841626305505</v>
      </c>
      <c r="P1163" s="37" t="n">
        <v>0</v>
      </c>
      <c r="Q1163" s="38" t="n">
        <v>0</v>
      </c>
      <c r="R1163" s="38" t="n">
        <v>70.5</v>
      </c>
      <c r="S1163" s="37" t="n">
        <v>0</v>
      </c>
    </row>
    <row r="1164" customFormat="false" ht="15" hidden="false" customHeight="false" outlineLevel="0" collapsed="false">
      <c r="A1164" s="37" t="n">
        <v>5</v>
      </c>
      <c r="B1164" s="37" t="n">
        <v>0</v>
      </c>
      <c r="C1164" s="37" t="n">
        <v>5</v>
      </c>
      <c r="D1164" s="37" t="n">
        <v>0</v>
      </c>
      <c r="E1164" s="37" t="n">
        <v>0</v>
      </c>
      <c r="F1164" s="37" t="n">
        <v>20</v>
      </c>
      <c r="G1164" s="37" t="s">
        <v>196</v>
      </c>
      <c r="H1164" s="38" t="n">
        <v>198.649784956263</v>
      </c>
      <c r="I1164" s="38" t="n">
        <v>198.177056713585</v>
      </c>
      <c r="J1164" s="38" t="n">
        <v>205.83845664744</v>
      </c>
      <c r="K1164" s="38" t="n">
        <v>245.032495849582</v>
      </c>
      <c r="L1164" s="38" t="n">
        <v>208.993845055931</v>
      </c>
      <c r="M1164" s="38" t="n">
        <v>99.74312767476</v>
      </c>
      <c r="N1164" s="38" t="n">
        <v>116.453281361237</v>
      </c>
      <c r="O1164" s="38" t="n">
        <v>67.9622553052813</v>
      </c>
      <c r="P1164" s="37" t="n">
        <v>0</v>
      </c>
      <c r="Q1164" s="38" t="n">
        <v>0</v>
      </c>
      <c r="R1164" s="38" t="n">
        <v>69.6040571428571</v>
      </c>
      <c r="S1164" s="37" t="n">
        <v>0</v>
      </c>
    </row>
    <row r="1165" customFormat="false" ht="15" hidden="false" customHeight="false" outlineLevel="0" collapsed="false">
      <c r="A1165" s="37" t="n">
        <v>5</v>
      </c>
      <c r="B1165" s="37" t="n">
        <v>0</v>
      </c>
      <c r="C1165" s="37" t="n">
        <v>5</v>
      </c>
      <c r="D1165" s="37" t="n">
        <v>0</v>
      </c>
      <c r="E1165" s="37" t="n">
        <v>5</v>
      </c>
      <c r="F1165" s="37" t="n">
        <v>15</v>
      </c>
      <c r="G1165" s="37" t="s">
        <v>188</v>
      </c>
      <c r="H1165" s="38" t="n">
        <v>198.679368713994</v>
      </c>
      <c r="I1165" s="38" t="n">
        <v>198.530199242434</v>
      </c>
      <c r="J1165" s="38" t="n">
        <v>208.964296212269</v>
      </c>
      <c r="K1165" s="38" t="n">
        <v>250.664133962716</v>
      </c>
      <c r="L1165" s="38" t="n">
        <v>167.020005291056</v>
      </c>
      <c r="M1165" s="38" t="n">
        <v>102.598355773587</v>
      </c>
      <c r="N1165" s="38" t="n">
        <v>128.684440821441</v>
      </c>
      <c r="O1165" s="38" t="n">
        <v>71.6522448137737</v>
      </c>
      <c r="P1165" s="37" t="n">
        <v>0</v>
      </c>
      <c r="Q1165" s="38" t="n">
        <v>0</v>
      </c>
      <c r="R1165" s="38" t="n">
        <v>70.5</v>
      </c>
      <c r="S1165" s="37" t="n">
        <v>1</v>
      </c>
    </row>
    <row r="1166" customFormat="false" ht="15" hidden="false" customHeight="false" outlineLevel="0" collapsed="false">
      <c r="A1166" s="37" t="n">
        <v>5</v>
      </c>
      <c r="B1166" s="37" t="n">
        <v>0</v>
      </c>
      <c r="C1166" s="37" t="n">
        <v>5</v>
      </c>
      <c r="D1166" s="37" t="n">
        <v>0</v>
      </c>
      <c r="E1166" s="37" t="n">
        <v>5</v>
      </c>
      <c r="F1166" s="37" t="n">
        <v>15</v>
      </c>
      <c r="G1166" s="37" t="s">
        <v>192</v>
      </c>
      <c r="H1166" s="38" t="n">
        <v>198.679368713994</v>
      </c>
      <c r="I1166" s="38" t="n">
        <v>198.440610206855</v>
      </c>
      <c r="J1166" s="38" t="n">
        <v>208.758736055143</v>
      </c>
      <c r="K1166" s="38" t="n">
        <v>249.754198799267</v>
      </c>
      <c r="L1166" s="38" t="n">
        <v>168.330123462776</v>
      </c>
      <c r="M1166" s="38" t="n">
        <v>97.3579379347043</v>
      </c>
      <c r="N1166" s="38" t="n">
        <v>119.659531355972</v>
      </c>
      <c r="O1166" s="38" t="n">
        <v>66.2778989796939</v>
      </c>
      <c r="P1166" s="37" t="n">
        <v>0</v>
      </c>
      <c r="Q1166" s="38" t="n">
        <v>0</v>
      </c>
      <c r="R1166" s="38" t="n">
        <v>70.5</v>
      </c>
      <c r="S1166" s="37" t="n">
        <v>0</v>
      </c>
    </row>
    <row r="1167" customFormat="false" ht="15" hidden="false" customHeight="false" outlineLevel="0" collapsed="false">
      <c r="A1167" s="37" t="n">
        <v>5</v>
      </c>
      <c r="B1167" s="37" t="n">
        <v>0</v>
      </c>
      <c r="C1167" s="37" t="n">
        <v>5</v>
      </c>
      <c r="D1167" s="37" t="n">
        <v>0</v>
      </c>
      <c r="E1167" s="37" t="n">
        <v>5</v>
      </c>
      <c r="F1167" s="37" t="n">
        <v>15</v>
      </c>
      <c r="G1167" s="37" t="s">
        <v>195</v>
      </c>
      <c r="H1167" s="38" t="n">
        <v>198.679368713994</v>
      </c>
      <c r="I1167" s="38" t="n">
        <v>198.450887113438</v>
      </c>
      <c r="J1167" s="38" t="n">
        <v>204.106980547108</v>
      </c>
      <c r="K1167" s="38" t="n">
        <v>240.490836365485</v>
      </c>
      <c r="L1167" s="38" t="n">
        <v>161.662309274819</v>
      </c>
      <c r="M1167" s="38" t="n">
        <v>100.37927964802</v>
      </c>
      <c r="N1167" s="38" t="n">
        <v>114.771598434425</v>
      </c>
      <c r="O1167" s="38" t="n">
        <v>64.8108577146636</v>
      </c>
      <c r="P1167" s="37" t="n">
        <v>0</v>
      </c>
      <c r="Q1167" s="38" t="n">
        <v>0</v>
      </c>
      <c r="R1167" s="38" t="n">
        <v>68.5264418728002</v>
      </c>
      <c r="S1167" s="37" t="n">
        <v>0</v>
      </c>
    </row>
    <row r="1168" customFormat="false" ht="15" hidden="false" customHeight="false" outlineLevel="0" collapsed="false">
      <c r="A1168" s="37" t="n">
        <v>5</v>
      </c>
      <c r="B1168" s="37" t="n">
        <v>0</v>
      </c>
      <c r="C1168" s="37" t="n">
        <v>5</v>
      </c>
      <c r="D1168" s="37" t="n">
        <v>0</v>
      </c>
      <c r="E1168" s="37" t="n">
        <v>5</v>
      </c>
      <c r="F1168" s="37" t="n">
        <v>15</v>
      </c>
      <c r="G1168" s="37" t="s">
        <v>197</v>
      </c>
      <c r="H1168" s="38" t="n">
        <v>198.679368713994</v>
      </c>
      <c r="I1168" s="38" t="n">
        <v>198.450596076981</v>
      </c>
      <c r="J1168" s="38" t="n">
        <v>208.623868473377</v>
      </c>
      <c r="K1168" s="38" t="n">
        <v>249.752038366168</v>
      </c>
      <c r="L1168" s="38" t="n">
        <v>167.719372943099</v>
      </c>
      <c r="M1168" s="38" t="n">
        <v>103.20152838633</v>
      </c>
      <c r="N1168" s="38" t="n">
        <v>125.564027998618</v>
      </c>
      <c r="O1168" s="38" t="n">
        <v>70.4109692581029</v>
      </c>
      <c r="P1168" s="37" t="n">
        <v>0</v>
      </c>
      <c r="Q1168" s="38" t="n">
        <v>0</v>
      </c>
      <c r="R1168" s="38" t="n">
        <v>70.5</v>
      </c>
      <c r="S1168" s="37" t="n">
        <v>0</v>
      </c>
    </row>
    <row r="1169" customFormat="false" ht="15" hidden="false" customHeight="false" outlineLevel="0" collapsed="false">
      <c r="A1169" s="37" t="n">
        <v>5</v>
      </c>
      <c r="B1169" s="37" t="n">
        <v>0</v>
      </c>
      <c r="C1169" s="37" t="n">
        <v>5</v>
      </c>
      <c r="D1169" s="37" t="n">
        <v>0</v>
      </c>
      <c r="E1169" s="37" t="n">
        <v>5</v>
      </c>
      <c r="F1169" s="37" t="n">
        <v>15</v>
      </c>
      <c r="G1169" s="37" t="s">
        <v>196</v>
      </c>
      <c r="H1169" s="38" t="n">
        <v>198.679368713994</v>
      </c>
      <c r="I1169" s="38" t="n">
        <v>198.446861033999</v>
      </c>
      <c r="J1169" s="38" t="n">
        <v>208.543751103782</v>
      </c>
      <c r="K1169" s="38" t="n">
        <v>249.709539721368</v>
      </c>
      <c r="L1169" s="38" t="n">
        <v>173.33680198991</v>
      </c>
      <c r="M1169" s="38" t="n">
        <v>101.76129182395</v>
      </c>
      <c r="N1169" s="38" t="n">
        <v>124.681241387528</v>
      </c>
      <c r="O1169" s="38" t="n">
        <v>70.3901821177525</v>
      </c>
      <c r="P1169" s="37" t="n">
        <v>0</v>
      </c>
      <c r="Q1169" s="38" t="n">
        <v>0</v>
      </c>
      <c r="R1169" s="38" t="n">
        <v>69.5238762777833</v>
      </c>
      <c r="S1169" s="37" t="n">
        <v>0</v>
      </c>
    </row>
    <row r="1170" customFormat="false" ht="15" hidden="false" customHeight="false" outlineLevel="0" collapsed="false">
      <c r="A1170" s="37" t="n">
        <v>5</v>
      </c>
      <c r="B1170" s="37" t="n">
        <v>0</v>
      </c>
      <c r="C1170" s="37" t="n">
        <v>5</v>
      </c>
      <c r="D1170" s="37" t="n">
        <v>0</v>
      </c>
      <c r="E1170" s="37" t="n">
        <v>10</v>
      </c>
      <c r="F1170" s="37" t="n">
        <v>10</v>
      </c>
      <c r="G1170" s="37" t="s">
        <v>188</v>
      </c>
      <c r="H1170" s="38" t="n">
        <v>198.699902436882</v>
      </c>
      <c r="I1170" s="38" t="n">
        <v>198.737845221093</v>
      </c>
      <c r="J1170" s="38" t="n">
        <v>211.071002386392</v>
      </c>
      <c r="K1170" s="38" t="n">
        <v>254.075830762014</v>
      </c>
      <c r="L1170" s="38" t="n">
        <v>130.611564645259</v>
      </c>
      <c r="M1170" s="38" t="n">
        <v>103.645117542133</v>
      </c>
      <c r="N1170" s="38" t="n">
        <v>133.863941493071</v>
      </c>
      <c r="O1170" s="38" t="n">
        <v>71.7535000354931</v>
      </c>
      <c r="P1170" s="37" t="n">
        <v>0</v>
      </c>
      <c r="Q1170" s="38" t="n">
        <v>0</v>
      </c>
      <c r="R1170" s="38" t="n">
        <v>70.5</v>
      </c>
      <c r="S1170" s="37" t="n">
        <v>0</v>
      </c>
    </row>
    <row r="1171" customFormat="false" ht="15" hidden="false" customHeight="false" outlineLevel="0" collapsed="false">
      <c r="A1171" s="37" t="n">
        <v>5</v>
      </c>
      <c r="B1171" s="37" t="n">
        <v>0</v>
      </c>
      <c r="C1171" s="37" t="n">
        <v>5</v>
      </c>
      <c r="D1171" s="37" t="n">
        <v>0</v>
      </c>
      <c r="E1171" s="37" t="n">
        <v>10</v>
      </c>
      <c r="F1171" s="37" t="n">
        <v>10</v>
      </c>
      <c r="G1171" s="37" t="s">
        <v>192</v>
      </c>
      <c r="H1171" s="38" t="n">
        <v>198.699902436882</v>
      </c>
      <c r="I1171" s="38" t="n">
        <v>198.649892383877</v>
      </c>
      <c r="J1171" s="38" t="n">
        <v>210.631299916074</v>
      </c>
      <c r="K1171" s="38" t="n">
        <v>252.913735089083</v>
      </c>
      <c r="L1171" s="38" t="n">
        <v>131.46531569471</v>
      </c>
      <c r="M1171" s="38" t="n">
        <v>98.4436020037182</v>
      </c>
      <c r="N1171" s="38" t="n">
        <v>124.407757185594</v>
      </c>
      <c r="O1171" s="38" t="n">
        <v>66.4859057679432</v>
      </c>
      <c r="P1171" s="37" t="n">
        <v>0</v>
      </c>
      <c r="Q1171" s="38" t="n">
        <v>0</v>
      </c>
      <c r="R1171" s="38" t="n">
        <v>70.5</v>
      </c>
      <c r="S1171" s="37" t="n">
        <v>0</v>
      </c>
    </row>
    <row r="1172" customFormat="false" ht="15" hidden="false" customHeight="false" outlineLevel="0" collapsed="false">
      <c r="A1172" s="37" t="n">
        <v>5</v>
      </c>
      <c r="B1172" s="37" t="n">
        <v>0</v>
      </c>
      <c r="C1172" s="37" t="n">
        <v>5</v>
      </c>
      <c r="D1172" s="37" t="n">
        <v>0</v>
      </c>
      <c r="E1172" s="37" t="n">
        <v>10</v>
      </c>
      <c r="F1172" s="37" t="n">
        <v>10</v>
      </c>
      <c r="G1172" s="37" t="s">
        <v>195</v>
      </c>
      <c r="H1172" s="38" t="n">
        <v>198.699902436882</v>
      </c>
      <c r="I1172" s="38" t="n">
        <v>198.664072119881</v>
      </c>
      <c r="J1172" s="38" t="n">
        <v>205.92531618546</v>
      </c>
      <c r="K1172" s="38" t="n">
        <v>243.67368213579</v>
      </c>
      <c r="L1172" s="38" t="n">
        <v>124.775135723269</v>
      </c>
      <c r="M1172" s="38" t="n">
        <v>101.474678870884</v>
      </c>
      <c r="N1172" s="38" t="n">
        <v>119.577104461824</v>
      </c>
      <c r="O1172" s="38" t="n">
        <v>64.950442424428</v>
      </c>
      <c r="P1172" s="37" t="n">
        <v>0</v>
      </c>
      <c r="Q1172" s="38" t="n">
        <v>0</v>
      </c>
      <c r="R1172" s="38" t="n">
        <v>68.5054360762435</v>
      </c>
      <c r="S1172" s="37" t="n">
        <v>0</v>
      </c>
    </row>
    <row r="1173" customFormat="false" ht="15" hidden="false" customHeight="false" outlineLevel="0" collapsed="false">
      <c r="A1173" s="37" t="n">
        <v>5</v>
      </c>
      <c r="B1173" s="37" t="n">
        <v>0</v>
      </c>
      <c r="C1173" s="37" t="n">
        <v>5</v>
      </c>
      <c r="D1173" s="37" t="n">
        <v>0</v>
      </c>
      <c r="E1173" s="37" t="n">
        <v>10</v>
      </c>
      <c r="F1173" s="37" t="n">
        <v>10</v>
      </c>
      <c r="G1173" s="37" t="s">
        <v>197</v>
      </c>
      <c r="H1173" s="38" t="n">
        <v>198.699902436882</v>
      </c>
      <c r="I1173" s="38" t="n">
        <v>198.681468762167</v>
      </c>
      <c r="J1173" s="38" t="n">
        <v>211.569763570174</v>
      </c>
      <c r="K1173" s="38" t="n">
        <v>254.456604214619</v>
      </c>
      <c r="L1173" s="38" t="n">
        <v>133.12512353121</v>
      </c>
      <c r="M1173" s="38" t="n">
        <v>106.982337635074</v>
      </c>
      <c r="N1173" s="38" t="n">
        <v>139.032362891154</v>
      </c>
      <c r="O1173" s="38" t="n">
        <v>72.3830322059093</v>
      </c>
      <c r="P1173" s="37" t="n">
        <v>0</v>
      </c>
      <c r="Q1173" s="38" t="n">
        <v>0</v>
      </c>
      <c r="R1173" s="38" t="n">
        <v>70.5</v>
      </c>
      <c r="S1173" s="37" t="n">
        <v>1</v>
      </c>
    </row>
    <row r="1174" customFormat="false" ht="15" hidden="false" customHeight="false" outlineLevel="0" collapsed="false">
      <c r="A1174" s="37" t="n">
        <v>5</v>
      </c>
      <c r="B1174" s="37" t="n">
        <v>0</v>
      </c>
      <c r="C1174" s="37" t="n">
        <v>5</v>
      </c>
      <c r="D1174" s="37" t="n">
        <v>0</v>
      </c>
      <c r="E1174" s="37" t="n">
        <v>10</v>
      </c>
      <c r="F1174" s="37" t="n">
        <v>10</v>
      </c>
      <c r="G1174" s="37" t="s">
        <v>196</v>
      </c>
      <c r="H1174" s="38" t="n">
        <v>198.699902436882</v>
      </c>
      <c r="I1174" s="38" t="n">
        <v>198.659423750921</v>
      </c>
      <c r="J1174" s="38" t="n">
        <v>210.387101399107</v>
      </c>
      <c r="K1174" s="38" t="n">
        <v>252.918936573854</v>
      </c>
      <c r="L1174" s="38" t="n">
        <v>136.482801286996</v>
      </c>
      <c r="M1174" s="38" t="n">
        <v>103.380711772385</v>
      </c>
      <c r="N1174" s="38" t="n">
        <v>130.695342339017</v>
      </c>
      <c r="O1174" s="38" t="n">
        <v>71.2136029373181</v>
      </c>
      <c r="P1174" s="37" t="n">
        <v>0</v>
      </c>
      <c r="Q1174" s="38" t="n">
        <v>0</v>
      </c>
      <c r="R1174" s="38" t="n">
        <v>69.5086608644874</v>
      </c>
      <c r="S1174" s="37" t="n">
        <v>0</v>
      </c>
    </row>
    <row r="1175" customFormat="false" ht="15" hidden="false" customHeight="false" outlineLevel="0" collapsed="false">
      <c r="A1175" s="37" t="n">
        <v>5</v>
      </c>
      <c r="B1175" s="37" t="n">
        <v>0</v>
      </c>
      <c r="C1175" s="37" t="n">
        <v>5</v>
      </c>
      <c r="D1175" s="37" t="n">
        <v>0</v>
      </c>
      <c r="E1175" s="37" t="n">
        <v>15</v>
      </c>
      <c r="F1175" s="37" t="n">
        <v>5</v>
      </c>
      <c r="G1175" s="37" t="s">
        <v>188</v>
      </c>
      <c r="H1175" s="38" t="n">
        <v>198.719968566301</v>
      </c>
      <c r="I1175" s="38" t="n">
        <v>198.886779194454</v>
      </c>
      <c r="J1175" s="38" t="n">
        <v>212.388991218799</v>
      </c>
      <c r="K1175" s="38" t="n">
        <v>256.239317930146</v>
      </c>
      <c r="L1175" s="38" t="n">
        <v>92.9251877011338</v>
      </c>
      <c r="M1175" s="38" t="n">
        <v>104.437859013572</v>
      </c>
      <c r="N1175" s="38" t="n">
        <v>137.155117765537</v>
      </c>
      <c r="O1175" s="38" t="n">
        <v>71.0119133781339</v>
      </c>
      <c r="P1175" s="37" t="n">
        <v>0</v>
      </c>
      <c r="Q1175" s="38" t="n">
        <v>0</v>
      </c>
      <c r="R1175" s="38" t="n">
        <v>70.5</v>
      </c>
      <c r="S1175" s="37" t="n">
        <v>0</v>
      </c>
    </row>
    <row r="1176" customFormat="false" ht="15" hidden="false" customHeight="false" outlineLevel="0" collapsed="false">
      <c r="A1176" s="37" t="n">
        <v>5</v>
      </c>
      <c r="B1176" s="37" t="n">
        <v>0</v>
      </c>
      <c r="C1176" s="37" t="n">
        <v>5</v>
      </c>
      <c r="D1176" s="37" t="n">
        <v>0</v>
      </c>
      <c r="E1176" s="37" t="n">
        <v>15</v>
      </c>
      <c r="F1176" s="37" t="n">
        <v>5</v>
      </c>
      <c r="G1176" s="37" t="s">
        <v>192</v>
      </c>
      <c r="H1176" s="38" t="n">
        <v>198.719968566301</v>
      </c>
      <c r="I1176" s="38" t="n">
        <v>198.802119037237</v>
      </c>
      <c r="J1176" s="38" t="n">
        <v>211.764186066328</v>
      </c>
      <c r="K1176" s="38" t="n">
        <v>254.92949224079</v>
      </c>
      <c r="L1176" s="38" t="n">
        <v>93.4596611359027</v>
      </c>
      <c r="M1176" s="38" t="n">
        <v>99.2787511855004</v>
      </c>
      <c r="N1176" s="38" t="n">
        <v>127.424110934751</v>
      </c>
      <c r="O1176" s="38" t="n">
        <v>65.8651596200707</v>
      </c>
      <c r="P1176" s="37" t="n">
        <v>0</v>
      </c>
      <c r="Q1176" s="38" t="n">
        <v>0</v>
      </c>
      <c r="R1176" s="38" t="n">
        <v>70.5</v>
      </c>
      <c r="S1176" s="37" t="n">
        <v>0</v>
      </c>
    </row>
    <row r="1177" customFormat="false" ht="15" hidden="false" customHeight="false" outlineLevel="0" collapsed="false">
      <c r="A1177" s="37" t="n">
        <v>5</v>
      </c>
      <c r="B1177" s="37" t="n">
        <v>0</v>
      </c>
      <c r="C1177" s="37" t="n">
        <v>5</v>
      </c>
      <c r="D1177" s="37" t="n">
        <v>0</v>
      </c>
      <c r="E1177" s="37" t="n">
        <v>15</v>
      </c>
      <c r="F1177" s="37" t="n">
        <v>5</v>
      </c>
      <c r="G1177" s="37" t="s">
        <v>195</v>
      </c>
      <c r="H1177" s="38" t="n">
        <v>198.719968566301</v>
      </c>
      <c r="I1177" s="38" t="n">
        <v>198.820497588817</v>
      </c>
      <c r="J1177" s="38" t="n">
        <v>207.154320834885</v>
      </c>
      <c r="K1177" s="38" t="n">
        <v>245.829924428694</v>
      </c>
      <c r="L1177" s="38" t="n">
        <v>86.8704159716096</v>
      </c>
      <c r="M1177" s="38" t="n">
        <v>102.320395345176</v>
      </c>
      <c r="N1177" s="38" t="n">
        <v>122.846191562857</v>
      </c>
      <c r="O1177" s="38" t="n">
        <v>64.4675447996984</v>
      </c>
      <c r="P1177" s="37" t="n">
        <v>0</v>
      </c>
      <c r="Q1177" s="38" t="n">
        <v>0</v>
      </c>
      <c r="R1177" s="38" t="n">
        <v>68.4871474628745</v>
      </c>
      <c r="S1177" s="37" t="n">
        <v>0</v>
      </c>
    </row>
    <row r="1178" customFormat="false" ht="15" hidden="false" customHeight="false" outlineLevel="0" collapsed="false">
      <c r="A1178" s="37" t="n">
        <v>5</v>
      </c>
      <c r="B1178" s="37" t="n">
        <v>0</v>
      </c>
      <c r="C1178" s="37" t="n">
        <v>5</v>
      </c>
      <c r="D1178" s="37" t="n">
        <v>0</v>
      </c>
      <c r="E1178" s="37" t="n">
        <v>15</v>
      </c>
      <c r="F1178" s="37" t="n">
        <v>5</v>
      </c>
      <c r="G1178" s="37" t="s">
        <v>197</v>
      </c>
      <c r="H1178" s="38" t="n">
        <v>198.719968566301</v>
      </c>
      <c r="I1178" s="38" t="n">
        <v>198.851568867419</v>
      </c>
      <c r="J1178" s="38" t="n">
        <v>213.526039592276</v>
      </c>
      <c r="K1178" s="38" t="n">
        <v>257.645547283682</v>
      </c>
      <c r="L1178" s="38" t="n">
        <v>96.7772705693066</v>
      </c>
      <c r="M1178" s="38" t="n">
        <v>109.458025270815</v>
      </c>
      <c r="N1178" s="38" t="n">
        <v>144.375005555791</v>
      </c>
      <c r="O1178" s="38" t="n">
        <v>72.2930545967138</v>
      </c>
      <c r="P1178" s="37" t="n">
        <v>0</v>
      </c>
      <c r="Q1178" s="38" t="n">
        <v>0</v>
      </c>
      <c r="R1178" s="38" t="n">
        <v>70.5</v>
      </c>
      <c r="S1178" s="37" t="n">
        <v>1</v>
      </c>
    </row>
    <row r="1179" customFormat="false" ht="15" hidden="false" customHeight="false" outlineLevel="0" collapsed="false">
      <c r="A1179" s="37" t="n">
        <v>5</v>
      </c>
      <c r="B1179" s="37" t="n">
        <v>0</v>
      </c>
      <c r="C1179" s="37" t="n">
        <v>5</v>
      </c>
      <c r="D1179" s="37" t="n">
        <v>0</v>
      </c>
      <c r="E1179" s="37" t="n">
        <v>15</v>
      </c>
      <c r="F1179" s="37" t="n">
        <v>5</v>
      </c>
      <c r="G1179" s="37" t="s">
        <v>196</v>
      </c>
      <c r="H1179" s="38" t="n">
        <v>198.719968566301</v>
      </c>
      <c r="I1179" s="38" t="n">
        <v>198.81320962392</v>
      </c>
      <c r="J1179" s="38" t="n">
        <v>211.555255400781</v>
      </c>
      <c r="K1179" s="38" t="n">
        <v>255.010959041799</v>
      </c>
      <c r="L1179" s="38" t="n">
        <v>98.5111173642329</v>
      </c>
      <c r="M1179" s="38" t="n">
        <v>104.534433490421</v>
      </c>
      <c r="N1179" s="38" t="n">
        <v>133.926226070875</v>
      </c>
      <c r="O1179" s="38" t="n">
        <v>70.4728199389091</v>
      </c>
      <c r="P1179" s="37" t="n">
        <v>0</v>
      </c>
      <c r="Q1179" s="38" t="n">
        <v>0</v>
      </c>
      <c r="R1179" s="38" t="n">
        <v>69.4933713307174</v>
      </c>
      <c r="S1179" s="37" t="n">
        <v>0</v>
      </c>
    </row>
    <row r="1180" customFormat="false" ht="15" hidden="false" customHeight="false" outlineLevel="0" collapsed="false">
      <c r="A1180" s="37" t="n">
        <v>5</v>
      </c>
      <c r="B1180" s="37" t="n">
        <v>0</v>
      </c>
      <c r="C1180" s="37" t="n">
        <v>5</v>
      </c>
      <c r="D1180" s="37" t="n">
        <v>0</v>
      </c>
      <c r="E1180" s="37" t="n">
        <v>20</v>
      </c>
      <c r="F1180" s="37" t="n">
        <v>0</v>
      </c>
      <c r="G1180" s="37" t="s">
        <v>188</v>
      </c>
      <c r="H1180" s="38" t="n">
        <v>198.73568772222</v>
      </c>
      <c r="I1180" s="38" t="n">
        <v>198.993296161414</v>
      </c>
      <c r="J1180" s="38" t="n">
        <v>213.176853390746</v>
      </c>
      <c r="K1180" s="38" t="n">
        <v>257.607336224941</v>
      </c>
      <c r="L1180" s="38" t="n">
        <v>54.4181084057845</v>
      </c>
      <c r="M1180" s="38" t="n">
        <v>105.101271037243</v>
      </c>
      <c r="N1180" s="38" t="n">
        <v>139.32150946913</v>
      </c>
      <c r="O1180" s="38" t="n">
        <v>70.0701452097864</v>
      </c>
      <c r="P1180" s="37" t="n">
        <v>0</v>
      </c>
      <c r="Q1180" s="38" t="n">
        <v>0</v>
      </c>
      <c r="R1180" s="38" t="n">
        <v>70.5</v>
      </c>
      <c r="S1180" s="37" t="n">
        <v>0</v>
      </c>
    </row>
    <row r="1181" customFormat="false" ht="15" hidden="false" customHeight="false" outlineLevel="0" collapsed="false">
      <c r="A1181" s="37" t="n">
        <v>5</v>
      </c>
      <c r="B1181" s="37" t="n">
        <v>0</v>
      </c>
      <c r="C1181" s="37" t="n">
        <v>5</v>
      </c>
      <c r="D1181" s="37" t="n">
        <v>0</v>
      </c>
      <c r="E1181" s="37" t="n">
        <v>20</v>
      </c>
      <c r="F1181" s="37" t="n">
        <v>0</v>
      </c>
      <c r="G1181" s="37" t="s">
        <v>192</v>
      </c>
      <c r="H1181" s="38" t="n">
        <v>198.73568772222</v>
      </c>
      <c r="I1181" s="38" t="n">
        <v>198.911018361249</v>
      </c>
      <c r="J1181" s="38" t="n">
        <v>212.528809557021</v>
      </c>
      <c r="K1181" s="38" t="n">
        <v>256.282157092147</v>
      </c>
      <c r="L1181" s="38" t="n">
        <v>54.786307960222</v>
      </c>
      <c r="M1181" s="38" t="n">
        <v>99.9875502666194</v>
      </c>
      <c r="N1181" s="38" t="n">
        <v>129.619437147042</v>
      </c>
      <c r="O1181" s="38" t="n">
        <v>65.0759487602665</v>
      </c>
      <c r="P1181" s="37" t="n">
        <v>0</v>
      </c>
      <c r="Q1181" s="38" t="n">
        <v>0</v>
      </c>
      <c r="R1181" s="38" t="n">
        <v>70.5</v>
      </c>
      <c r="S1181" s="37" t="n">
        <v>0</v>
      </c>
    </row>
    <row r="1182" customFormat="false" ht="15" hidden="false" customHeight="false" outlineLevel="0" collapsed="false">
      <c r="A1182" s="37" t="n">
        <v>5</v>
      </c>
      <c r="B1182" s="37" t="n">
        <v>0</v>
      </c>
      <c r="C1182" s="37" t="n">
        <v>5</v>
      </c>
      <c r="D1182" s="37" t="n">
        <v>0</v>
      </c>
      <c r="E1182" s="37" t="n">
        <v>20</v>
      </c>
      <c r="F1182" s="37" t="n">
        <v>0</v>
      </c>
      <c r="G1182" s="37" t="s">
        <v>195</v>
      </c>
      <c r="H1182" s="38" t="n">
        <v>198.73568772222</v>
      </c>
      <c r="I1182" s="38" t="n">
        <v>198.93326068287</v>
      </c>
      <c r="J1182" s="38" t="n">
        <v>207.99620558286</v>
      </c>
      <c r="K1182" s="38" t="n">
        <v>247.283113411215</v>
      </c>
      <c r="L1182" s="38" t="n">
        <v>48.2583054495701</v>
      </c>
      <c r="M1182" s="38" t="n">
        <v>103.038834489323</v>
      </c>
      <c r="N1182" s="38" t="n">
        <v>125.151731688097</v>
      </c>
      <c r="O1182" s="38" t="n">
        <v>63.7779658881205</v>
      </c>
      <c r="P1182" s="37" t="n">
        <v>0</v>
      </c>
      <c r="Q1182" s="38" t="n">
        <v>0</v>
      </c>
      <c r="R1182" s="38" t="n">
        <v>68.4675576115065</v>
      </c>
      <c r="S1182" s="37" t="n">
        <v>0</v>
      </c>
    </row>
    <row r="1183" customFormat="false" ht="15" hidden="false" customHeight="false" outlineLevel="0" collapsed="false">
      <c r="A1183" s="37" t="n">
        <v>5</v>
      </c>
      <c r="B1183" s="37" t="n">
        <v>0</v>
      </c>
      <c r="C1183" s="37" t="n">
        <v>5</v>
      </c>
      <c r="D1183" s="37" t="n">
        <v>0</v>
      </c>
      <c r="E1183" s="37" t="n">
        <v>20</v>
      </c>
      <c r="F1183" s="37" t="n">
        <v>0</v>
      </c>
      <c r="G1183" s="37" t="s">
        <v>197</v>
      </c>
      <c r="H1183" s="38" t="n">
        <v>198.73568772222</v>
      </c>
      <c r="I1183" s="38" t="n">
        <v>198.982002840189</v>
      </c>
      <c r="J1183" s="38" t="n">
        <v>213.446873581075</v>
      </c>
      <c r="K1183" s="38" t="n">
        <v>258.077680385459</v>
      </c>
      <c r="L1183" s="38" t="n">
        <v>66.5776803854591</v>
      </c>
      <c r="M1183" s="38" t="n">
        <v>111.749500543697</v>
      </c>
      <c r="N1183" s="38" t="n">
        <v>143.80374604875</v>
      </c>
      <c r="O1183" s="38" t="n">
        <v>71.1380051340154</v>
      </c>
      <c r="P1183" s="37" t="n">
        <v>0</v>
      </c>
      <c r="Q1183" s="38" t="n">
        <v>0</v>
      </c>
      <c r="R1183" s="38" t="n">
        <v>70.5</v>
      </c>
      <c r="S1183" s="37" t="n">
        <v>1</v>
      </c>
    </row>
    <row r="1184" customFormat="false" ht="15" hidden="false" customHeight="false" outlineLevel="0" collapsed="false">
      <c r="A1184" s="37" t="n">
        <v>5</v>
      </c>
      <c r="B1184" s="37" t="n">
        <v>0</v>
      </c>
      <c r="C1184" s="37" t="n">
        <v>5</v>
      </c>
      <c r="D1184" s="37" t="n">
        <v>0</v>
      </c>
      <c r="E1184" s="37" t="n">
        <v>20</v>
      </c>
      <c r="F1184" s="37" t="n">
        <v>0</v>
      </c>
      <c r="G1184" s="37" t="s">
        <v>196</v>
      </c>
      <c r="H1184" s="38" t="n">
        <v>198.73568772222</v>
      </c>
      <c r="I1184" s="38" t="n">
        <v>198.923813110057</v>
      </c>
      <c r="J1184" s="38" t="n">
        <v>212.342702763696</v>
      </c>
      <c r="K1184" s="38" t="n">
        <v>256.424706822103</v>
      </c>
      <c r="L1184" s="38" t="n">
        <v>59.8438110638837</v>
      </c>
      <c r="M1184" s="38" t="n">
        <v>105.546771799294</v>
      </c>
      <c r="N1184" s="38" t="n">
        <v>136.160859265742</v>
      </c>
      <c r="O1184" s="38" t="n">
        <v>69.5027328896659</v>
      </c>
      <c r="P1184" s="37" t="n">
        <v>0</v>
      </c>
      <c r="Q1184" s="38" t="n">
        <v>0</v>
      </c>
      <c r="R1184" s="38" t="n">
        <v>69.4739183513608</v>
      </c>
      <c r="S1184" s="37" t="n">
        <v>0</v>
      </c>
    </row>
    <row r="1185" customFormat="false" ht="15" hidden="false" customHeight="false" outlineLevel="0" collapsed="false">
      <c r="A1185" s="37" t="n">
        <v>5</v>
      </c>
      <c r="B1185" s="37" t="n">
        <v>0</v>
      </c>
      <c r="C1185" s="37" t="n">
        <v>5</v>
      </c>
      <c r="D1185" s="37" t="n">
        <v>5</v>
      </c>
      <c r="E1185" s="37" t="n">
        <v>0</v>
      </c>
      <c r="F1185" s="37" t="n">
        <v>15</v>
      </c>
      <c r="G1185" s="37" t="s">
        <v>188</v>
      </c>
      <c r="H1185" s="38" t="n">
        <v>198.873210142028</v>
      </c>
      <c r="I1185" s="38" t="n">
        <v>199.8640205067</v>
      </c>
      <c r="J1185" s="38" t="n">
        <v>216.975643245565</v>
      </c>
      <c r="K1185" s="38" t="n">
        <v>253.376143320638</v>
      </c>
      <c r="L1185" s="38" t="n">
        <v>170.609749990097</v>
      </c>
      <c r="M1185" s="38" t="n">
        <v>103.450168721225</v>
      </c>
      <c r="N1185" s="38" t="n">
        <v>133.695042590867</v>
      </c>
      <c r="O1185" s="38" t="n">
        <v>79.1663036164832</v>
      </c>
      <c r="P1185" s="37" t="n">
        <v>0</v>
      </c>
      <c r="Q1185" s="38" t="n">
        <v>0</v>
      </c>
      <c r="R1185" s="38" t="n">
        <v>72</v>
      </c>
      <c r="S1185" s="37" t="n">
        <v>1</v>
      </c>
    </row>
    <row r="1186" customFormat="false" ht="15" hidden="false" customHeight="false" outlineLevel="0" collapsed="false">
      <c r="A1186" s="37" t="n">
        <v>5</v>
      </c>
      <c r="B1186" s="37" t="n">
        <v>0</v>
      </c>
      <c r="C1186" s="37" t="n">
        <v>5</v>
      </c>
      <c r="D1186" s="37" t="n">
        <v>5</v>
      </c>
      <c r="E1186" s="37" t="n">
        <v>0</v>
      </c>
      <c r="F1186" s="37" t="n">
        <v>15</v>
      </c>
      <c r="G1186" s="37" t="s">
        <v>192</v>
      </c>
      <c r="H1186" s="38" t="n">
        <v>198.873210142028</v>
      </c>
      <c r="I1186" s="38" t="n">
        <v>199.762382352084</v>
      </c>
      <c r="J1186" s="38" t="n">
        <v>216.147486753704</v>
      </c>
      <c r="K1186" s="38" t="n">
        <v>251.627881667707</v>
      </c>
      <c r="L1186" s="38" t="n">
        <v>170.652124425577</v>
      </c>
      <c r="M1186" s="38" t="n">
        <v>98.1656922397015</v>
      </c>
      <c r="N1186" s="38" t="n">
        <v>123.823217893685</v>
      </c>
      <c r="O1186" s="38" t="n">
        <v>73.0107769495956</v>
      </c>
      <c r="P1186" s="37" t="n">
        <v>0</v>
      </c>
      <c r="Q1186" s="38" t="n">
        <v>0</v>
      </c>
      <c r="R1186" s="38" t="n">
        <v>72</v>
      </c>
      <c r="S1186" s="37" t="n">
        <v>0</v>
      </c>
    </row>
    <row r="1187" customFormat="false" ht="15" hidden="false" customHeight="false" outlineLevel="0" collapsed="false">
      <c r="A1187" s="37" t="n">
        <v>5</v>
      </c>
      <c r="B1187" s="37" t="n">
        <v>0</v>
      </c>
      <c r="C1187" s="37" t="n">
        <v>5</v>
      </c>
      <c r="D1187" s="37" t="n">
        <v>5</v>
      </c>
      <c r="E1187" s="37" t="n">
        <v>0</v>
      </c>
      <c r="F1187" s="37" t="n">
        <v>15</v>
      </c>
      <c r="G1187" s="37" t="s">
        <v>195</v>
      </c>
      <c r="H1187" s="38" t="n">
        <v>198.873210142028</v>
      </c>
      <c r="I1187" s="38" t="n">
        <v>199.842565590674</v>
      </c>
      <c r="J1187" s="38" t="n">
        <v>215.018251575006</v>
      </c>
      <c r="K1187" s="38" t="n">
        <v>247.89008718583</v>
      </c>
      <c r="L1187" s="38" t="n">
        <v>170.564377421513</v>
      </c>
      <c r="M1187" s="38" t="n">
        <v>102.947043509268</v>
      </c>
      <c r="N1187" s="38" t="n">
        <v>128.298879966254</v>
      </c>
      <c r="O1187" s="38" t="n">
        <v>75.4372797200266</v>
      </c>
      <c r="P1187" s="37" t="n">
        <v>0</v>
      </c>
      <c r="Q1187" s="38" t="n">
        <v>0</v>
      </c>
      <c r="R1187" s="38" t="n">
        <v>70.4772870707047</v>
      </c>
      <c r="S1187" s="37" t="n">
        <v>0</v>
      </c>
    </row>
    <row r="1188" customFormat="false" ht="15" hidden="false" customHeight="false" outlineLevel="0" collapsed="false">
      <c r="A1188" s="37" t="n">
        <v>5</v>
      </c>
      <c r="B1188" s="37" t="n">
        <v>0</v>
      </c>
      <c r="C1188" s="37" t="n">
        <v>5</v>
      </c>
      <c r="D1188" s="37" t="n">
        <v>5</v>
      </c>
      <c r="E1188" s="37" t="n">
        <v>0</v>
      </c>
      <c r="F1188" s="37" t="n">
        <v>15</v>
      </c>
      <c r="G1188" s="37" t="s">
        <v>197</v>
      </c>
      <c r="H1188" s="38" t="n">
        <v>198.873210142028</v>
      </c>
      <c r="I1188" s="38" t="n">
        <v>199.761055810209</v>
      </c>
      <c r="J1188" s="38" t="n">
        <v>215.27800246332</v>
      </c>
      <c r="K1188" s="38" t="n">
        <v>250.517874891481</v>
      </c>
      <c r="L1188" s="38" t="n">
        <v>168.190697107029</v>
      </c>
      <c r="M1188" s="38" t="n">
        <v>100.623336015548</v>
      </c>
      <c r="N1188" s="38" t="n">
        <v>120.106053871348</v>
      </c>
      <c r="O1188" s="38" t="n">
        <v>73.2833494444234</v>
      </c>
      <c r="P1188" s="37" t="n">
        <v>0</v>
      </c>
      <c r="Q1188" s="38" t="n">
        <v>0</v>
      </c>
      <c r="R1188" s="38" t="n">
        <v>72</v>
      </c>
      <c r="S1188" s="37" t="n">
        <v>0</v>
      </c>
    </row>
    <row r="1189" customFormat="false" ht="15" hidden="false" customHeight="false" outlineLevel="0" collapsed="false">
      <c r="A1189" s="37" t="n">
        <v>5</v>
      </c>
      <c r="B1189" s="37" t="n">
        <v>0</v>
      </c>
      <c r="C1189" s="37" t="n">
        <v>5</v>
      </c>
      <c r="D1189" s="37" t="n">
        <v>5</v>
      </c>
      <c r="E1189" s="37" t="n">
        <v>0</v>
      </c>
      <c r="F1189" s="37" t="n">
        <v>15</v>
      </c>
      <c r="G1189" s="37" t="s">
        <v>196</v>
      </c>
      <c r="H1189" s="38" t="n">
        <v>198.873210142028</v>
      </c>
      <c r="I1189" s="38" t="n">
        <v>199.764865306627</v>
      </c>
      <c r="J1189" s="38" t="n">
        <v>216.025201514601</v>
      </c>
      <c r="K1189" s="38" t="n">
        <v>251.580809017704</v>
      </c>
      <c r="L1189" s="38" t="n">
        <v>175.541795463894</v>
      </c>
      <c r="M1189" s="38" t="n">
        <v>102.525488118856</v>
      </c>
      <c r="N1189" s="38" t="n">
        <v>128.734856147852</v>
      </c>
      <c r="O1189" s="38" t="n">
        <v>75.8268478686284</v>
      </c>
      <c r="P1189" s="37" t="n">
        <v>0</v>
      </c>
      <c r="Q1189" s="38" t="n">
        <v>0</v>
      </c>
      <c r="R1189" s="38" t="n">
        <v>71.103970080419</v>
      </c>
      <c r="S1189" s="37" t="n">
        <v>0</v>
      </c>
    </row>
    <row r="1190" customFormat="false" ht="15" hidden="false" customHeight="false" outlineLevel="0" collapsed="false">
      <c r="A1190" s="37" t="n">
        <v>5</v>
      </c>
      <c r="B1190" s="37" t="n">
        <v>0</v>
      </c>
      <c r="C1190" s="37" t="n">
        <v>5</v>
      </c>
      <c r="D1190" s="37" t="n">
        <v>5</v>
      </c>
      <c r="E1190" s="37" t="n">
        <v>5</v>
      </c>
      <c r="F1190" s="37" t="n">
        <v>10</v>
      </c>
      <c r="G1190" s="37" t="s">
        <v>188</v>
      </c>
      <c r="H1190" s="38" t="n">
        <v>198.880160412996</v>
      </c>
      <c r="I1190" s="38" t="n">
        <v>199.970237041566</v>
      </c>
      <c r="J1190" s="38" t="n">
        <v>219.625782001613</v>
      </c>
      <c r="K1190" s="38" t="n">
        <v>256.970918349694</v>
      </c>
      <c r="L1190" s="38" t="n">
        <v>134.356576932359</v>
      </c>
      <c r="M1190" s="38" t="n">
        <v>104.364820757266</v>
      </c>
      <c r="N1190" s="38" t="n">
        <v>140.14062056777</v>
      </c>
      <c r="O1190" s="38" t="n">
        <v>79.4522584931917</v>
      </c>
      <c r="P1190" s="37" t="n">
        <v>0</v>
      </c>
      <c r="Q1190" s="38" t="n">
        <v>0</v>
      </c>
      <c r="R1190" s="38" t="n">
        <v>72</v>
      </c>
      <c r="S1190" s="37" t="n">
        <v>1</v>
      </c>
    </row>
    <row r="1191" customFormat="false" ht="15" hidden="false" customHeight="false" outlineLevel="0" collapsed="false">
      <c r="A1191" s="37" t="n">
        <v>5</v>
      </c>
      <c r="B1191" s="37" t="n">
        <v>0</v>
      </c>
      <c r="C1191" s="37" t="n">
        <v>5</v>
      </c>
      <c r="D1191" s="37" t="n">
        <v>5</v>
      </c>
      <c r="E1191" s="37" t="n">
        <v>5</v>
      </c>
      <c r="F1191" s="37" t="n">
        <v>10</v>
      </c>
      <c r="G1191" s="37" t="s">
        <v>192</v>
      </c>
      <c r="H1191" s="38" t="n">
        <v>198.880160412996</v>
      </c>
      <c r="I1191" s="38" t="n">
        <v>199.865238652154</v>
      </c>
      <c r="J1191" s="38" t="n">
        <v>218.390502928763</v>
      </c>
      <c r="K1191" s="38" t="n">
        <v>254.68605516061</v>
      </c>
      <c r="L1191" s="38" t="n">
        <v>133.657252035842</v>
      </c>
      <c r="M1191" s="38" t="n">
        <v>99.1247257904365</v>
      </c>
      <c r="N1191" s="38" t="n">
        <v>129.643529213557</v>
      </c>
      <c r="O1191" s="38" t="n">
        <v>73.3100404623139</v>
      </c>
      <c r="P1191" s="37" t="n">
        <v>0</v>
      </c>
      <c r="Q1191" s="38" t="n">
        <v>0</v>
      </c>
      <c r="R1191" s="38" t="n">
        <v>72</v>
      </c>
      <c r="S1191" s="37" t="n">
        <v>0</v>
      </c>
    </row>
    <row r="1192" customFormat="false" ht="15" hidden="false" customHeight="false" outlineLevel="0" collapsed="false">
      <c r="A1192" s="37" t="n">
        <v>5</v>
      </c>
      <c r="B1192" s="37" t="n">
        <v>0</v>
      </c>
      <c r="C1192" s="37" t="n">
        <v>5</v>
      </c>
      <c r="D1192" s="37" t="n">
        <v>5</v>
      </c>
      <c r="E1192" s="37" t="n">
        <v>5</v>
      </c>
      <c r="F1192" s="37" t="n">
        <v>10</v>
      </c>
      <c r="G1192" s="37" t="s">
        <v>195</v>
      </c>
      <c r="H1192" s="38" t="n">
        <v>198.880160412996</v>
      </c>
      <c r="I1192" s="38" t="n">
        <v>199.956959016631</v>
      </c>
      <c r="J1192" s="38" t="n">
        <v>217.570052756987</v>
      </c>
      <c r="K1192" s="38" t="n">
        <v>251.437419821964</v>
      </c>
      <c r="L1192" s="38" t="n">
        <v>134.048082332771</v>
      </c>
      <c r="M1192" s="38" t="n">
        <v>103.890788093986</v>
      </c>
      <c r="N1192" s="38" t="n">
        <v>134.666712070225</v>
      </c>
      <c r="O1192" s="38" t="n">
        <v>76.0727845727958</v>
      </c>
      <c r="P1192" s="37" t="n">
        <v>0</v>
      </c>
      <c r="Q1192" s="38" t="n">
        <v>0</v>
      </c>
      <c r="R1192" s="38" t="n">
        <v>70.4581987532422</v>
      </c>
      <c r="S1192" s="37" t="n">
        <v>0</v>
      </c>
    </row>
    <row r="1193" customFormat="false" ht="15" hidden="false" customHeight="false" outlineLevel="0" collapsed="false">
      <c r="A1193" s="37" t="n">
        <v>5</v>
      </c>
      <c r="B1193" s="37" t="n">
        <v>0</v>
      </c>
      <c r="C1193" s="37" t="n">
        <v>5</v>
      </c>
      <c r="D1193" s="37" t="n">
        <v>5</v>
      </c>
      <c r="E1193" s="37" t="n">
        <v>5</v>
      </c>
      <c r="F1193" s="37" t="n">
        <v>10</v>
      </c>
      <c r="G1193" s="37" t="s">
        <v>197</v>
      </c>
      <c r="H1193" s="38" t="n">
        <v>198.880160412996</v>
      </c>
      <c r="I1193" s="38" t="n">
        <v>199.877472272172</v>
      </c>
      <c r="J1193" s="38" t="n">
        <v>218.375184882225</v>
      </c>
      <c r="K1193" s="38" t="n">
        <v>254.847134640087</v>
      </c>
      <c r="L1193" s="38" t="n">
        <v>133.05242553497</v>
      </c>
      <c r="M1193" s="38" t="n">
        <v>104.953127644171</v>
      </c>
      <c r="N1193" s="38" t="n">
        <v>135.799310368341</v>
      </c>
      <c r="O1193" s="38" t="n">
        <v>77.7907418288582</v>
      </c>
      <c r="P1193" s="37" t="n">
        <v>0</v>
      </c>
      <c r="Q1193" s="38" t="n">
        <v>0</v>
      </c>
      <c r="R1193" s="38" t="n">
        <v>72</v>
      </c>
      <c r="S1193" s="37" t="n">
        <v>0</v>
      </c>
    </row>
    <row r="1194" customFormat="false" ht="15" hidden="false" customHeight="false" outlineLevel="0" collapsed="false">
      <c r="A1194" s="37" t="n">
        <v>5</v>
      </c>
      <c r="B1194" s="37" t="n">
        <v>0</v>
      </c>
      <c r="C1194" s="37" t="n">
        <v>5</v>
      </c>
      <c r="D1194" s="37" t="n">
        <v>5</v>
      </c>
      <c r="E1194" s="37" t="n">
        <v>5</v>
      </c>
      <c r="F1194" s="37" t="n">
        <v>10</v>
      </c>
      <c r="G1194" s="37" t="s">
        <v>196</v>
      </c>
      <c r="H1194" s="38" t="n">
        <v>198.880160412996</v>
      </c>
      <c r="I1194" s="38" t="n">
        <v>199.874632928754</v>
      </c>
      <c r="J1194" s="38" t="n">
        <v>218.244502125261</v>
      </c>
      <c r="K1194" s="38" t="n">
        <v>254.731548934668</v>
      </c>
      <c r="L1194" s="38" t="n">
        <v>138.35194311413</v>
      </c>
      <c r="M1194" s="38" t="n">
        <v>104.154626489529</v>
      </c>
      <c r="N1194" s="38" t="n">
        <v>136.188042914454</v>
      </c>
      <c r="O1194" s="38" t="n">
        <v>77.5757495098676</v>
      </c>
      <c r="P1194" s="37" t="n">
        <v>0</v>
      </c>
      <c r="Q1194" s="38" t="n">
        <v>0</v>
      </c>
      <c r="R1194" s="38" t="n">
        <v>71.022227936404</v>
      </c>
      <c r="S1194" s="37" t="n">
        <v>0</v>
      </c>
    </row>
    <row r="1195" customFormat="false" ht="15" hidden="false" customHeight="false" outlineLevel="0" collapsed="false">
      <c r="A1195" s="37" t="n">
        <v>5</v>
      </c>
      <c r="B1195" s="37" t="n">
        <v>0</v>
      </c>
      <c r="C1195" s="37" t="n">
        <v>5</v>
      </c>
      <c r="D1195" s="37" t="n">
        <v>5</v>
      </c>
      <c r="E1195" s="37" t="n">
        <v>10</v>
      </c>
      <c r="F1195" s="37" t="n">
        <v>5</v>
      </c>
      <c r="G1195" s="37" t="s">
        <v>188</v>
      </c>
      <c r="H1195" s="38" t="n">
        <v>198.896916846217</v>
      </c>
      <c r="I1195" s="38" t="n">
        <v>200.179650673368</v>
      </c>
      <c r="J1195" s="38" t="n">
        <v>221.972470944974</v>
      </c>
      <c r="K1195" s="38" t="n">
        <v>260.608014126996</v>
      </c>
      <c r="L1195" s="38" t="n">
        <v>98.1586654757452</v>
      </c>
      <c r="M1195" s="38" t="n">
        <v>105.404594147297</v>
      </c>
      <c r="N1195" s="38" t="n">
        <v>145.512926960841</v>
      </c>
      <c r="O1195" s="38" t="n">
        <v>79.0272722118264</v>
      </c>
      <c r="P1195" s="37" t="n">
        <v>0</v>
      </c>
      <c r="Q1195" s="38" t="n">
        <v>0</v>
      </c>
      <c r="R1195" s="38" t="n">
        <v>72</v>
      </c>
      <c r="S1195" s="37" t="n">
        <v>0</v>
      </c>
    </row>
    <row r="1196" customFormat="false" ht="15" hidden="false" customHeight="false" outlineLevel="0" collapsed="false">
      <c r="A1196" s="37" t="n">
        <v>5</v>
      </c>
      <c r="B1196" s="37" t="n">
        <v>0</v>
      </c>
      <c r="C1196" s="37" t="n">
        <v>5</v>
      </c>
      <c r="D1196" s="37" t="n">
        <v>5</v>
      </c>
      <c r="E1196" s="37" t="n">
        <v>10</v>
      </c>
      <c r="F1196" s="37" t="n">
        <v>5</v>
      </c>
      <c r="G1196" s="37" t="s">
        <v>192</v>
      </c>
      <c r="H1196" s="38" t="n">
        <v>198.896916846217</v>
      </c>
      <c r="I1196" s="38" t="n">
        <v>200.076460124817</v>
      </c>
      <c r="J1196" s="38" t="n">
        <v>220.462598082467</v>
      </c>
      <c r="K1196" s="38" t="n">
        <v>258.027363216604</v>
      </c>
      <c r="L1196" s="38" t="n">
        <v>96.9638774130474</v>
      </c>
      <c r="M1196" s="38" t="n">
        <v>100.205973315467</v>
      </c>
      <c r="N1196" s="38" t="n">
        <v>134.5891929325</v>
      </c>
      <c r="O1196" s="38" t="n">
        <v>72.9464354660383</v>
      </c>
      <c r="P1196" s="37" t="n">
        <v>0</v>
      </c>
      <c r="Q1196" s="38" t="n">
        <v>0</v>
      </c>
      <c r="R1196" s="38" t="n">
        <v>72</v>
      </c>
      <c r="S1196" s="37" t="n">
        <v>0</v>
      </c>
    </row>
    <row r="1197" customFormat="false" ht="15" hidden="false" customHeight="false" outlineLevel="0" collapsed="false">
      <c r="A1197" s="37" t="n">
        <v>5</v>
      </c>
      <c r="B1197" s="37" t="n">
        <v>0</v>
      </c>
      <c r="C1197" s="37" t="n">
        <v>5</v>
      </c>
      <c r="D1197" s="37" t="n">
        <v>5</v>
      </c>
      <c r="E1197" s="37" t="n">
        <v>10</v>
      </c>
      <c r="F1197" s="37" t="n">
        <v>5</v>
      </c>
      <c r="G1197" s="37" t="s">
        <v>195</v>
      </c>
      <c r="H1197" s="38" t="n">
        <v>198.896916846217</v>
      </c>
      <c r="I1197" s="38" t="n">
        <v>200.177443965845</v>
      </c>
      <c r="J1197" s="38" t="n">
        <v>219.846402004043</v>
      </c>
      <c r="K1197" s="38" t="n">
        <v>255.066242690999</v>
      </c>
      <c r="L1197" s="38" t="n">
        <v>97.615539254567</v>
      </c>
      <c r="M1197" s="38" t="n">
        <v>104.966535352978</v>
      </c>
      <c r="N1197" s="38" t="n">
        <v>139.966673757079</v>
      </c>
      <c r="O1197" s="38" t="n">
        <v>75.9209756197757</v>
      </c>
      <c r="P1197" s="37" t="n">
        <v>0</v>
      </c>
      <c r="Q1197" s="38" t="n">
        <v>0</v>
      </c>
      <c r="R1197" s="38" t="n">
        <v>70.4397889690704</v>
      </c>
      <c r="S1197" s="37" t="n">
        <v>0</v>
      </c>
    </row>
    <row r="1198" customFormat="false" ht="15" hidden="false" customHeight="false" outlineLevel="0" collapsed="false">
      <c r="A1198" s="37" t="n">
        <v>5</v>
      </c>
      <c r="B1198" s="37" t="n">
        <v>0</v>
      </c>
      <c r="C1198" s="37" t="n">
        <v>5</v>
      </c>
      <c r="D1198" s="37" t="n">
        <v>5</v>
      </c>
      <c r="E1198" s="37" t="n">
        <v>10</v>
      </c>
      <c r="F1198" s="37" t="n">
        <v>5</v>
      </c>
      <c r="G1198" s="37" t="s">
        <v>197</v>
      </c>
      <c r="H1198" s="38" t="n">
        <v>198.896916846217</v>
      </c>
      <c r="I1198" s="38" t="n">
        <v>200.112247703393</v>
      </c>
      <c r="J1198" s="38" t="n">
        <v>221.666528673905</v>
      </c>
      <c r="K1198" s="38" t="n">
        <v>259.90210169847</v>
      </c>
      <c r="L1198" s="38" t="n">
        <v>98.7932772624141</v>
      </c>
      <c r="M1198" s="38" t="n">
        <v>108.67583228344</v>
      </c>
      <c r="N1198" s="38" t="n">
        <v>149.542849674438</v>
      </c>
      <c r="O1198" s="38" t="n">
        <v>79.2788646793503</v>
      </c>
      <c r="P1198" s="37" t="n">
        <v>0</v>
      </c>
      <c r="Q1198" s="38" t="n">
        <v>0</v>
      </c>
      <c r="R1198" s="38" t="n">
        <v>72</v>
      </c>
      <c r="S1198" s="37" t="n">
        <v>1</v>
      </c>
    </row>
    <row r="1199" customFormat="false" ht="15" hidden="false" customHeight="false" outlineLevel="0" collapsed="false">
      <c r="A1199" s="37" t="n">
        <v>5</v>
      </c>
      <c r="B1199" s="37" t="n">
        <v>0</v>
      </c>
      <c r="C1199" s="37" t="n">
        <v>5</v>
      </c>
      <c r="D1199" s="37" t="n">
        <v>5</v>
      </c>
      <c r="E1199" s="37" t="n">
        <v>10</v>
      </c>
      <c r="F1199" s="37" t="n">
        <v>5</v>
      </c>
      <c r="G1199" s="37" t="s">
        <v>196</v>
      </c>
      <c r="H1199" s="38" t="n">
        <v>198.896916846217</v>
      </c>
      <c r="I1199" s="38" t="n">
        <v>200.08937166798</v>
      </c>
      <c r="J1199" s="38" t="n">
        <v>220.414671452011</v>
      </c>
      <c r="K1199" s="38" t="n">
        <v>258.252937582395</v>
      </c>
      <c r="L1199" s="38" t="n">
        <v>101.830340935734</v>
      </c>
      <c r="M1199" s="38" t="n">
        <v>105.746064618058</v>
      </c>
      <c r="N1199" s="38" t="n">
        <v>142.570314072938</v>
      </c>
      <c r="O1199" s="38" t="n">
        <v>77.7206348086062</v>
      </c>
      <c r="P1199" s="37" t="n">
        <v>0</v>
      </c>
      <c r="Q1199" s="38" t="n">
        <v>0</v>
      </c>
      <c r="R1199" s="38" t="n">
        <v>71.0119101381346</v>
      </c>
      <c r="S1199" s="37" t="n">
        <v>0</v>
      </c>
    </row>
    <row r="1200" customFormat="false" ht="15" hidden="false" customHeight="false" outlineLevel="0" collapsed="false">
      <c r="A1200" s="37" t="n">
        <v>5</v>
      </c>
      <c r="B1200" s="37" t="n">
        <v>0</v>
      </c>
      <c r="C1200" s="37" t="n">
        <v>5</v>
      </c>
      <c r="D1200" s="37" t="n">
        <v>5</v>
      </c>
      <c r="E1200" s="37" t="n">
        <v>15</v>
      </c>
      <c r="F1200" s="37" t="n">
        <v>0</v>
      </c>
      <c r="G1200" s="37" t="s">
        <v>188</v>
      </c>
      <c r="H1200" s="38" t="n">
        <v>198.898378390968</v>
      </c>
      <c r="I1200" s="38" t="n">
        <v>200.219526376011</v>
      </c>
      <c r="J1200" s="38" t="n">
        <v>222.969947639244</v>
      </c>
      <c r="K1200" s="38" t="n">
        <v>261.803317447468</v>
      </c>
      <c r="L1200" s="38" t="n">
        <v>59.4500322283069</v>
      </c>
      <c r="M1200" s="38" t="n">
        <v>105.918557165337</v>
      </c>
      <c r="N1200" s="38" t="n">
        <v>148.367610429949</v>
      </c>
      <c r="O1200" s="38" t="n">
        <v>78.0549696547368</v>
      </c>
      <c r="P1200" s="37" t="n">
        <v>0</v>
      </c>
      <c r="Q1200" s="38" t="n">
        <v>0</v>
      </c>
      <c r="R1200" s="38" t="n">
        <v>72</v>
      </c>
      <c r="S1200" s="37" t="n">
        <v>0</v>
      </c>
    </row>
    <row r="1201" customFormat="false" ht="15" hidden="false" customHeight="false" outlineLevel="0" collapsed="false">
      <c r="A1201" s="37" t="n">
        <v>5</v>
      </c>
      <c r="B1201" s="37" t="n">
        <v>0</v>
      </c>
      <c r="C1201" s="37" t="n">
        <v>5</v>
      </c>
      <c r="D1201" s="37" t="n">
        <v>5</v>
      </c>
      <c r="E1201" s="37" t="n">
        <v>15</v>
      </c>
      <c r="F1201" s="37" t="n">
        <v>0</v>
      </c>
      <c r="G1201" s="37" t="s">
        <v>192</v>
      </c>
      <c r="H1201" s="38" t="n">
        <v>198.898378390968</v>
      </c>
      <c r="I1201" s="38" t="n">
        <v>200.121010058189</v>
      </c>
      <c r="J1201" s="38" t="n">
        <v>221.383499546193</v>
      </c>
      <c r="K1201" s="38" t="n">
        <v>259.194922407264</v>
      </c>
      <c r="L1201" s="38" t="n">
        <v>58.0909090747576</v>
      </c>
      <c r="M1201" s="38" t="n">
        <v>100.7840764494</v>
      </c>
      <c r="N1201" s="38" t="n">
        <v>137.364072857682</v>
      </c>
      <c r="O1201" s="38" t="n">
        <v>72.117493464689</v>
      </c>
      <c r="P1201" s="37" t="n">
        <v>0</v>
      </c>
      <c r="Q1201" s="38" t="n">
        <v>0</v>
      </c>
      <c r="R1201" s="38" t="n">
        <v>72</v>
      </c>
      <c r="S1201" s="37" t="n">
        <v>0</v>
      </c>
    </row>
    <row r="1202" customFormat="false" ht="15" hidden="false" customHeight="false" outlineLevel="0" collapsed="false">
      <c r="A1202" s="37" t="n">
        <v>5</v>
      </c>
      <c r="B1202" s="37" t="n">
        <v>0</v>
      </c>
      <c r="C1202" s="37" t="n">
        <v>5</v>
      </c>
      <c r="D1202" s="37" t="n">
        <v>5</v>
      </c>
      <c r="E1202" s="37" t="n">
        <v>15</v>
      </c>
      <c r="F1202" s="37" t="n">
        <v>0</v>
      </c>
      <c r="G1202" s="37" t="s">
        <v>195</v>
      </c>
      <c r="H1202" s="38" t="n">
        <v>198.898378390968</v>
      </c>
      <c r="I1202" s="38" t="n">
        <v>200.228066787795</v>
      </c>
      <c r="J1202" s="38" t="n">
        <v>220.718988488956</v>
      </c>
      <c r="K1202" s="38" t="n">
        <v>256.214349199402</v>
      </c>
      <c r="L1202" s="38" t="n">
        <v>58.6671131588329</v>
      </c>
      <c r="M1202" s="38" t="n">
        <v>105.520154020461</v>
      </c>
      <c r="N1202" s="38" t="n">
        <v>142.590165104204</v>
      </c>
      <c r="O1202" s="38" t="n">
        <v>75.1373395140616</v>
      </c>
      <c r="P1202" s="37" t="n">
        <v>0</v>
      </c>
      <c r="Q1202" s="38" t="n">
        <v>0</v>
      </c>
      <c r="R1202" s="38" t="n">
        <v>70.4108291878293</v>
      </c>
      <c r="S1202" s="37" t="n">
        <v>0</v>
      </c>
    </row>
    <row r="1203" customFormat="false" ht="15" hidden="false" customHeight="false" outlineLevel="0" collapsed="false">
      <c r="A1203" s="37" t="n">
        <v>5</v>
      </c>
      <c r="B1203" s="37" t="n">
        <v>0</v>
      </c>
      <c r="C1203" s="37" t="n">
        <v>5</v>
      </c>
      <c r="D1203" s="37" t="n">
        <v>5</v>
      </c>
      <c r="E1203" s="37" t="n">
        <v>15</v>
      </c>
      <c r="F1203" s="37" t="n">
        <v>0</v>
      </c>
      <c r="G1203" s="37" t="s">
        <v>197</v>
      </c>
      <c r="H1203" s="38" t="n">
        <v>198.898378390968</v>
      </c>
      <c r="I1203" s="38" t="n">
        <v>200.174730346241</v>
      </c>
      <c r="J1203" s="38" t="n">
        <v>221.65308814911</v>
      </c>
      <c r="K1203" s="38" t="n">
        <v>260.006517562958</v>
      </c>
      <c r="L1203" s="38" t="n">
        <v>63.5065175629576</v>
      </c>
      <c r="M1203" s="38" t="n">
        <v>110.798166067765</v>
      </c>
      <c r="N1203" s="38" t="n">
        <v>149.631756405645</v>
      </c>
      <c r="O1203" s="38" t="n">
        <v>77.9562902484521</v>
      </c>
      <c r="P1203" s="37" t="n">
        <v>0</v>
      </c>
      <c r="Q1203" s="38" t="n">
        <v>0</v>
      </c>
      <c r="R1203" s="38" t="n">
        <v>72</v>
      </c>
      <c r="S1203" s="37" t="n">
        <v>1</v>
      </c>
    </row>
    <row r="1204" customFormat="false" ht="15" hidden="false" customHeight="false" outlineLevel="0" collapsed="false">
      <c r="A1204" s="37" t="n">
        <v>5</v>
      </c>
      <c r="B1204" s="37" t="n">
        <v>0</v>
      </c>
      <c r="C1204" s="37" t="n">
        <v>5</v>
      </c>
      <c r="D1204" s="37" t="n">
        <v>5</v>
      </c>
      <c r="E1204" s="37" t="n">
        <v>15</v>
      </c>
      <c r="F1204" s="37" t="n">
        <v>0</v>
      </c>
      <c r="G1204" s="37" t="s">
        <v>196</v>
      </c>
      <c r="H1204" s="38" t="n">
        <v>198.898378390968</v>
      </c>
      <c r="I1204" s="38" t="n">
        <v>200.135893271924</v>
      </c>
      <c r="J1204" s="38" t="n">
        <v>221.357127048001</v>
      </c>
      <c r="K1204" s="38" t="n">
        <v>259.488235458318</v>
      </c>
      <c r="L1204" s="38" t="n">
        <v>63.0020787352849</v>
      </c>
      <c r="M1204" s="38" t="n">
        <v>106.61107605332</v>
      </c>
      <c r="N1204" s="38" t="n">
        <v>145.523659806131</v>
      </c>
      <c r="O1204" s="38" t="n">
        <v>76.7851232949277</v>
      </c>
      <c r="P1204" s="37" t="n">
        <v>0</v>
      </c>
      <c r="Q1204" s="38" t="n">
        <v>0</v>
      </c>
      <c r="R1204" s="38" t="n">
        <v>70.9966557198054</v>
      </c>
      <c r="S1204" s="37" t="n">
        <v>0</v>
      </c>
    </row>
    <row r="1205" customFormat="false" ht="15" hidden="false" customHeight="false" outlineLevel="0" collapsed="false">
      <c r="A1205" s="37" t="n">
        <v>5</v>
      </c>
      <c r="B1205" s="37" t="n">
        <v>0</v>
      </c>
      <c r="C1205" s="37" t="n">
        <v>5</v>
      </c>
      <c r="D1205" s="37" t="n">
        <v>10</v>
      </c>
      <c r="E1205" s="37" t="n">
        <v>0</v>
      </c>
      <c r="F1205" s="37" t="n">
        <v>10</v>
      </c>
      <c r="G1205" s="37" t="s">
        <v>188</v>
      </c>
      <c r="H1205" s="38" t="n">
        <v>199.107058951912</v>
      </c>
      <c r="I1205" s="38" t="n">
        <v>201.044940915918</v>
      </c>
      <c r="J1205" s="38" t="n">
        <v>222.841619056924</v>
      </c>
      <c r="K1205" s="38" t="n">
        <v>257.508229518437</v>
      </c>
      <c r="L1205" s="38" t="n">
        <v>135.383945600443</v>
      </c>
      <c r="M1205" s="38" t="n">
        <v>104.727887563431</v>
      </c>
      <c r="N1205" s="38" t="n">
        <v>138.958167901628</v>
      </c>
      <c r="O1205" s="38" t="n">
        <v>80.980990415639</v>
      </c>
      <c r="P1205" s="37" t="n">
        <v>0</v>
      </c>
      <c r="Q1205" s="38" t="n">
        <v>0</v>
      </c>
      <c r="R1205" s="38" t="n">
        <v>72</v>
      </c>
      <c r="S1205" s="37" t="n">
        <v>0</v>
      </c>
    </row>
    <row r="1206" customFormat="false" ht="15" hidden="false" customHeight="false" outlineLevel="0" collapsed="false">
      <c r="A1206" s="37" t="n">
        <v>5</v>
      </c>
      <c r="B1206" s="37" t="n">
        <v>0</v>
      </c>
      <c r="C1206" s="37" t="n">
        <v>5</v>
      </c>
      <c r="D1206" s="37" t="n">
        <v>10</v>
      </c>
      <c r="E1206" s="37" t="n">
        <v>0</v>
      </c>
      <c r="F1206" s="37" t="n">
        <v>10</v>
      </c>
      <c r="G1206" s="37" t="s">
        <v>192</v>
      </c>
      <c r="H1206" s="38" t="n">
        <v>199.107058951912</v>
      </c>
      <c r="I1206" s="38" t="n">
        <v>200.933146248948</v>
      </c>
      <c r="J1206" s="38" t="n">
        <v>221.761109401523</v>
      </c>
      <c r="K1206" s="38" t="n">
        <v>255.34444365594</v>
      </c>
      <c r="L1206" s="38" t="n">
        <v>134.640597877345</v>
      </c>
      <c r="M1206" s="38" t="n">
        <v>99.4347637453661</v>
      </c>
      <c r="N1206" s="38" t="n">
        <v>128.910285868292</v>
      </c>
      <c r="O1206" s="38" t="n">
        <v>74.6961180680288</v>
      </c>
      <c r="P1206" s="37" t="n">
        <v>0</v>
      </c>
      <c r="Q1206" s="38" t="n">
        <v>0</v>
      </c>
      <c r="R1206" s="38" t="n">
        <v>72</v>
      </c>
      <c r="S1206" s="37" t="n">
        <v>0</v>
      </c>
    </row>
    <row r="1207" customFormat="false" ht="15" hidden="false" customHeight="false" outlineLevel="0" collapsed="false">
      <c r="A1207" s="37" t="n">
        <v>5</v>
      </c>
      <c r="B1207" s="37" t="n">
        <v>0</v>
      </c>
      <c r="C1207" s="37" t="n">
        <v>5</v>
      </c>
      <c r="D1207" s="37" t="n">
        <v>10</v>
      </c>
      <c r="E1207" s="37" t="n">
        <v>0</v>
      </c>
      <c r="F1207" s="37" t="n">
        <v>10</v>
      </c>
      <c r="G1207" s="37" t="s">
        <v>195</v>
      </c>
      <c r="H1207" s="38" t="n">
        <v>199.107058951912</v>
      </c>
      <c r="I1207" s="38" t="n">
        <v>201.105002830721</v>
      </c>
      <c r="J1207" s="38" t="n">
        <v>222.645010661136</v>
      </c>
      <c r="K1207" s="38" t="n">
        <v>257.216298424735</v>
      </c>
      <c r="L1207" s="38" t="n">
        <v>143.966298424735</v>
      </c>
      <c r="M1207" s="38" t="n">
        <v>105.606941604328</v>
      </c>
      <c r="N1207" s="38" t="n">
        <v>140.357886902936</v>
      </c>
      <c r="O1207" s="38" t="n">
        <v>79.3493096800819</v>
      </c>
      <c r="P1207" s="37" t="n">
        <v>0</v>
      </c>
      <c r="Q1207" s="38" t="n">
        <v>0</v>
      </c>
      <c r="R1207" s="38" t="n">
        <v>67.5519403617468</v>
      </c>
      <c r="S1207" s="37" t="n">
        <v>1</v>
      </c>
    </row>
    <row r="1208" customFormat="false" ht="15" hidden="false" customHeight="false" outlineLevel="0" collapsed="false">
      <c r="A1208" s="37" t="n">
        <v>5</v>
      </c>
      <c r="B1208" s="37" t="n">
        <v>0</v>
      </c>
      <c r="C1208" s="37" t="n">
        <v>5</v>
      </c>
      <c r="D1208" s="37" t="n">
        <v>10</v>
      </c>
      <c r="E1208" s="37" t="n">
        <v>0</v>
      </c>
      <c r="F1208" s="37" t="n">
        <v>10</v>
      </c>
      <c r="G1208" s="37" t="s">
        <v>197</v>
      </c>
      <c r="H1208" s="38" t="n">
        <v>199.107058951912</v>
      </c>
      <c r="I1208" s="38" t="n">
        <v>200.932086135537</v>
      </c>
      <c r="J1208" s="38" t="n">
        <v>220.938217695399</v>
      </c>
      <c r="K1208" s="38" t="n">
        <v>254.294589250674</v>
      </c>
      <c r="L1208" s="38" t="n">
        <v>132.173949659421</v>
      </c>
      <c r="M1208" s="38" t="n">
        <v>101.914958625468</v>
      </c>
      <c r="N1208" s="38" t="n">
        <v>125.415143354446</v>
      </c>
      <c r="O1208" s="38" t="n">
        <v>75.1855038293896</v>
      </c>
      <c r="P1208" s="37" t="n">
        <v>0</v>
      </c>
      <c r="Q1208" s="38" t="n">
        <v>0</v>
      </c>
      <c r="R1208" s="38" t="n">
        <v>72</v>
      </c>
      <c r="S1208" s="37" t="n">
        <v>0</v>
      </c>
    </row>
    <row r="1209" customFormat="false" ht="15" hidden="false" customHeight="false" outlineLevel="0" collapsed="false">
      <c r="A1209" s="37" t="n">
        <v>5</v>
      </c>
      <c r="B1209" s="37" t="n">
        <v>0</v>
      </c>
      <c r="C1209" s="37" t="n">
        <v>5</v>
      </c>
      <c r="D1209" s="37" t="n">
        <v>10</v>
      </c>
      <c r="E1209" s="37" t="n">
        <v>0</v>
      </c>
      <c r="F1209" s="37" t="n">
        <v>10</v>
      </c>
      <c r="G1209" s="37" t="s">
        <v>196</v>
      </c>
      <c r="H1209" s="38" t="n">
        <v>199.107058951912</v>
      </c>
      <c r="I1209" s="38" t="n">
        <v>200.935880283584</v>
      </c>
      <c r="J1209" s="38" t="n">
        <v>213.427946402043</v>
      </c>
      <c r="K1209" s="38" t="n">
        <v>255.990433535303</v>
      </c>
      <c r="L1209" s="38" t="n">
        <v>142.434877979748</v>
      </c>
      <c r="M1209" s="38" t="n">
        <v>104.271094788044</v>
      </c>
      <c r="N1209" s="38" t="n">
        <v>132.784091483389</v>
      </c>
      <c r="O1209" s="38" t="n">
        <v>74.7612922359245</v>
      </c>
      <c r="P1209" s="37" t="n">
        <v>0</v>
      </c>
      <c r="Q1209" s="38" t="n">
        <v>0</v>
      </c>
      <c r="R1209" s="38" t="n">
        <v>70.604</v>
      </c>
      <c r="S1209" s="37" t="n">
        <v>0</v>
      </c>
    </row>
    <row r="1210" customFormat="false" ht="15" hidden="false" customHeight="false" outlineLevel="0" collapsed="false">
      <c r="A1210" s="37" t="n">
        <v>5</v>
      </c>
      <c r="B1210" s="37" t="n">
        <v>0</v>
      </c>
      <c r="C1210" s="37" t="n">
        <v>5</v>
      </c>
      <c r="D1210" s="37" t="n">
        <v>10</v>
      </c>
      <c r="E1210" s="37" t="n">
        <v>5</v>
      </c>
      <c r="F1210" s="37" t="n">
        <v>5</v>
      </c>
      <c r="G1210" s="37" t="s">
        <v>188</v>
      </c>
      <c r="H1210" s="38" t="n">
        <v>199.107696225351</v>
      </c>
      <c r="I1210" s="38" t="n">
        <v>201.127098282487</v>
      </c>
      <c r="J1210" s="38" t="n">
        <v>225.710224305671</v>
      </c>
      <c r="K1210" s="38" t="n">
        <v>261.250168180387</v>
      </c>
      <c r="L1210" s="38" t="n">
        <v>99.274582621619</v>
      </c>
      <c r="M1210" s="38" t="n">
        <v>105.595534695817</v>
      </c>
      <c r="N1210" s="38" t="n">
        <v>145.822501219381</v>
      </c>
      <c r="O1210" s="38" t="n">
        <v>80.8294550199137</v>
      </c>
      <c r="P1210" s="37" t="n">
        <v>0</v>
      </c>
      <c r="Q1210" s="38" t="n">
        <v>0</v>
      </c>
      <c r="R1210" s="38" t="n">
        <v>72</v>
      </c>
      <c r="S1210" s="37" t="n">
        <v>0</v>
      </c>
    </row>
    <row r="1211" customFormat="false" ht="15" hidden="false" customHeight="false" outlineLevel="0" collapsed="false">
      <c r="A1211" s="37" t="n">
        <v>5</v>
      </c>
      <c r="B1211" s="37" t="n">
        <v>0</v>
      </c>
      <c r="C1211" s="37" t="n">
        <v>5</v>
      </c>
      <c r="D1211" s="37" t="n">
        <v>10</v>
      </c>
      <c r="E1211" s="37" t="n">
        <v>5</v>
      </c>
      <c r="F1211" s="37" t="n">
        <v>5</v>
      </c>
      <c r="G1211" s="37" t="s">
        <v>192</v>
      </c>
      <c r="H1211" s="38" t="n">
        <v>199.107696225351</v>
      </c>
      <c r="I1211" s="38" t="n">
        <v>201.012029193133</v>
      </c>
      <c r="J1211" s="38" t="n">
        <v>224.252974946707</v>
      </c>
      <c r="K1211" s="38" t="n">
        <v>258.604698850892</v>
      </c>
      <c r="L1211" s="38" t="n">
        <v>97.8462975978918</v>
      </c>
      <c r="M1211" s="38" t="n">
        <v>100.346764470873</v>
      </c>
      <c r="N1211" s="38" t="n">
        <v>135.24250333146</v>
      </c>
      <c r="O1211" s="38" t="n">
        <v>74.5878584311855</v>
      </c>
      <c r="P1211" s="37" t="n">
        <v>0</v>
      </c>
      <c r="Q1211" s="38" t="n">
        <v>0</v>
      </c>
      <c r="R1211" s="38" t="n">
        <v>72</v>
      </c>
      <c r="S1211" s="37" t="n">
        <v>0</v>
      </c>
    </row>
    <row r="1212" customFormat="false" ht="15" hidden="false" customHeight="false" outlineLevel="0" collapsed="false">
      <c r="A1212" s="37" t="n">
        <v>5</v>
      </c>
      <c r="B1212" s="37" t="n">
        <v>0</v>
      </c>
      <c r="C1212" s="37" t="n">
        <v>5</v>
      </c>
      <c r="D1212" s="37" t="n">
        <v>10</v>
      </c>
      <c r="E1212" s="37" t="n">
        <v>5</v>
      </c>
      <c r="F1212" s="37" t="n">
        <v>5</v>
      </c>
      <c r="G1212" s="37" t="s">
        <v>195</v>
      </c>
      <c r="H1212" s="38" t="n">
        <v>199.107696225351</v>
      </c>
      <c r="I1212" s="38" t="n">
        <v>201.201891506397</v>
      </c>
      <c r="J1212" s="38" t="n">
        <v>225.491624175523</v>
      </c>
      <c r="K1212" s="38" t="n">
        <v>261.103449383587</v>
      </c>
      <c r="L1212" s="38" t="n">
        <v>107.853449383587</v>
      </c>
      <c r="M1212" s="38" t="n">
        <v>106.491923373339</v>
      </c>
      <c r="N1212" s="38" t="n">
        <v>147.125266192175</v>
      </c>
      <c r="O1212" s="38" t="n">
        <v>79.5736596151667</v>
      </c>
      <c r="P1212" s="37" t="n">
        <v>0</v>
      </c>
      <c r="Q1212" s="38" t="n">
        <v>0</v>
      </c>
      <c r="R1212" s="38" t="n">
        <v>67.51642071465</v>
      </c>
      <c r="S1212" s="37" t="n">
        <v>1</v>
      </c>
    </row>
    <row r="1213" customFormat="false" ht="15" hidden="false" customHeight="false" outlineLevel="0" collapsed="false">
      <c r="A1213" s="37" t="n">
        <v>5</v>
      </c>
      <c r="B1213" s="37" t="n">
        <v>0</v>
      </c>
      <c r="C1213" s="37" t="n">
        <v>5</v>
      </c>
      <c r="D1213" s="37" t="n">
        <v>10</v>
      </c>
      <c r="E1213" s="37" t="n">
        <v>5</v>
      </c>
      <c r="F1213" s="37" t="n">
        <v>5</v>
      </c>
      <c r="G1213" s="37" t="s">
        <v>197</v>
      </c>
      <c r="H1213" s="38" t="n">
        <v>199.107696225351</v>
      </c>
      <c r="I1213" s="38" t="n">
        <v>201.026078418164</v>
      </c>
      <c r="J1213" s="38" t="n">
        <v>224.310083472605</v>
      </c>
      <c r="K1213" s="38" t="n">
        <v>258.866552393386</v>
      </c>
      <c r="L1213" s="38" t="n">
        <v>97.2727259838972</v>
      </c>
      <c r="M1213" s="38" t="n">
        <v>106.172336979885</v>
      </c>
      <c r="N1213" s="38" t="n">
        <v>141.598319915528</v>
      </c>
      <c r="O1213" s="38" t="n">
        <v>79.3481905474872</v>
      </c>
      <c r="P1213" s="37" t="n">
        <v>0</v>
      </c>
      <c r="Q1213" s="38" t="n">
        <v>0</v>
      </c>
      <c r="R1213" s="38" t="n">
        <v>72</v>
      </c>
      <c r="S1213" s="37" t="n">
        <v>0</v>
      </c>
    </row>
    <row r="1214" customFormat="false" ht="15" hidden="false" customHeight="false" outlineLevel="0" collapsed="false">
      <c r="A1214" s="37" t="n">
        <v>5</v>
      </c>
      <c r="B1214" s="37" t="n">
        <v>0</v>
      </c>
      <c r="C1214" s="37" t="n">
        <v>5</v>
      </c>
      <c r="D1214" s="37" t="n">
        <v>10</v>
      </c>
      <c r="E1214" s="37" t="n">
        <v>5</v>
      </c>
      <c r="F1214" s="37" t="n">
        <v>5</v>
      </c>
      <c r="G1214" s="37" t="s">
        <v>196</v>
      </c>
      <c r="H1214" s="38" t="n">
        <v>199.107696225351</v>
      </c>
      <c r="I1214" s="38" t="n">
        <v>201.022393740597</v>
      </c>
      <c r="J1214" s="38" t="n">
        <v>224.170872866705</v>
      </c>
      <c r="K1214" s="38" t="n">
        <v>258.695936850372</v>
      </c>
      <c r="L1214" s="38" t="n">
        <v>102.567047961483</v>
      </c>
      <c r="M1214" s="38" t="n">
        <v>105.835521704783</v>
      </c>
      <c r="N1214" s="38" t="n">
        <v>142.664844097528</v>
      </c>
      <c r="O1214" s="38" t="n">
        <v>78.8375813803073</v>
      </c>
      <c r="P1214" s="37" t="n">
        <v>0</v>
      </c>
      <c r="Q1214" s="38" t="n">
        <v>0</v>
      </c>
      <c r="R1214" s="38" t="n">
        <v>71.0824</v>
      </c>
      <c r="S1214" s="37" t="n">
        <v>0</v>
      </c>
    </row>
    <row r="1215" customFormat="false" ht="15" hidden="false" customHeight="false" outlineLevel="0" collapsed="false">
      <c r="A1215" s="37" t="n">
        <v>5</v>
      </c>
      <c r="B1215" s="37" t="n">
        <v>0</v>
      </c>
      <c r="C1215" s="37" t="n">
        <v>5</v>
      </c>
      <c r="D1215" s="37" t="n">
        <v>10</v>
      </c>
      <c r="E1215" s="37" t="n">
        <v>10</v>
      </c>
      <c r="F1215" s="37" t="n">
        <v>0</v>
      </c>
      <c r="G1215" s="37" t="s">
        <v>188</v>
      </c>
      <c r="H1215" s="38" t="n">
        <v>199.106405767035</v>
      </c>
      <c r="I1215" s="38" t="n">
        <v>201.241682014087</v>
      </c>
      <c r="J1215" s="38" t="n">
        <v>227.948162001819</v>
      </c>
      <c r="K1215" s="38" t="n">
        <v>264.336862553977</v>
      </c>
      <c r="L1215" s="38" t="n">
        <v>62.5044703979985</v>
      </c>
      <c r="M1215" s="38" t="n">
        <v>106.421223982507</v>
      </c>
      <c r="N1215" s="38" t="n">
        <v>151.102997938532</v>
      </c>
      <c r="O1215" s="38" t="n">
        <v>80.4264657277526</v>
      </c>
      <c r="P1215" s="37" t="n">
        <v>0</v>
      </c>
      <c r="Q1215" s="38" t="n">
        <v>0</v>
      </c>
      <c r="R1215" s="38" t="n">
        <v>72</v>
      </c>
      <c r="S1215" s="37" t="n">
        <v>0</v>
      </c>
    </row>
    <row r="1216" customFormat="false" ht="15" hidden="false" customHeight="false" outlineLevel="0" collapsed="false">
      <c r="A1216" s="37" t="n">
        <v>5</v>
      </c>
      <c r="B1216" s="37" t="n">
        <v>0</v>
      </c>
      <c r="C1216" s="37" t="n">
        <v>5</v>
      </c>
      <c r="D1216" s="37" t="n">
        <v>10</v>
      </c>
      <c r="E1216" s="37" t="n">
        <v>10</v>
      </c>
      <c r="F1216" s="37" t="n">
        <v>0</v>
      </c>
      <c r="G1216" s="37" t="s">
        <v>192</v>
      </c>
      <c r="H1216" s="38" t="n">
        <v>199.106405767035</v>
      </c>
      <c r="I1216" s="38" t="n">
        <v>201.129523655699</v>
      </c>
      <c r="J1216" s="38" t="n">
        <v>226.195099416787</v>
      </c>
      <c r="K1216" s="38" t="n">
        <v>261.35498713122</v>
      </c>
      <c r="L1216" s="38" t="n">
        <v>60.552949817597</v>
      </c>
      <c r="M1216" s="38" t="n">
        <v>101.226349120448</v>
      </c>
      <c r="N1216" s="38" t="n">
        <v>140.053835822351</v>
      </c>
      <c r="O1216" s="38" t="n">
        <v>74.2477857151799</v>
      </c>
      <c r="P1216" s="37" t="n">
        <v>0</v>
      </c>
      <c r="Q1216" s="38" t="n">
        <v>0</v>
      </c>
      <c r="R1216" s="38" t="n">
        <v>72</v>
      </c>
      <c r="S1216" s="37" t="n">
        <v>0</v>
      </c>
    </row>
    <row r="1217" customFormat="false" ht="15" hidden="false" customHeight="false" outlineLevel="0" collapsed="false">
      <c r="A1217" s="37" t="n">
        <v>5</v>
      </c>
      <c r="B1217" s="37" t="n">
        <v>0</v>
      </c>
      <c r="C1217" s="37" t="n">
        <v>5</v>
      </c>
      <c r="D1217" s="37" t="n">
        <v>10</v>
      </c>
      <c r="E1217" s="37" t="n">
        <v>10</v>
      </c>
      <c r="F1217" s="37" t="n">
        <v>0</v>
      </c>
      <c r="G1217" s="37" t="s">
        <v>195</v>
      </c>
      <c r="H1217" s="38" t="n">
        <v>199.106405767035</v>
      </c>
      <c r="I1217" s="38" t="n">
        <v>201.328725025178</v>
      </c>
      <c r="J1217" s="38" t="n">
        <v>227.74789402255</v>
      </c>
      <c r="K1217" s="38" t="n">
        <v>264.342486870376</v>
      </c>
      <c r="L1217" s="38" t="n">
        <v>71.0924868703761</v>
      </c>
      <c r="M1217" s="38" t="n">
        <v>107.330515384922</v>
      </c>
      <c r="N1217" s="38" t="n">
        <v>152.350715648486</v>
      </c>
      <c r="O1217" s="38" t="n">
        <v>79.4959760062638</v>
      </c>
      <c r="P1217" s="37" t="n">
        <v>0</v>
      </c>
      <c r="Q1217" s="38" t="n">
        <v>0</v>
      </c>
      <c r="R1217" s="38" t="n">
        <v>67.4863381477466</v>
      </c>
      <c r="S1217" s="37" t="n">
        <v>0</v>
      </c>
    </row>
    <row r="1218" customFormat="false" ht="15" hidden="false" customHeight="false" outlineLevel="0" collapsed="false">
      <c r="A1218" s="37" t="n">
        <v>5</v>
      </c>
      <c r="B1218" s="37" t="n">
        <v>0</v>
      </c>
      <c r="C1218" s="37" t="n">
        <v>5</v>
      </c>
      <c r="D1218" s="37" t="n">
        <v>10</v>
      </c>
      <c r="E1218" s="37" t="n">
        <v>10</v>
      </c>
      <c r="F1218" s="37" t="n">
        <v>0</v>
      </c>
      <c r="G1218" s="37" t="s">
        <v>197</v>
      </c>
      <c r="H1218" s="38" t="n">
        <v>199.106405767035</v>
      </c>
      <c r="I1218" s="38" t="n">
        <v>201.167675247005</v>
      </c>
      <c r="J1218" s="38" t="n">
        <v>227.492400018652</v>
      </c>
      <c r="K1218" s="38" t="n">
        <v>263.353208038304</v>
      </c>
      <c r="L1218" s="38" t="n">
        <v>62.4330200105155</v>
      </c>
      <c r="M1218" s="38" t="n">
        <v>109.64661947997</v>
      </c>
      <c r="N1218" s="38" t="n">
        <v>155.182761741049</v>
      </c>
      <c r="O1218" s="38" t="n">
        <v>80.8218728138133</v>
      </c>
      <c r="P1218" s="37" t="n">
        <v>0</v>
      </c>
      <c r="Q1218" s="38" t="n">
        <v>0</v>
      </c>
      <c r="R1218" s="38" t="n">
        <v>72</v>
      </c>
      <c r="S1218" s="37" t="n">
        <v>1</v>
      </c>
    </row>
    <row r="1219" customFormat="false" ht="15" hidden="false" customHeight="false" outlineLevel="0" collapsed="false">
      <c r="A1219" s="37" t="n">
        <v>5</v>
      </c>
      <c r="B1219" s="37" t="n">
        <v>0</v>
      </c>
      <c r="C1219" s="37" t="n">
        <v>5</v>
      </c>
      <c r="D1219" s="37" t="n">
        <v>10</v>
      </c>
      <c r="E1219" s="37" t="n">
        <v>10</v>
      </c>
      <c r="F1219" s="37" t="n">
        <v>0</v>
      </c>
      <c r="G1219" s="37" t="s">
        <v>196</v>
      </c>
      <c r="H1219" s="38" t="n">
        <v>199.106405767035</v>
      </c>
      <c r="I1219" s="38" t="n">
        <v>201.143596823072</v>
      </c>
      <c r="J1219" s="38" t="n">
        <v>226.240019662001</v>
      </c>
      <c r="K1219" s="38" t="n">
        <v>261.672586866001</v>
      </c>
      <c r="L1219" s="38" t="n">
        <v>65.5436979771119</v>
      </c>
      <c r="M1219" s="38" t="n">
        <v>107.203350205407</v>
      </c>
      <c r="N1219" s="38" t="n">
        <v>148.972448855667</v>
      </c>
      <c r="O1219" s="38" t="n">
        <v>79.0222119901397</v>
      </c>
      <c r="P1219" s="37" t="n">
        <v>0</v>
      </c>
      <c r="Q1219" s="38" t="n">
        <v>0</v>
      </c>
      <c r="R1219" s="38" t="n">
        <v>71.0824</v>
      </c>
      <c r="S1219" s="37" t="n">
        <v>0</v>
      </c>
    </row>
    <row r="1220" customFormat="false" ht="15" hidden="false" customHeight="false" outlineLevel="0" collapsed="false">
      <c r="A1220" s="37" t="n">
        <v>5</v>
      </c>
      <c r="B1220" s="37" t="n">
        <v>0</v>
      </c>
      <c r="C1220" s="37" t="n">
        <v>5</v>
      </c>
      <c r="D1220" s="37" t="n">
        <v>15</v>
      </c>
      <c r="E1220" s="37" t="n">
        <v>0</v>
      </c>
      <c r="F1220" s="37" t="n">
        <v>5</v>
      </c>
      <c r="G1220" s="37" t="s">
        <v>188</v>
      </c>
      <c r="H1220" s="38" t="n">
        <v>199.275314676858</v>
      </c>
      <c r="I1220" s="38" t="n">
        <v>201.842944470525</v>
      </c>
      <c r="J1220" s="38" t="n">
        <v>226.586595267283</v>
      </c>
      <c r="K1220" s="38" t="n">
        <v>257.182347895365</v>
      </c>
      <c r="L1220" s="38" t="n">
        <v>95.5307451892632</v>
      </c>
      <c r="M1220" s="38" t="n">
        <v>105.291758340136</v>
      </c>
      <c r="N1220" s="38" t="n">
        <v>141.643700217385</v>
      </c>
      <c r="O1220" s="38" t="n">
        <v>80.4180726051834</v>
      </c>
      <c r="P1220" s="37" t="n">
        <v>0</v>
      </c>
      <c r="Q1220" s="38" t="n">
        <v>0</v>
      </c>
      <c r="R1220" s="38" t="n">
        <v>72</v>
      </c>
      <c r="S1220" s="37" t="n">
        <v>0</v>
      </c>
    </row>
    <row r="1221" customFormat="false" ht="15" hidden="false" customHeight="false" outlineLevel="0" collapsed="false">
      <c r="A1221" s="37" t="n">
        <v>5</v>
      </c>
      <c r="B1221" s="37" t="n">
        <v>0</v>
      </c>
      <c r="C1221" s="37" t="n">
        <v>5</v>
      </c>
      <c r="D1221" s="37" t="n">
        <v>15</v>
      </c>
      <c r="E1221" s="37" t="n">
        <v>0</v>
      </c>
      <c r="F1221" s="37" t="n">
        <v>5</v>
      </c>
      <c r="G1221" s="37" t="s">
        <v>192</v>
      </c>
      <c r="H1221" s="38" t="n">
        <v>199.275314676858</v>
      </c>
      <c r="I1221" s="38" t="n">
        <v>201.725192413092</v>
      </c>
      <c r="J1221" s="38" t="n">
        <v>225.246767855847</v>
      </c>
      <c r="K1221" s="38" t="n">
        <v>254.651473413038</v>
      </c>
      <c r="L1221" s="38" t="n">
        <v>94.1436889182803</v>
      </c>
      <c r="M1221" s="38" t="n">
        <v>99.9990937486525</v>
      </c>
      <c r="N1221" s="38" t="n">
        <v>131.283140705765</v>
      </c>
      <c r="O1221" s="38" t="n">
        <v>73.9304638561604</v>
      </c>
      <c r="P1221" s="37" t="n">
        <v>0</v>
      </c>
      <c r="Q1221" s="38" t="n">
        <v>0</v>
      </c>
      <c r="R1221" s="38" t="n">
        <v>72</v>
      </c>
      <c r="S1221" s="37" t="n">
        <v>0</v>
      </c>
    </row>
    <row r="1222" customFormat="false" ht="15" hidden="false" customHeight="false" outlineLevel="0" collapsed="false">
      <c r="A1222" s="37" t="n">
        <v>5</v>
      </c>
      <c r="B1222" s="37" t="n">
        <v>0</v>
      </c>
      <c r="C1222" s="37" t="n">
        <v>5</v>
      </c>
      <c r="D1222" s="37" t="n">
        <v>15</v>
      </c>
      <c r="E1222" s="37" t="n">
        <v>0</v>
      </c>
      <c r="F1222" s="37" t="n">
        <v>5</v>
      </c>
      <c r="G1222" s="37" t="s">
        <v>195</v>
      </c>
      <c r="H1222" s="38" t="n">
        <v>199.275314676858</v>
      </c>
      <c r="I1222" s="38" t="n">
        <v>201.978747657229</v>
      </c>
      <c r="J1222" s="38" t="n">
        <v>227.615974738711</v>
      </c>
      <c r="K1222" s="38" t="n">
        <v>258.938611216955</v>
      </c>
      <c r="L1222" s="38" t="n">
        <v>105.688611216955</v>
      </c>
      <c r="M1222" s="38" t="n">
        <v>107.130813158849</v>
      </c>
      <c r="N1222" s="38" t="n">
        <v>144.634978120608</v>
      </c>
      <c r="O1222" s="38" t="n">
        <v>79.5748664529044</v>
      </c>
      <c r="P1222" s="37" t="n">
        <v>0</v>
      </c>
      <c r="Q1222" s="38" t="n">
        <v>0</v>
      </c>
      <c r="R1222" s="38" t="n">
        <v>67.6275413614376</v>
      </c>
      <c r="S1222" s="37" t="n">
        <v>1</v>
      </c>
    </row>
    <row r="1223" customFormat="false" ht="15" hidden="false" customHeight="false" outlineLevel="0" collapsed="false">
      <c r="A1223" s="37" t="n">
        <v>5</v>
      </c>
      <c r="B1223" s="37" t="n">
        <v>0</v>
      </c>
      <c r="C1223" s="37" t="n">
        <v>5</v>
      </c>
      <c r="D1223" s="37" t="n">
        <v>15</v>
      </c>
      <c r="E1223" s="37" t="n">
        <v>0</v>
      </c>
      <c r="F1223" s="37" t="n">
        <v>5</v>
      </c>
      <c r="G1223" s="37" t="s">
        <v>197</v>
      </c>
      <c r="H1223" s="38" t="n">
        <v>199.275314676858</v>
      </c>
      <c r="I1223" s="38" t="n">
        <v>201.724502044676</v>
      </c>
      <c r="J1223" s="38" t="n">
        <v>224.450018996141</v>
      </c>
      <c r="K1223" s="38" t="n">
        <v>253.642037188738</v>
      </c>
      <c r="L1223" s="38" t="n">
        <v>91.6819435935888</v>
      </c>
      <c r="M1223" s="38" t="n">
        <v>102.499306244775</v>
      </c>
      <c r="N1223" s="38" t="n">
        <v>127.922362997012</v>
      </c>
      <c r="O1223" s="38" t="n">
        <v>74.5538682621188</v>
      </c>
      <c r="P1223" s="37" t="n">
        <v>0</v>
      </c>
      <c r="Q1223" s="38" t="n">
        <v>0</v>
      </c>
      <c r="R1223" s="38" t="n">
        <v>72</v>
      </c>
      <c r="S1223" s="37" t="n">
        <v>0</v>
      </c>
    </row>
    <row r="1224" customFormat="false" ht="15" hidden="false" customHeight="false" outlineLevel="0" collapsed="false">
      <c r="A1224" s="37" t="n">
        <v>5</v>
      </c>
      <c r="B1224" s="37" t="n">
        <v>0</v>
      </c>
      <c r="C1224" s="37" t="n">
        <v>5</v>
      </c>
      <c r="D1224" s="37" t="n">
        <v>15</v>
      </c>
      <c r="E1224" s="37" t="n">
        <v>0</v>
      </c>
      <c r="F1224" s="37" t="n">
        <v>5</v>
      </c>
      <c r="G1224" s="37" t="s">
        <v>196</v>
      </c>
      <c r="H1224" s="38" t="n">
        <v>199.275314676858</v>
      </c>
      <c r="I1224" s="38" t="n">
        <v>201.727762465987</v>
      </c>
      <c r="J1224" s="38" t="n">
        <v>216.82003079959</v>
      </c>
      <c r="K1224" s="38" t="n">
        <v>255.170976164081</v>
      </c>
      <c r="L1224" s="38" t="n">
        <v>101.615420608525</v>
      </c>
      <c r="M1224" s="38" t="n">
        <v>105.146297163054</v>
      </c>
      <c r="N1224" s="38" t="n">
        <v>135.047975085139</v>
      </c>
      <c r="O1224" s="38" t="n">
        <v>73.9125644571426</v>
      </c>
      <c r="P1224" s="37" t="n">
        <v>0</v>
      </c>
      <c r="Q1224" s="38" t="n">
        <v>0</v>
      </c>
      <c r="R1224" s="38" t="n">
        <v>70.604</v>
      </c>
      <c r="S1224" s="37" t="n">
        <v>0</v>
      </c>
    </row>
    <row r="1225" customFormat="false" ht="15" hidden="false" customHeight="false" outlineLevel="0" collapsed="false">
      <c r="A1225" s="37" t="n">
        <v>5</v>
      </c>
      <c r="B1225" s="37" t="n">
        <v>0</v>
      </c>
      <c r="C1225" s="37" t="n">
        <v>5</v>
      </c>
      <c r="D1225" s="37" t="n">
        <v>15</v>
      </c>
      <c r="E1225" s="37" t="n">
        <v>5</v>
      </c>
      <c r="F1225" s="37" t="n">
        <v>0</v>
      </c>
      <c r="G1225" s="37" t="s">
        <v>188</v>
      </c>
      <c r="H1225" s="38" t="n">
        <v>199.262910869453</v>
      </c>
      <c r="I1225" s="38" t="n">
        <v>201.880166342554</v>
      </c>
      <c r="J1225" s="38" t="n">
        <v>229.429727010288</v>
      </c>
      <c r="K1225" s="38" t="n">
        <v>260.709220772132</v>
      </c>
      <c r="L1225" s="38" t="n">
        <v>59.1961383886392</v>
      </c>
      <c r="M1225" s="38" t="n">
        <v>106.073346630354</v>
      </c>
      <c r="N1225" s="38" t="n">
        <v>148.450831265992</v>
      </c>
      <c r="O1225" s="38" t="n">
        <v>80.245117342894</v>
      </c>
      <c r="P1225" s="37" t="n">
        <v>0</v>
      </c>
      <c r="Q1225" s="38" t="n">
        <v>0</v>
      </c>
      <c r="R1225" s="38" t="n">
        <v>72</v>
      </c>
      <c r="S1225" s="37" t="n">
        <v>0</v>
      </c>
    </row>
    <row r="1226" customFormat="false" ht="15" hidden="false" customHeight="false" outlineLevel="0" collapsed="false">
      <c r="A1226" s="37" t="n">
        <v>5</v>
      </c>
      <c r="B1226" s="37" t="n">
        <v>0</v>
      </c>
      <c r="C1226" s="37" t="n">
        <v>5</v>
      </c>
      <c r="D1226" s="37" t="n">
        <v>15</v>
      </c>
      <c r="E1226" s="37" t="n">
        <v>5</v>
      </c>
      <c r="F1226" s="37" t="n">
        <v>0</v>
      </c>
      <c r="G1226" s="37" t="s">
        <v>192</v>
      </c>
      <c r="H1226" s="38" t="n">
        <v>199.262910869453</v>
      </c>
      <c r="I1226" s="38" t="n">
        <v>201.759698403557</v>
      </c>
      <c r="J1226" s="38" t="n">
        <v>227.744338991276</v>
      </c>
      <c r="K1226" s="38" t="n">
        <v>257.740561401528</v>
      </c>
      <c r="L1226" s="38" t="n">
        <v>57.1921684227584</v>
      </c>
      <c r="M1226" s="38" t="n">
        <v>100.829516579932</v>
      </c>
      <c r="N1226" s="38" t="n">
        <v>137.633283032845</v>
      </c>
      <c r="O1226" s="38" t="n">
        <v>73.8182618377676</v>
      </c>
      <c r="P1226" s="37" t="n">
        <v>0</v>
      </c>
      <c r="Q1226" s="38" t="n">
        <v>0</v>
      </c>
      <c r="R1226" s="38" t="n">
        <v>72</v>
      </c>
      <c r="S1226" s="37" t="n">
        <v>0</v>
      </c>
    </row>
    <row r="1227" customFormat="false" ht="15" hidden="false" customHeight="false" outlineLevel="0" collapsed="false">
      <c r="A1227" s="37" t="n">
        <v>5</v>
      </c>
      <c r="B1227" s="37" t="n">
        <v>0</v>
      </c>
      <c r="C1227" s="37" t="n">
        <v>5</v>
      </c>
      <c r="D1227" s="37" t="n">
        <v>15</v>
      </c>
      <c r="E1227" s="37" t="n">
        <v>5</v>
      </c>
      <c r="F1227" s="37" t="n">
        <v>0</v>
      </c>
      <c r="G1227" s="37" t="s">
        <v>195</v>
      </c>
      <c r="H1227" s="38" t="n">
        <v>199.262910869453</v>
      </c>
      <c r="I1227" s="38" t="n">
        <v>202.031691571064</v>
      </c>
      <c r="J1227" s="38" t="n">
        <v>230.60957182437</v>
      </c>
      <c r="K1227" s="38" t="n">
        <v>262.843003455921</v>
      </c>
      <c r="L1227" s="38" t="n">
        <v>69.5930034559209</v>
      </c>
      <c r="M1227" s="38" t="n">
        <v>107.909053087862</v>
      </c>
      <c r="N1227" s="38" t="n">
        <v>151.682253025472</v>
      </c>
      <c r="O1227" s="38" t="n">
        <v>79.9330362267904</v>
      </c>
      <c r="P1227" s="37" t="n">
        <v>0</v>
      </c>
      <c r="Q1227" s="38" t="n">
        <v>0</v>
      </c>
      <c r="R1227" s="38" t="n">
        <v>67.6126729940124</v>
      </c>
      <c r="S1227" s="37" t="n">
        <v>1</v>
      </c>
    </row>
    <row r="1228" customFormat="false" ht="15" hidden="false" customHeight="false" outlineLevel="0" collapsed="false">
      <c r="A1228" s="37" t="n">
        <v>5</v>
      </c>
      <c r="B1228" s="37" t="n">
        <v>0</v>
      </c>
      <c r="C1228" s="37" t="n">
        <v>5</v>
      </c>
      <c r="D1228" s="37" t="n">
        <v>15</v>
      </c>
      <c r="E1228" s="37" t="n">
        <v>5</v>
      </c>
      <c r="F1228" s="37" t="n">
        <v>0</v>
      </c>
      <c r="G1228" s="37" t="s">
        <v>197</v>
      </c>
      <c r="H1228" s="38" t="n">
        <v>199.262910869453</v>
      </c>
      <c r="I1228" s="38" t="n">
        <v>201.774615643992</v>
      </c>
      <c r="J1228" s="38" t="n">
        <v>227.853018496227</v>
      </c>
      <c r="K1228" s="38" t="n">
        <v>258.075842685259</v>
      </c>
      <c r="L1228" s="38" t="n">
        <v>56.6490084021726</v>
      </c>
      <c r="M1228" s="38" t="n">
        <v>106.648136060505</v>
      </c>
      <c r="N1228" s="38" t="n">
        <v>144.129659957852</v>
      </c>
      <c r="O1228" s="38" t="n">
        <v>78.7103990787509</v>
      </c>
      <c r="P1228" s="37" t="n">
        <v>0</v>
      </c>
      <c r="Q1228" s="38" t="n">
        <v>0</v>
      </c>
      <c r="R1228" s="38" t="n">
        <v>72</v>
      </c>
      <c r="S1228" s="37" t="n">
        <v>0</v>
      </c>
    </row>
    <row r="1229" customFormat="false" ht="15" hidden="false" customHeight="false" outlineLevel="0" collapsed="false">
      <c r="A1229" s="37" t="n">
        <v>5</v>
      </c>
      <c r="B1229" s="37" t="n">
        <v>0</v>
      </c>
      <c r="C1229" s="37" t="n">
        <v>5</v>
      </c>
      <c r="D1229" s="37" t="n">
        <v>15</v>
      </c>
      <c r="E1229" s="37" t="n">
        <v>5</v>
      </c>
      <c r="F1229" s="37" t="n">
        <v>0</v>
      </c>
      <c r="G1229" s="37" t="s">
        <v>196</v>
      </c>
      <c r="H1229" s="38" t="n">
        <v>199.262910869453</v>
      </c>
      <c r="I1229" s="38" t="n">
        <v>201.769557752115</v>
      </c>
      <c r="J1229" s="38" t="n">
        <v>227.644278155837</v>
      </c>
      <c r="K1229" s="38" t="n">
        <v>257.800496981746</v>
      </c>
      <c r="L1229" s="38" t="n">
        <v>61.6716080928572</v>
      </c>
      <c r="M1229" s="38" t="n">
        <v>106.611372619041</v>
      </c>
      <c r="N1229" s="38" t="n">
        <v>145.018113778072</v>
      </c>
      <c r="O1229" s="38" t="n">
        <v>78.014467698718</v>
      </c>
      <c r="P1229" s="37" t="n">
        <v>0</v>
      </c>
      <c r="Q1229" s="38" t="n">
        <v>0</v>
      </c>
      <c r="R1229" s="38" t="n">
        <v>71.0824</v>
      </c>
      <c r="S1229" s="37" t="n">
        <v>0</v>
      </c>
    </row>
    <row r="1230" customFormat="false" ht="15" hidden="false" customHeight="false" outlineLevel="0" collapsed="false">
      <c r="A1230" s="37" t="n">
        <v>5</v>
      </c>
      <c r="B1230" s="37" t="n">
        <v>0</v>
      </c>
      <c r="C1230" s="37" t="n">
        <v>5</v>
      </c>
      <c r="D1230" s="37" t="n">
        <v>20</v>
      </c>
      <c r="E1230" s="37" t="n">
        <v>0</v>
      </c>
      <c r="F1230" s="37" t="n">
        <v>0</v>
      </c>
      <c r="G1230" s="37" t="s">
        <v>188</v>
      </c>
      <c r="H1230" s="38" t="n">
        <v>199.446067787163</v>
      </c>
      <c r="I1230" s="38" t="n">
        <v>202.591456385241</v>
      </c>
      <c r="J1230" s="38" t="n">
        <v>229.798530356922</v>
      </c>
      <c r="K1230" s="38" t="n">
        <v>255.870086861176</v>
      </c>
      <c r="L1230" s="38" t="n">
        <v>54.6190576231383</v>
      </c>
      <c r="M1230" s="38" t="n">
        <v>105.747575790871</v>
      </c>
      <c r="N1230" s="38" t="n">
        <v>143.660088814287</v>
      </c>
      <c r="O1230" s="38" t="n">
        <v>79.6791219498516</v>
      </c>
      <c r="P1230" s="37" t="n">
        <v>0</v>
      </c>
      <c r="Q1230" s="38" t="n">
        <v>0</v>
      </c>
      <c r="R1230" s="38" t="n">
        <v>72</v>
      </c>
      <c r="S1230" s="37" t="n">
        <v>0</v>
      </c>
    </row>
    <row r="1231" customFormat="false" ht="15" hidden="false" customHeight="false" outlineLevel="0" collapsed="false">
      <c r="A1231" s="37" t="n">
        <v>5</v>
      </c>
      <c r="B1231" s="37" t="n">
        <v>0</v>
      </c>
      <c r="C1231" s="37" t="n">
        <v>5</v>
      </c>
      <c r="D1231" s="37" t="n">
        <v>20</v>
      </c>
      <c r="E1231" s="37" t="n">
        <v>0</v>
      </c>
      <c r="F1231" s="37" t="n">
        <v>0</v>
      </c>
      <c r="G1231" s="37" t="s">
        <v>192</v>
      </c>
      <c r="H1231" s="38" t="n">
        <v>199.446067787163</v>
      </c>
      <c r="I1231" s="38" t="n">
        <v>202.467474411094</v>
      </c>
      <c r="J1231" s="38" t="n">
        <v>228.201429704213</v>
      </c>
      <c r="K1231" s="38" t="n">
        <v>252.961011073074</v>
      </c>
      <c r="L1231" s="38" t="n">
        <v>52.4471996139367</v>
      </c>
      <c r="M1231" s="38" t="n">
        <v>100.454750956539</v>
      </c>
      <c r="N1231" s="38" t="n">
        <v>132.996774401175</v>
      </c>
      <c r="O1231" s="38" t="n">
        <v>72.9598395309939</v>
      </c>
      <c r="P1231" s="37" t="n">
        <v>0</v>
      </c>
      <c r="Q1231" s="38" t="n">
        <v>0</v>
      </c>
      <c r="R1231" s="38" t="n">
        <v>72</v>
      </c>
      <c r="S1231" s="37" t="n">
        <v>0</v>
      </c>
    </row>
    <row r="1232" customFormat="false" ht="15" hidden="false" customHeight="false" outlineLevel="0" collapsed="false">
      <c r="A1232" s="37" t="n">
        <v>5</v>
      </c>
      <c r="B1232" s="37" t="n">
        <v>0</v>
      </c>
      <c r="C1232" s="37" t="n">
        <v>5</v>
      </c>
      <c r="D1232" s="37" t="n">
        <v>20</v>
      </c>
      <c r="E1232" s="37" t="n">
        <v>0</v>
      </c>
      <c r="F1232" s="37" t="n">
        <v>0</v>
      </c>
      <c r="G1232" s="37" t="s">
        <v>195</v>
      </c>
      <c r="H1232" s="38" t="n">
        <v>199.446067787163</v>
      </c>
      <c r="I1232" s="38" t="n">
        <v>202.814127069843</v>
      </c>
      <c r="J1232" s="38" t="n">
        <v>231.640256709295</v>
      </c>
      <c r="K1232" s="38" t="n">
        <v>259.139126975024</v>
      </c>
      <c r="L1232" s="38" t="n">
        <v>65.889126975024</v>
      </c>
      <c r="M1232" s="38" t="n">
        <v>108.562676098769</v>
      </c>
      <c r="N1232" s="38" t="n">
        <v>147.686843066011</v>
      </c>
      <c r="O1232" s="38" t="n">
        <v>79.2572067833559</v>
      </c>
      <c r="P1232" s="37" t="n">
        <v>0</v>
      </c>
      <c r="Q1232" s="38" t="n">
        <v>0</v>
      </c>
      <c r="R1232" s="38" t="n">
        <v>67.625309927222</v>
      </c>
      <c r="S1232" s="37" t="n">
        <v>1</v>
      </c>
    </row>
    <row r="1233" customFormat="false" ht="15" hidden="false" customHeight="false" outlineLevel="0" collapsed="false">
      <c r="A1233" s="37" t="n">
        <v>5</v>
      </c>
      <c r="B1233" s="37" t="n">
        <v>0</v>
      </c>
      <c r="C1233" s="37" t="n">
        <v>5</v>
      </c>
      <c r="D1233" s="37" t="n">
        <v>20</v>
      </c>
      <c r="E1233" s="37" t="n">
        <v>0</v>
      </c>
      <c r="F1233" s="37" t="n">
        <v>0</v>
      </c>
      <c r="G1233" s="37" t="s">
        <v>197</v>
      </c>
      <c r="H1233" s="38" t="n">
        <v>199.446067787163</v>
      </c>
      <c r="I1233" s="38" t="n">
        <v>202.467112952461</v>
      </c>
      <c r="J1233" s="38" t="n">
        <v>227.41463966542</v>
      </c>
      <c r="K1233" s="38" t="n">
        <v>251.967656649024</v>
      </c>
      <c r="L1233" s="38" t="n">
        <v>50.0114514826446</v>
      </c>
      <c r="M1233" s="38" t="n">
        <v>102.974503780962</v>
      </c>
      <c r="N1233" s="38" t="n">
        <v>129.684960264414</v>
      </c>
      <c r="O1233" s="38" t="n">
        <v>73.707926447113</v>
      </c>
      <c r="P1233" s="37" t="n">
        <v>0</v>
      </c>
      <c r="Q1233" s="38" t="n">
        <v>0</v>
      </c>
      <c r="R1233" s="38" t="n">
        <v>72</v>
      </c>
      <c r="S1233" s="37" t="n">
        <v>0</v>
      </c>
    </row>
    <row r="1234" customFormat="false" ht="15" hidden="false" customHeight="false" outlineLevel="0" collapsed="false">
      <c r="A1234" s="37" t="n">
        <v>5</v>
      </c>
      <c r="B1234" s="37" t="n">
        <v>0</v>
      </c>
      <c r="C1234" s="37" t="n">
        <v>5</v>
      </c>
      <c r="D1234" s="37" t="n">
        <v>20</v>
      </c>
      <c r="E1234" s="37" t="n">
        <v>0</v>
      </c>
      <c r="F1234" s="37" t="n">
        <v>0</v>
      </c>
      <c r="G1234" s="37" t="s">
        <v>196</v>
      </c>
      <c r="H1234" s="38" t="n">
        <v>199.446067787163</v>
      </c>
      <c r="I1234" s="38" t="n">
        <v>202.470116046139</v>
      </c>
      <c r="J1234" s="38" t="n">
        <v>219.718357920252</v>
      </c>
      <c r="K1234" s="38" t="n">
        <v>253.385352398509</v>
      </c>
      <c r="L1234" s="38" t="n">
        <v>59.8297968429529</v>
      </c>
      <c r="M1234" s="38" t="n">
        <v>105.908853243054</v>
      </c>
      <c r="N1234" s="38" t="n">
        <v>136.749753982827</v>
      </c>
      <c r="O1234" s="38" t="n">
        <v>74.2175773709346</v>
      </c>
      <c r="P1234" s="37" t="n">
        <v>0</v>
      </c>
      <c r="Q1234" s="38" t="n">
        <v>0</v>
      </c>
      <c r="R1234" s="38" t="n">
        <v>70.604</v>
      </c>
      <c r="S1234" s="37" t="n">
        <v>0</v>
      </c>
    </row>
    <row r="1235" customFormat="false" ht="15" hidden="false" customHeight="false" outlineLevel="0" collapsed="false">
      <c r="A1235" s="37" t="n">
        <v>5</v>
      </c>
      <c r="B1235" s="37" t="n">
        <v>0</v>
      </c>
      <c r="C1235" s="37" t="n">
        <v>10</v>
      </c>
      <c r="D1235" s="37" t="n">
        <v>0</v>
      </c>
      <c r="E1235" s="37" t="n">
        <v>0</v>
      </c>
      <c r="F1235" s="37" t="n">
        <v>15</v>
      </c>
      <c r="G1235" s="37" t="s">
        <v>188</v>
      </c>
      <c r="H1235" s="38" t="n">
        <v>198.917255457399</v>
      </c>
      <c r="I1235" s="38" t="n">
        <v>201.850306137404</v>
      </c>
      <c r="J1235" s="38" t="n">
        <v>221.703288356301</v>
      </c>
      <c r="K1235" s="38" t="n">
        <v>275.868799931052</v>
      </c>
      <c r="L1235" s="38" t="n">
        <v>193.497215178329</v>
      </c>
      <c r="M1235" s="38" t="n">
        <v>109.568050048311</v>
      </c>
      <c r="N1235" s="38" t="n">
        <v>143.315419422994</v>
      </c>
      <c r="O1235" s="38" t="n">
        <v>77.8728896784989</v>
      </c>
      <c r="P1235" s="37" t="n">
        <v>0</v>
      </c>
      <c r="Q1235" s="38" t="n">
        <v>0</v>
      </c>
      <c r="R1235" s="38" t="n">
        <v>70.5</v>
      </c>
      <c r="S1235" s="37" t="n">
        <v>1</v>
      </c>
    </row>
    <row r="1236" customFormat="false" ht="15" hidden="false" customHeight="false" outlineLevel="0" collapsed="false">
      <c r="A1236" s="37" t="n">
        <v>5</v>
      </c>
      <c r="B1236" s="37" t="n">
        <v>0</v>
      </c>
      <c r="C1236" s="37" t="n">
        <v>10</v>
      </c>
      <c r="D1236" s="37" t="n">
        <v>0</v>
      </c>
      <c r="E1236" s="37" t="n">
        <v>0</v>
      </c>
      <c r="F1236" s="37" t="n">
        <v>15</v>
      </c>
      <c r="G1236" s="37" t="s">
        <v>192</v>
      </c>
      <c r="H1236" s="38" t="n">
        <v>198.917255457399</v>
      </c>
      <c r="I1236" s="38" t="n">
        <v>201.690313867931</v>
      </c>
      <c r="J1236" s="38" t="n">
        <v>220.186797011049</v>
      </c>
      <c r="K1236" s="38" t="n">
        <v>272.719379152646</v>
      </c>
      <c r="L1236" s="38" t="n">
        <v>191.806274178395</v>
      </c>
      <c r="M1236" s="38" t="n">
        <v>104.121933484716</v>
      </c>
      <c r="N1236" s="38" t="n">
        <v>132.830865408443</v>
      </c>
      <c r="O1236" s="38" t="n">
        <v>71.8946456511162</v>
      </c>
      <c r="P1236" s="37" t="n">
        <v>0</v>
      </c>
      <c r="Q1236" s="38" t="n">
        <v>0</v>
      </c>
      <c r="R1236" s="38" t="n">
        <v>70.5</v>
      </c>
      <c r="S1236" s="37" t="n">
        <v>0</v>
      </c>
    </row>
    <row r="1237" customFormat="false" ht="15" hidden="false" customHeight="false" outlineLevel="0" collapsed="false">
      <c r="A1237" s="37" t="n">
        <v>5</v>
      </c>
      <c r="B1237" s="37" t="n">
        <v>0</v>
      </c>
      <c r="C1237" s="37" t="n">
        <v>10</v>
      </c>
      <c r="D1237" s="37" t="n">
        <v>0</v>
      </c>
      <c r="E1237" s="37" t="n">
        <v>0</v>
      </c>
      <c r="F1237" s="37" t="n">
        <v>15</v>
      </c>
      <c r="G1237" s="37" t="s">
        <v>195</v>
      </c>
      <c r="H1237" s="38" t="n">
        <v>198.917255457399</v>
      </c>
      <c r="I1237" s="38" t="n">
        <v>201.72843717953</v>
      </c>
      <c r="J1237" s="38" t="n">
        <v>216.092258129132</v>
      </c>
      <c r="K1237" s="38" t="n">
        <v>264.450054574017</v>
      </c>
      <c r="L1237" s="38" t="n">
        <v>186.008674938261</v>
      </c>
      <c r="M1237" s="38" t="n">
        <v>107.196174286163</v>
      </c>
      <c r="N1237" s="38" t="n">
        <v>129.402548211749</v>
      </c>
      <c r="O1237" s="38" t="n">
        <v>71.1927628013325</v>
      </c>
      <c r="P1237" s="37" t="n">
        <v>0</v>
      </c>
      <c r="Q1237" s="38" t="n">
        <v>0</v>
      </c>
      <c r="R1237" s="38" t="n">
        <v>68.6425861092731</v>
      </c>
      <c r="S1237" s="37" t="n">
        <v>0</v>
      </c>
    </row>
    <row r="1238" customFormat="false" ht="15" hidden="false" customHeight="false" outlineLevel="0" collapsed="false">
      <c r="A1238" s="37" t="n">
        <v>5</v>
      </c>
      <c r="B1238" s="37" t="n">
        <v>0</v>
      </c>
      <c r="C1238" s="37" t="n">
        <v>10</v>
      </c>
      <c r="D1238" s="37" t="n">
        <v>0</v>
      </c>
      <c r="E1238" s="37" t="n">
        <v>0</v>
      </c>
      <c r="F1238" s="37" t="n">
        <v>15</v>
      </c>
      <c r="G1238" s="37" t="s">
        <v>197</v>
      </c>
      <c r="H1238" s="38" t="n">
        <v>198.917255457399</v>
      </c>
      <c r="I1238" s="38" t="n">
        <v>201.681540342998</v>
      </c>
      <c r="J1238" s="38" t="n">
        <v>219.005695449905</v>
      </c>
      <c r="K1238" s="38" t="n">
        <v>271.132308526106</v>
      </c>
      <c r="L1238" s="38" t="n">
        <v>188.671805393673</v>
      </c>
      <c r="M1238" s="38" t="n">
        <v>104.585649981109</v>
      </c>
      <c r="N1238" s="38" t="n">
        <v>124.031400607333</v>
      </c>
      <c r="O1238" s="38" t="n">
        <v>70.9729916590482</v>
      </c>
      <c r="P1238" s="37" t="n">
        <v>0</v>
      </c>
      <c r="Q1238" s="38" t="n">
        <v>0</v>
      </c>
      <c r="R1238" s="38" t="n">
        <v>70.5</v>
      </c>
      <c r="S1238" s="37" t="n">
        <v>0</v>
      </c>
    </row>
    <row r="1239" customFormat="false" ht="15" hidden="false" customHeight="false" outlineLevel="0" collapsed="false">
      <c r="A1239" s="37" t="n">
        <v>5</v>
      </c>
      <c r="B1239" s="37" t="n">
        <v>0</v>
      </c>
      <c r="C1239" s="37" t="n">
        <v>10</v>
      </c>
      <c r="D1239" s="37" t="n">
        <v>0</v>
      </c>
      <c r="E1239" s="37" t="n">
        <v>0</v>
      </c>
      <c r="F1239" s="37" t="n">
        <v>15</v>
      </c>
      <c r="G1239" s="37" t="s">
        <v>196</v>
      </c>
      <c r="H1239" s="38" t="n">
        <v>198.917255457399</v>
      </c>
      <c r="I1239" s="38" t="n">
        <v>201.694839296787</v>
      </c>
      <c r="J1239" s="38" t="n">
        <v>219.783344402525</v>
      </c>
      <c r="K1239" s="38" t="n">
        <v>272.327821943596</v>
      </c>
      <c r="L1239" s="38" t="n">
        <v>196.286891095557</v>
      </c>
      <c r="M1239" s="38" t="n">
        <v>106.659623543058</v>
      </c>
      <c r="N1239" s="38" t="n">
        <v>133.16573924266</v>
      </c>
      <c r="O1239" s="38" t="n">
        <v>74.7158974686807</v>
      </c>
      <c r="P1239" s="37" t="n">
        <v>0</v>
      </c>
      <c r="Q1239" s="38" t="n">
        <v>0</v>
      </c>
      <c r="R1239" s="38" t="n">
        <v>69.6035099298041</v>
      </c>
      <c r="S1239" s="37" t="n">
        <v>0</v>
      </c>
    </row>
    <row r="1240" customFormat="false" ht="15" hidden="false" customHeight="false" outlineLevel="0" collapsed="false">
      <c r="A1240" s="37" t="n">
        <v>5</v>
      </c>
      <c r="B1240" s="37" t="n">
        <v>0</v>
      </c>
      <c r="C1240" s="37" t="n">
        <v>10</v>
      </c>
      <c r="D1240" s="37" t="n">
        <v>0</v>
      </c>
      <c r="E1240" s="37" t="n">
        <v>5</v>
      </c>
      <c r="F1240" s="37" t="n">
        <v>10</v>
      </c>
      <c r="G1240" s="37" t="s">
        <v>188</v>
      </c>
      <c r="H1240" s="38" t="n">
        <v>198.914853707074</v>
      </c>
      <c r="I1240" s="38" t="n">
        <v>201.890609340024</v>
      </c>
      <c r="J1240" s="38" t="n">
        <v>224.288806884961</v>
      </c>
      <c r="K1240" s="38" t="n">
        <v>279.315318773272</v>
      </c>
      <c r="L1240" s="38" t="n">
        <v>157.13788653661</v>
      </c>
      <c r="M1240" s="38" t="n">
        <v>110.309942670245</v>
      </c>
      <c r="N1240" s="38" t="n">
        <v>149.530957588209</v>
      </c>
      <c r="O1240" s="38" t="n">
        <v>78.7355642671711</v>
      </c>
      <c r="P1240" s="37" t="n">
        <v>0</v>
      </c>
      <c r="Q1240" s="38" t="n">
        <v>0</v>
      </c>
      <c r="R1240" s="38" t="n">
        <v>70.5</v>
      </c>
      <c r="S1240" s="37" t="n">
        <v>1</v>
      </c>
    </row>
    <row r="1241" customFormat="false" ht="15" hidden="false" customHeight="false" outlineLevel="0" collapsed="false">
      <c r="A1241" s="37" t="n">
        <v>5</v>
      </c>
      <c r="B1241" s="37" t="n">
        <v>0</v>
      </c>
      <c r="C1241" s="37" t="n">
        <v>10</v>
      </c>
      <c r="D1241" s="37" t="n">
        <v>0</v>
      </c>
      <c r="E1241" s="37" t="n">
        <v>5</v>
      </c>
      <c r="F1241" s="37" t="n">
        <v>10</v>
      </c>
      <c r="G1241" s="37" t="s">
        <v>192</v>
      </c>
      <c r="H1241" s="38" t="n">
        <v>198.914853707074</v>
      </c>
      <c r="I1241" s="38" t="n">
        <v>201.730066763616</v>
      </c>
      <c r="J1241" s="38" t="n">
        <v>222.318562034964</v>
      </c>
      <c r="K1241" s="38" t="n">
        <v>275.590363652974</v>
      </c>
      <c r="L1241" s="38" t="n">
        <v>154.645460546303</v>
      </c>
      <c r="M1241" s="38" t="n">
        <v>104.908669799258</v>
      </c>
      <c r="N1241" s="38" t="n">
        <v>138.284736717058</v>
      </c>
      <c r="O1241" s="38" t="n">
        <v>72.7711010594333</v>
      </c>
      <c r="P1241" s="37" t="n">
        <v>0</v>
      </c>
      <c r="Q1241" s="38" t="n">
        <v>0</v>
      </c>
      <c r="R1241" s="38" t="n">
        <v>70.5</v>
      </c>
      <c r="S1241" s="37" t="n">
        <v>0</v>
      </c>
    </row>
    <row r="1242" customFormat="false" ht="15" hidden="false" customHeight="false" outlineLevel="0" collapsed="false">
      <c r="A1242" s="37" t="n">
        <v>5</v>
      </c>
      <c r="B1242" s="37" t="n">
        <v>0</v>
      </c>
      <c r="C1242" s="37" t="n">
        <v>10</v>
      </c>
      <c r="D1242" s="37" t="n">
        <v>0</v>
      </c>
      <c r="E1242" s="37" t="n">
        <v>5</v>
      </c>
      <c r="F1242" s="37" t="n">
        <v>10</v>
      </c>
      <c r="G1242" s="37" t="s">
        <v>195</v>
      </c>
      <c r="H1242" s="38" t="n">
        <v>198.914853707074</v>
      </c>
      <c r="I1242" s="38" t="n">
        <v>201.774228230857</v>
      </c>
      <c r="J1242" s="38" t="n">
        <v>218.199553634582</v>
      </c>
      <c r="K1242" s="38" t="n">
        <v>267.310305454728</v>
      </c>
      <c r="L1242" s="38" t="n">
        <v>148.769517621837</v>
      </c>
      <c r="M1242" s="38" t="n">
        <v>107.998066206674</v>
      </c>
      <c r="N1242" s="38" t="n">
        <v>134.972525103644</v>
      </c>
      <c r="O1242" s="38" t="n">
        <v>72.1690330311438</v>
      </c>
      <c r="P1242" s="37" t="n">
        <v>0</v>
      </c>
      <c r="Q1242" s="38" t="n">
        <v>0</v>
      </c>
      <c r="R1242" s="38" t="n">
        <v>68.6127636501327</v>
      </c>
      <c r="S1242" s="37" t="n">
        <v>0</v>
      </c>
    </row>
    <row r="1243" customFormat="false" ht="15" hidden="false" customHeight="false" outlineLevel="0" collapsed="false">
      <c r="A1243" s="37" t="n">
        <v>5</v>
      </c>
      <c r="B1243" s="37" t="n">
        <v>0</v>
      </c>
      <c r="C1243" s="37" t="n">
        <v>10</v>
      </c>
      <c r="D1243" s="37" t="n">
        <v>0</v>
      </c>
      <c r="E1243" s="37" t="n">
        <v>5</v>
      </c>
      <c r="F1243" s="37" t="n">
        <v>10</v>
      </c>
      <c r="G1243" s="37" t="s">
        <v>197</v>
      </c>
      <c r="H1243" s="38" t="n">
        <v>198.914853707074</v>
      </c>
      <c r="I1243" s="38" t="n">
        <v>201.736193526734</v>
      </c>
      <c r="J1243" s="38" t="n">
        <v>221.933096198801</v>
      </c>
      <c r="K1243" s="38" t="n">
        <v>275.201186963685</v>
      </c>
      <c r="L1243" s="38" t="n">
        <v>153.26168358492</v>
      </c>
      <c r="M1243" s="38" t="n">
        <v>108.775780414434</v>
      </c>
      <c r="N1243" s="38" t="n">
        <v>139.183576048186</v>
      </c>
      <c r="O1243" s="38" t="n">
        <v>75.9472354403115</v>
      </c>
      <c r="P1243" s="37" t="n">
        <v>0</v>
      </c>
      <c r="Q1243" s="38" t="n">
        <v>0</v>
      </c>
      <c r="R1243" s="38" t="n">
        <v>70.5</v>
      </c>
      <c r="S1243" s="37" t="n">
        <v>0</v>
      </c>
    </row>
    <row r="1244" customFormat="false" ht="15" hidden="false" customHeight="false" outlineLevel="0" collapsed="false">
      <c r="A1244" s="37" t="n">
        <v>5</v>
      </c>
      <c r="B1244" s="37" t="n">
        <v>0</v>
      </c>
      <c r="C1244" s="37" t="n">
        <v>10</v>
      </c>
      <c r="D1244" s="37" t="n">
        <v>0</v>
      </c>
      <c r="E1244" s="37" t="n">
        <v>5</v>
      </c>
      <c r="F1244" s="37" t="n">
        <v>10</v>
      </c>
      <c r="G1244" s="37" t="s">
        <v>196</v>
      </c>
      <c r="H1244" s="38" t="n">
        <v>198.914853707074</v>
      </c>
      <c r="I1244" s="38" t="n">
        <v>201.740370908865</v>
      </c>
      <c r="J1244" s="38" t="n">
        <v>221.823173048933</v>
      </c>
      <c r="K1244" s="38" t="n">
        <v>275.149555260888</v>
      </c>
      <c r="L1244" s="38" t="n">
        <v>158.672408569125</v>
      </c>
      <c r="M1244" s="38" t="n">
        <v>108.160110726452</v>
      </c>
      <c r="N1244" s="38" t="n">
        <v>140.305892792175</v>
      </c>
      <c r="O1244" s="38" t="n">
        <v>76.7747808847356</v>
      </c>
      <c r="P1244" s="37" t="n">
        <v>0</v>
      </c>
      <c r="Q1244" s="38" t="n">
        <v>0</v>
      </c>
      <c r="R1244" s="38" t="n">
        <v>69.4988181273104</v>
      </c>
      <c r="S1244" s="37" t="n">
        <v>0</v>
      </c>
    </row>
    <row r="1245" customFormat="false" ht="15" hidden="false" customHeight="false" outlineLevel="0" collapsed="false">
      <c r="A1245" s="37" t="n">
        <v>5</v>
      </c>
      <c r="B1245" s="37" t="n">
        <v>0</v>
      </c>
      <c r="C1245" s="37" t="n">
        <v>10</v>
      </c>
      <c r="D1245" s="37" t="n">
        <v>0</v>
      </c>
      <c r="E1245" s="37" t="n">
        <v>10</v>
      </c>
      <c r="F1245" s="37" t="n">
        <v>5</v>
      </c>
      <c r="G1245" s="37" t="s">
        <v>188</v>
      </c>
      <c r="H1245" s="38" t="n">
        <v>198.92720387493</v>
      </c>
      <c r="I1245" s="38" t="n">
        <v>202.039667118292</v>
      </c>
      <c r="J1245" s="38" t="n">
        <v>226.408318324392</v>
      </c>
      <c r="K1245" s="38" t="n">
        <v>282.567848163455</v>
      </c>
      <c r="L1245" s="38" t="n">
        <v>120.570094424814</v>
      </c>
      <c r="M1245" s="38" t="n">
        <v>111.182927692192</v>
      </c>
      <c r="N1245" s="38" t="n">
        <v>154.359497450666</v>
      </c>
      <c r="O1245" s="38" t="n">
        <v>78.4741928315361</v>
      </c>
      <c r="P1245" s="37" t="n">
        <v>0</v>
      </c>
      <c r="Q1245" s="38" t="n">
        <v>0</v>
      </c>
      <c r="R1245" s="38" t="n">
        <v>70.5</v>
      </c>
      <c r="S1245" s="37" t="n">
        <v>1</v>
      </c>
    </row>
    <row r="1246" customFormat="false" ht="15" hidden="false" customHeight="false" outlineLevel="0" collapsed="false">
      <c r="A1246" s="37" t="n">
        <v>5</v>
      </c>
      <c r="B1246" s="37" t="n">
        <v>0</v>
      </c>
      <c r="C1246" s="37" t="n">
        <v>10</v>
      </c>
      <c r="D1246" s="37" t="n">
        <v>0</v>
      </c>
      <c r="E1246" s="37" t="n">
        <v>10</v>
      </c>
      <c r="F1246" s="37" t="n">
        <v>5</v>
      </c>
      <c r="G1246" s="37" t="s">
        <v>192</v>
      </c>
      <c r="H1246" s="38" t="n">
        <v>198.92720387493</v>
      </c>
      <c r="I1246" s="38" t="n">
        <v>201.883654335856</v>
      </c>
      <c r="J1246" s="38" t="n">
        <v>224.231128537763</v>
      </c>
      <c r="K1246" s="38" t="n">
        <v>278.62915542658</v>
      </c>
      <c r="L1246" s="38" t="n">
        <v>117.662351834725</v>
      </c>
      <c r="M1246" s="38" t="n">
        <v>105.832931655197</v>
      </c>
      <c r="N1246" s="38" t="n">
        <v>142.849900877641</v>
      </c>
      <c r="O1246" s="38" t="n">
        <v>72.5636002207026</v>
      </c>
      <c r="P1246" s="37" t="n">
        <v>0</v>
      </c>
      <c r="Q1246" s="38" t="n">
        <v>0</v>
      </c>
      <c r="R1246" s="38" t="n">
        <v>70.5</v>
      </c>
      <c r="S1246" s="37" t="n">
        <v>0</v>
      </c>
    </row>
    <row r="1247" customFormat="false" ht="15" hidden="false" customHeight="false" outlineLevel="0" collapsed="false">
      <c r="A1247" s="37" t="n">
        <v>5</v>
      </c>
      <c r="B1247" s="37" t="n">
        <v>0</v>
      </c>
      <c r="C1247" s="37" t="n">
        <v>10</v>
      </c>
      <c r="D1247" s="37" t="n">
        <v>0</v>
      </c>
      <c r="E1247" s="37" t="n">
        <v>10</v>
      </c>
      <c r="F1247" s="37" t="n">
        <v>5</v>
      </c>
      <c r="G1247" s="37" t="s">
        <v>195</v>
      </c>
      <c r="H1247" s="38" t="n">
        <v>198.92720387493</v>
      </c>
      <c r="I1247" s="38" t="n">
        <v>201.934529677969</v>
      </c>
      <c r="J1247" s="38" t="n">
        <v>220.05705552686</v>
      </c>
      <c r="K1247" s="38" t="n">
        <v>270.345614268784</v>
      </c>
      <c r="L1247" s="38" t="n">
        <v>111.739517898779</v>
      </c>
      <c r="M1247" s="38" t="n">
        <v>108.938855281184</v>
      </c>
      <c r="N1247" s="38" t="n">
        <v>139.53696737879</v>
      </c>
      <c r="O1247" s="38" t="n">
        <v>71.9393477502474</v>
      </c>
      <c r="P1247" s="37" t="n">
        <v>0</v>
      </c>
      <c r="Q1247" s="38" t="n">
        <v>0</v>
      </c>
      <c r="R1247" s="38" t="n">
        <v>68.5931710889985</v>
      </c>
      <c r="S1247" s="37" t="n">
        <v>0</v>
      </c>
    </row>
    <row r="1248" customFormat="false" ht="15" hidden="false" customHeight="false" outlineLevel="0" collapsed="false">
      <c r="A1248" s="37" t="n">
        <v>5</v>
      </c>
      <c r="B1248" s="37" t="n">
        <v>0</v>
      </c>
      <c r="C1248" s="37" t="n">
        <v>10</v>
      </c>
      <c r="D1248" s="37" t="n">
        <v>0</v>
      </c>
      <c r="E1248" s="37" t="n">
        <v>10</v>
      </c>
      <c r="F1248" s="37" t="n">
        <v>5</v>
      </c>
      <c r="G1248" s="37" t="s">
        <v>197</v>
      </c>
      <c r="H1248" s="38" t="n">
        <v>198.92720387493</v>
      </c>
      <c r="I1248" s="38" t="n">
        <v>201.913175512229</v>
      </c>
      <c r="J1248" s="38" t="n">
        <v>224.941549095686</v>
      </c>
      <c r="K1248" s="38" t="n">
        <v>279.799607284614</v>
      </c>
      <c r="L1248" s="38" t="n">
        <v>118.533427565279</v>
      </c>
      <c r="M1248" s="38" t="n">
        <v>112.361247377822</v>
      </c>
      <c r="N1248" s="38" t="n">
        <v>152.237233226424</v>
      </c>
      <c r="O1248" s="38" t="n">
        <v>77.5823919372552</v>
      </c>
      <c r="P1248" s="37" t="n">
        <v>0</v>
      </c>
      <c r="Q1248" s="38" t="n">
        <v>0</v>
      </c>
      <c r="R1248" s="38" t="n">
        <v>70.5</v>
      </c>
      <c r="S1248" s="37" t="n">
        <v>0</v>
      </c>
    </row>
    <row r="1249" customFormat="false" ht="15" hidden="false" customHeight="false" outlineLevel="0" collapsed="false">
      <c r="A1249" s="37" t="n">
        <v>5</v>
      </c>
      <c r="B1249" s="37" t="n">
        <v>0</v>
      </c>
      <c r="C1249" s="37" t="n">
        <v>10</v>
      </c>
      <c r="D1249" s="37" t="n">
        <v>0</v>
      </c>
      <c r="E1249" s="37" t="n">
        <v>10</v>
      </c>
      <c r="F1249" s="37" t="n">
        <v>5</v>
      </c>
      <c r="G1249" s="37" t="s">
        <v>196</v>
      </c>
      <c r="H1249" s="38" t="n">
        <v>198.92720387493</v>
      </c>
      <c r="I1249" s="38" t="n">
        <v>201.897770570799</v>
      </c>
      <c r="J1249" s="38" t="n">
        <v>223.771269832896</v>
      </c>
      <c r="K1249" s="38" t="n">
        <v>278.29162941117</v>
      </c>
      <c r="L1249" s="38" t="n">
        <v>121.749699814507</v>
      </c>
      <c r="M1249" s="38" t="n">
        <v>109.626498306729</v>
      </c>
      <c r="N1249" s="38" t="n">
        <v>146.275807065824</v>
      </c>
      <c r="O1249" s="38" t="n">
        <v>77.1270794051603</v>
      </c>
      <c r="P1249" s="37" t="n">
        <v>0</v>
      </c>
      <c r="Q1249" s="38" t="n">
        <v>0</v>
      </c>
      <c r="R1249" s="38" t="n">
        <v>69.4832702301342</v>
      </c>
      <c r="S1249" s="37" t="n">
        <v>0</v>
      </c>
    </row>
    <row r="1250" customFormat="false" ht="15" hidden="false" customHeight="false" outlineLevel="0" collapsed="false">
      <c r="A1250" s="37" t="n">
        <v>5</v>
      </c>
      <c r="B1250" s="37" t="n">
        <v>0</v>
      </c>
      <c r="C1250" s="37" t="n">
        <v>10</v>
      </c>
      <c r="D1250" s="37" t="n">
        <v>0</v>
      </c>
      <c r="E1250" s="37" t="n">
        <v>15</v>
      </c>
      <c r="F1250" s="37" t="n">
        <v>0</v>
      </c>
      <c r="G1250" s="37" t="s">
        <v>188</v>
      </c>
      <c r="H1250" s="38" t="n">
        <v>198.926286584161</v>
      </c>
      <c r="I1250" s="38" t="n">
        <v>201.964523257599</v>
      </c>
      <c r="J1250" s="38" t="n">
        <v>227.037492233187</v>
      </c>
      <c r="K1250" s="38" t="n">
        <v>282.892227872367</v>
      </c>
      <c r="L1250" s="38" t="n">
        <v>80.997197960329</v>
      </c>
      <c r="M1250" s="38" t="n">
        <v>111.371036239606</v>
      </c>
      <c r="N1250" s="38" t="n">
        <v>156.648944157132</v>
      </c>
      <c r="O1250" s="38" t="n">
        <v>77.4353415482109</v>
      </c>
      <c r="P1250" s="37" t="n">
        <v>0</v>
      </c>
      <c r="Q1250" s="38" t="n">
        <v>0</v>
      </c>
      <c r="R1250" s="38" t="n">
        <v>70.5</v>
      </c>
      <c r="S1250" s="37" t="n">
        <v>0</v>
      </c>
    </row>
    <row r="1251" customFormat="false" ht="15" hidden="false" customHeight="false" outlineLevel="0" collapsed="false">
      <c r="A1251" s="37" t="n">
        <v>5</v>
      </c>
      <c r="B1251" s="37" t="n">
        <v>0</v>
      </c>
      <c r="C1251" s="37" t="n">
        <v>10</v>
      </c>
      <c r="D1251" s="37" t="n">
        <v>0</v>
      </c>
      <c r="E1251" s="37" t="n">
        <v>15</v>
      </c>
      <c r="F1251" s="37" t="n">
        <v>0</v>
      </c>
      <c r="G1251" s="37" t="s">
        <v>192</v>
      </c>
      <c r="H1251" s="38" t="n">
        <v>198.926286584161</v>
      </c>
      <c r="I1251" s="38" t="n">
        <v>201.815741444158</v>
      </c>
      <c r="J1251" s="38" t="n">
        <v>224.787766763063</v>
      </c>
      <c r="K1251" s="38" t="n">
        <v>278.946537249168</v>
      </c>
      <c r="L1251" s="38" t="n">
        <v>77.9492678959962</v>
      </c>
      <c r="M1251" s="38" t="n">
        <v>106.095974687788</v>
      </c>
      <c r="N1251" s="38" t="n">
        <v>145.027033379256</v>
      </c>
      <c r="O1251" s="38" t="n">
        <v>71.6794775046692</v>
      </c>
      <c r="P1251" s="37" t="n">
        <v>0</v>
      </c>
      <c r="Q1251" s="38" t="n">
        <v>0</v>
      </c>
      <c r="R1251" s="38" t="n">
        <v>70.5</v>
      </c>
      <c r="S1251" s="37" t="n">
        <v>0</v>
      </c>
    </row>
    <row r="1252" customFormat="false" ht="15" hidden="false" customHeight="false" outlineLevel="0" collapsed="false">
      <c r="A1252" s="37" t="n">
        <v>5</v>
      </c>
      <c r="B1252" s="37" t="n">
        <v>0</v>
      </c>
      <c r="C1252" s="37" t="n">
        <v>10</v>
      </c>
      <c r="D1252" s="37" t="n">
        <v>0</v>
      </c>
      <c r="E1252" s="37" t="n">
        <v>15</v>
      </c>
      <c r="F1252" s="37" t="n">
        <v>0</v>
      </c>
      <c r="G1252" s="37" t="s">
        <v>195</v>
      </c>
      <c r="H1252" s="38" t="n">
        <v>198.926286584161</v>
      </c>
      <c r="I1252" s="38" t="n">
        <v>201.871064014082</v>
      </c>
      <c r="J1252" s="38" t="n">
        <v>220.522471140788</v>
      </c>
      <c r="K1252" s="38" t="n">
        <v>270.614294180316</v>
      </c>
      <c r="L1252" s="38" t="n">
        <v>71.9430383808171</v>
      </c>
      <c r="M1252" s="38" t="n">
        <v>109.213406183724</v>
      </c>
      <c r="N1252" s="38" t="n">
        <v>141.544099898847</v>
      </c>
      <c r="O1252" s="38" t="n">
        <v>71.0386311970348</v>
      </c>
      <c r="P1252" s="37" t="n">
        <v>0</v>
      </c>
      <c r="Q1252" s="38" t="n">
        <v>0</v>
      </c>
      <c r="R1252" s="38" t="n">
        <v>68.5736232601502</v>
      </c>
      <c r="S1252" s="37" t="n">
        <v>0</v>
      </c>
    </row>
    <row r="1253" customFormat="false" ht="15" hidden="false" customHeight="false" outlineLevel="0" collapsed="false">
      <c r="A1253" s="37" t="n">
        <v>5</v>
      </c>
      <c r="B1253" s="37" t="n">
        <v>0</v>
      </c>
      <c r="C1253" s="37" t="n">
        <v>10</v>
      </c>
      <c r="D1253" s="37" t="n">
        <v>0</v>
      </c>
      <c r="E1253" s="37" t="n">
        <v>15</v>
      </c>
      <c r="F1253" s="37" t="n">
        <v>0</v>
      </c>
      <c r="G1253" s="37" t="s">
        <v>197</v>
      </c>
      <c r="H1253" s="38" t="n">
        <v>198.926286584161</v>
      </c>
      <c r="I1253" s="38" t="n">
        <v>201.867487848632</v>
      </c>
      <c r="J1253" s="38" t="n">
        <v>226.355356393639</v>
      </c>
      <c r="K1253" s="38" t="n">
        <v>281.368116571374</v>
      </c>
      <c r="L1253" s="38" t="n">
        <v>80.5217110268762</v>
      </c>
      <c r="M1253" s="38" t="n">
        <v>114.215961490023</v>
      </c>
      <c r="N1253" s="38" t="n">
        <v>157.409496332191</v>
      </c>
      <c r="O1253" s="38" t="n">
        <v>77.3208234222555</v>
      </c>
      <c r="P1253" s="37" t="n">
        <v>0</v>
      </c>
      <c r="Q1253" s="38" t="n">
        <v>0</v>
      </c>
      <c r="R1253" s="38" t="n">
        <v>70.5</v>
      </c>
      <c r="S1253" s="37" t="n">
        <v>1</v>
      </c>
    </row>
    <row r="1254" customFormat="false" ht="15" hidden="false" customHeight="false" outlineLevel="0" collapsed="false">
      <c r="A1254" s="37" t="n">
        <v>5</v>
      </c>
      <c r="B1254" s="37" t="n">
        <v>0</v>
      </c>
      <c r="C1254" s="37" t="n">
        <v>10</v>
      </c>
      <c r="D1254" s="37" t="n">
        <v>0</v>
      </c>
      <c r="E1254" s="37" t="n">
        <v>15</v>
      </c>
      <c r="F1254" s="37" t="n">
        <v>0</v>
      </c>
      <c r="G1254" s="37" t="s">
        <v>196</v>
      </c>
      <c r="H1254" s="38" t="n">
        <v>198.926286584161</v>
      </c>
      <c r="I1254" s="38" t="n">
        <v>201.836270680154</v>
      </c>
      <c r="J1254" s="38" t="n">
        <v>224.36090174573</v>
      </c>
      <c r="K1254" s="38" t="n">
        <v>278.75286924076</v>
      </c>
      <c r="L1254" s="38" t="n">
        <v>82.1430227778945</v>
      </c>
      <c r="M1254" s="38" t="n">
        <v>110.23975911441</v>
      </c>
      <c r="N1254" s="38" t="n">
        <v>148.867090878941</v>
      </c>
      <c r="O1254" s="38" t="n">
        <v>76.1735474792051</v>
      </c>
      <c r="P1254" s="37" t="n">
        <v>0</v>
      </c>
      <c r="Q1254" s="38" t="n">
        <v>0</v>
      </c>
      <c r="R1254" s="38" t="n">
        <v>69.4669701822455</v>
      </c>
      <c r="S1254" s="37" t="n">
        <v>0</v>
      </c>
    </row>
    <row r="1255" customFormat="false" ht="15" hidden="false" customHeight="false" outlineLevel="0" collapsed="false">
      <c r="A1255" s="37" t="n">
        <v>5</v>
      </c>
      <c r="B1255" s="37" t="n">
        <v>0</v>
      </c>
      <c r="C1255" s="37" t="n">
        <v>10</v>
      </c>
      <c r="D1255" s="37" t="n">
        <v>5</v>
      </c>
      <c r="E1255" s="37" t="n">
        <v>0</v>
      </c>
      <c r="F1255" s="37" t="n">
        <v>10</v>
      </c>
      <c r="G1255" s="37" t="s">
        <v>188</v>
      </c>
      <c r="H1255" s="38" t="n">
        <v>199.143568903998</v>
      </c>
      <c r="I1255" s="38" t="n">
        <v>203.667591164782</v>
      </c>
      <c r="J1255" s="38" t="n">
        <v>232.710479083595</v>
      </c>
      <c r="K1255" s="38" t="n">
        <v>284.316121438424</v>
      </c>
      <c r="L1255" s="38" t="n">
        <v>163.167965997977</v>
      </c>
      <c r="M1255" s="38" t="n">
        <v>112.016784688995</v>
      </c>
      <c r="N1255" s="38" t="n">
        <v>152.760360177573</v>
      </c>
      <c r="O1255" s="38" t="n">
        <v>84.1475272198573</v>
      </c>
      <c r="P1255" s="37" t="n">
        <v>0</v>
      </c>
      <c r="Q1255" s="38" t="n">
        <v>0</v>
      </c>
      <c r="R1255" s="38" t="n">
        <v>72</v>
      </c>
      <c r="S1255" s="37" t="n">
        <v>1</v>
      </c>
    </row>
    <row r="1256" customFormat="false" ht="15" hidden="false" customHeight="false" outlineLevel="0" collapsed="false">
      <c r="A1256" s="37" t="n">
        <v>5</v>
      </c>
      <c r="B1256" s="37" t="n">
        <v>0</v>
      </c>
      <c r="C1256" s="37" t="n">
        <v>10</v>
      </c>
      <c r="D1256" s="37" t="n">
        <v>5</v>
      </c>
      <c r="E1256" s="37" t="n">
        <v>0</v>
      </c>
      <c r="F1256" s="37" t="n">
        <v>10</v>
      </c>
      <c r="G1256" s="37" t="s">
        <v>192</v>
      </c>
      <c r="H1256" s="38" t="n">
        <v>199.143568903998</v>
      </c>
      <c r="I1256" s="38" t="n">
        <v>203.484372734248</v>
      </c>
      <c r="J1256" s="38" t="n">
        <v>230.283353234508</v>
      </c>
      <c r="K1256" s="38" t="n">
        <v>279.869245674477</v>
      </c>
      <c r="L1256" s="38" t="n">
        <v>159.358981896037</v>
      </c>
      <c r="M1256" s="38" t="n">
        <v>106.544011292378</v>
      </c>
      <c r="N1256" s="38" t="n">
        <v>141.175312949641</v>
      </c>
      <c r="O1256" s="38" t="n">
        <v>77.5218129042178</v>
      </c>
      <c r="P1256" s="37" t="n">
        <v>0</v>
      </c>
      <c r="Q1256" s="38" t="n">
        <v>0</v>
      </c>
      <c r="R1256" s="38" t="n">
        <v>72</v>
      </c>
      <c r="S1256" s="37" t="n">
        <v>0</v>
      </c>
    </row>
    <row r="1257" customFormat="false" ht="15" hidden="false" customHeight="false" outlineLevel="0" collapsed="false">
      <c r="A1257" s="37" t="n">
        <v>5</v>
      </c>
      <c r="B1257" s="37" t="n">
        <v>0</v>
      </c>
      <c r="C1257" s="37" t="n">
        <v>10</v>
      </c>
      <c r="D1257" s="37" t="n">
        <v>5</v>
      </c>
      <c r="E1257" s="37" t="n">
        <v>0</v>
      </c>
      <c r="F1257" s="37" t="n">
        <v>10</v>
      </c>
      <c r="G1257" s="37" t="s">
        <v>195</v>
      </c>
      <c r="H1257" s="38" t="n">
        <v>199.143568903998</v>
      </c>
      <c r="I1257" s="38" t="n">
        <v>203.64758886466</v>
      </c>
      <c r="J1257" s="38" t="n">
        <v>230.287147463609</v>
      </c>
      <c r="K1257" s="38" t="n">
        <v>278.143773139153</v>
      </c>
      <c r="L1257" s="38" t="n">
        <v>161.120588793152</v>
      </c>
      <c r="M1257" s="38" t="n">
        <v>111.465967916157</v>
      </c>
      <c r="N1257" s="38" t="n">
        <v>147.345332328487</v>
      </c>
      <c r="O1257" s="38" t="n">
        <v>80.6522735465745</v>
      </c>
      <c r="P1257" s="37" t="n">
        <v>0</v>
      </c>
      <c r="Q1257" s="38" t="n">
        <v>0</v>
      </c>
      <c r="R1257" s="38" t="n">
        <v>70.5680446961996</v>
      </c>
      <c r="S1257" s="37" t="n">
        <v>0</v>
      </c>
    </row>
    <row r="1258" customFormat="false" ht="15" hidden="false" customHeight="false" outlineLevel="0" collapsed="false">
      <c r="A1258" s="37" t="n">
        <v>5</v>
      </c>
      <c r="B1258" s="37" t="n">
        <v>0</v>
      </c>
      <c r="C1258" s="37" t="n">
        <v>10</v>
      </c>
      <c r="D1258" s="37" t="n">
        <v>5</v>
      </c>
      <c r="E1258" s="37" t="n">
        <v>0</v>
      </c>
      <c r="F1258" s="37" t="n">
        <v>10</v>
      </c>
      <c r="G1258" s="37" t="s">
        <v>197</v>
      </c>
      <c r="H1258" s="38" t="n">
        <v>199.143568903998</v>
      </c>
      <c r="I1258" s="38" t="n">
        <v>203.474563592115</v>
      </c>
      <c r="J1258" s="38" t="n">
        <v>229.169236664178</v>
      </c>
      <c r="K1258" s="38" t="n">
        <v>278.343830146809</v>
      </c>
      <c r="L1258" s="38" t="n">
        <v>156.137280029428</v>
      </c>
      <c r="M1258" s="38" t="n">
        <v>107.08399327181</v>
      </c>
      <c r="N1258" s="38" t="n">
        <v>132.719538094712</v>
      </c>
      <c r="O1258" s="38" t="n">
        <v>76.9639323903954</v>
      </c>
      <c r="P1258" s="37" t="n">
        <v>0</v>
      </c>
      <c r="Q1258" s="38" t="n">
        <v>0</v>
      </c>
      <c r="R1258" s="38" t="n">
        <v>72</v>
      </c>
      <c r="S1258" s="37" t="n">
        <v>0</v>
      </c>
    </row>
    <row r="1259" customFormat="false" ht="15" hidden="false" customHeight="false" outlineLevel="0" collapsed="false">
      <c r="A1259" s="37" t="n">
        <v>5</v>
      </c>
      <c r="B1259" s="37" t="n">
        <v>0</v>
      </c>
      <c r="C1259" s="37" t="n">
        <v>10</v>
      </c>
      <c r="D1259" s="37" t="n">
        <v>5</v>
      </c>
      <c r="E1259" s="37" t="n">
        <v>0</v>
      </c>
      <c r="F1259" s="37" t="n">
        <v>10</v>
      </c>
      <c r="G1259" s="37" t="s">
        <v>196</v>
      </c>
      <c r="H1259" s="38" t="n">
        <v>199.143568903998</v>
      </c>
      <c r="I1259" s="38" t="n">
        <v>203.49159556059</v>
      </c>
      <c r="J1259" s="38" t="n">
        <v>230.037342792258</v>
      </c>
      <c r="K1259" s="38" t="n">
        <v>279.636921548886</v>
      </c>
      <c r="L1259" s="38" t="n">
        <v>163.591978313403</v>
      </c>
      <c r="M1259" s="38" t="n">
        <v>109.744556498294</v>
      </c>
      <c r="N1259" s="38" t="n">
        <v>143.204528038594</v>
      </c>
      <c r="O1259" s="38" t="n">
        <v>80.3941122049221</v>
      </c>
      <c r="P1259" s="37" t="n">
        <v>0</v>
      </c>
      <c r="Q1259" s="38" t="n">
        <v>0</v>
      </c>
      <c r="R1259" s="38" t="n">
        <v>71.1025469568174</v>
      </c>
      <c r="S1259" s="37" t="n">
        <v>0</v>
      </c>
    </row>
    <row r="1260" customFormat="false" ht="15" hidden="false" customHeight="false" outlineLevel="0" collapsed="false">
      <c r="A1260" s="37" t="n">
        <v>5</v>
      </c>
      <c r="B1260" s="37" t="n">
        <v>0</v>
      </c>
      <c r="C1260" s="37" t="n">
        <v>10</v>
      </c>
      <c r="D1260" s="37" t="n">
        <v>5</v>
      </c>
      <c r="E1260" s="37" t="n">
        <v>5</v>
      </c>
      <c r="F1260" s="37" t="n">
        <v>5</v>
      </c>
      <c r="G1260" s="37" t="s">
        <v>188</v>
      </c>
      <c r="H1260" s="38" t="n">
        <v>199.121612265021</v>
      </c>
      <c r="I1260" s="38" t="n">
        <v>203.530256028254</v>
      </c>
      <c r="J1260" s="38" t="n">
        <v>235.160726618106</v>
      </c>
      <c r="K1260" s="38" t="n">
        <v>286.747419585282</v>
      </c>
      <c r="L1260" s="38" t="n">
        <v>125.729430094204</v>
      </c>
      <c r="M1260" s="38" t="n">
        <v>112.343717471786</v>
      </c>
      <c r="N1260" s="38" t="n">
        <v>158.801142674594</v>
      </c>
      <c r="O1260" s="38" t="n">
        <v>84.1164748266828</v>
      </c>
      <c r="P1260" s="37" t="n">
        <v>0</v>
      </c>
      <c r="Q1260" s="38" t="n">
        <v>0</v>
      </c>
      <c r="R1260" s="38" t="n">
        <v>72</v>
      </c>
      <c r="S1260" s="37" t="n">
        <v>1</v>
      </c>
    </row>
    <row r="1261" customFormat="false" ht="15" hidden="false" customHeight="false" outlineLevel="0" collapsed="false">
      <c r="A1261" s="37" t="n">
        <v>5</v>
      </c>
      <c r="B1261" s="37" t="n">
        <v>0</v>
      </c>
      <c r="C1261" s="37" t="n">
        <v>10</v>
      </c>
      <c r="D1261" s="37" t="n">
        <v>5</v>
      </c>
      <c r="E1261" s="37" t="n">
        <v>5</v>
      </c>
      <c r="F1261" s="37" t="n">
        <v>5</v>
      </c>
      <c r="G1261" s="37" t="s">
        <v>192</v>
      </c>
      <c r="H1261" s="38" t="n">
        <v>199.121612265021</v>
      </c>
      <c r="I1261" s="38" t="n">
        <v>203.351116018186</v>
      </c>
      <c r="J1261" s="38" t="n">
        <v>232.378971443581</v>
      </c>
      <c r="K1261" s="38" t="n">
        <v>281.876048167408</v>
      </c>
      <c r="L1261" s="38" t="n">
        <v>121.340276748527</v>
      </c>
      <c r="M1261" s="38" t="n">
        <v>106.947495581176</v>
      </c>
      <c r="N1261" s="38" t="n">
        <v>146.664419746272</v>
      </c>
      <c r="O1261" s="38" t="n">
        <v>77.4010114618972</v>
      </c>
      <c r="P1261" s="37" t="n">
        <v>0</v>
      </c>
      <c r="Q1261" s="38" t="n">
        <v>0</v>
      </c>
      <c r="R1261" s="38" t="n">
        <v>72</v>
      </c>
      <c r="S1261" s="37" t="n">
        <v>0</v>
      </c>
    </row>
    <row r="1262" customFormat="false" ht="15" hidden="false" customHeight="false" outlineLevel="0" collapsed="false">
      <c r="A1262" s="37" t="n">
        <v>5</v>
      </c>
      <c r="B1262" s="37" t="n">
        <v>0</v>
      </c>
      <c r="C1262" s="37" t="n">
        <v>10</v>
      </c>
      <c r="D1262" s="37" t="n">
        <v>5</v>
      </c>
      <c r="E1262" s="37" t="n">
        <v>5</v>
      </c>
      <c r="F1262" s="37" t="n">
        <v>5</v>
      </c>
      <c r="G1262" s="37" t="s">
        <v>195</v>
      </c>
      <c r="H1262" s="38" t="n">
        <v>199.121612265021</v>
      </c>
      <c r="I1262" s="38" t="n">
        <v>203.521412438727</v>
      </c>
      <c r="J1262" s="38" t="n">
        <v>232.521650799459</v>
      </c>
      <c r="K1262" s="38" t="n">
        <v>280.393228393588</v>
      </c>
      <c r="L1262" s="38" t="n">
        <v>123.312672308213</v>
      </c>
      <c r="M1262" s="38" t="n">
        <v>111.832926420093</v>
      </c>
      <c r="N1262" s="38" t="n">
        <v>153.102800918688</v>
      </c>
      <c r="O1262" s="38" t="n">
        <v>80.7126806895364</v>
      </c>
      <c r="P1262" s="37" t="n">
        <v>0</v>
      </c>
      <c r="Q1262" s="38" t="n">
        <v>0</v>
      </c>
      <c r="R1262" s="38" t="n">
        <v>70.5508331743875</v>
      </c>
      <c r="S1262" s="37" t="n">
        <v>0</v>
      </c>
    </row>
    <row r="1263" customFormat="false" ht="15" hidden="false" customHeight="false" outlineLevel="0" collapsed="false">
      <c r="A1263" s="37" t="n">
        <v>5</v>
      </c>
      <c r="B1263" s="37" t="n">
        <v>0</v>
      </c>
      <c r="C1263" s="37" t="n">
        <v>10</v>
      </c>
      <c r="D1263" s="37" t="n">
        <v>5</v>
      </c>
      <c r="E1263" s="37" t="n">
        <v>5</v>
      </c>
      <c r="F1263" s="37" t="n">
        <v>5</v>
      </c>
      <c r="G1263" s="37" t="s">
        <v>197</v>
      </c>
      <c r="H1263" s="38" t="n">
        <v>199.121612265021</v>
      </c>
      <c r="I1263" s="38" t="n">
        <v>203.358670378146</v>
      </c>
      <c r="J1263" s="38" t="n">
        <v>232.0513628331</v>
      </c>
      <c r="K1263" s="38" t="n">
        <v>281.55362369613</v>
      </c>
      <c r="L1263" s="38" t="n">
        <v>119.840973803421</v>
      </c>
      <c r="M1263" s="38" t="n">
        <v>110.846563291474</v>
      </c>
      <c r="N1263" s="38" t="n">
        <v>147.797641220953</v>
      </c>
      <c r="O1263" s="38" t="n">
        <v>80.8711003515368</v>
      </c>
      <c r="P1263" s="37" t="n">
        <v>0</v>
      </c>
      <c r="Q1263" s="38" t="n">
        <v>0</v>
      </c>
      <c r="R1263" s="38" t="n">
        <v>72</v>
      </c>
      <c r="S1263" s="37" t="n">
        <v>0</v>
      </c>
    </row>
    <row r="1264" customFormat="false" ht="15" hidden="false" customHeight="false" outlineLevel="0" collapsed="false">
      <c r="A1264" s="37" t="n">
        <v>5</v>
      </c>
      <c r="B1264" s="37" t="n">
        <v>0</v>
      </c>
      <c r="C1264" s="37" t="n">
        <v>10</v>
      </c>
      <c r="D1264" s="37" t="n">
        <v>5</v>
      </c>
      <c r="E1264" s="37" t="n">
        <v>5</v>
      </c>
      <c r="F1264" s="37" t="n">
        <v>5</v>
      </c>
      <c r="G1264" s="37" t="s">
        <v>196</v>
      </c>
      <c r="H1264" s="38" t="n">
        <v>199.121612265021</v>
      </c>
      <c r="I1264" s="38" t="n">
        <v>203.36425878501</v>
      </c>
      <c r="J1264" s="38" t="n">
        <v>231.905486161528</v>
      </c>
      <c r="K1264" s="38" t="n">
        <v>281.449969530752</v>
      </c>
      <c r="L1264" s="38" t="n">
        <v>124.987823918752</v>
      </c>
      <c r="M1264" s="38" t="n">
        <v>110.836289952326</v>
      </c>
      <c r="N1264" s="38" t="n">
        <v>150.099197753801</v>
      </c>
      <c r="O1264" s="38" t="n">
        <v>81.5230076295223</v>
      </c>
      <c r="P1264" s="37" t="n">
        <v>0</v>
      </c>
      <c r="Q1264" s="38" t="n">
        <v>0</v>
      </c>
      <c r="R1264" s="38" t="n">
        <v>71.0024183864535</v>
      </c>
      <c r="S1264" s="37" t="n">
        <v>0</v>
      </c>
    </row>
    <row r="1265" customFormat="false" ht="15" hidden="false" customHeight="false" outlineLevel="0" collapsed="false">
      <c r="A1265" s="37" t="n">
        <v>5</v>
      </c>
      <c r="B1265" s="37" t="n">
        <v>0</v>
      </c>
      <c r="C1265" s="37" t="n">
        <v>10</v>
      </c>
      <c r="D1265" s="37" t="n">
        <v>5</v>
      </c>
      <c r="E1265" s="37" t="n">
        <v>10</v>
      </c>
      <c r="F1265" s="37" t="n">
        <v>0</v>
      </c>
      <c r="G1265" s="37" t="s">
        <v>188</v>
      </c>
      <c r="H1265" s="38" t="n">
        <v>199.105022266538</v>
      </c>
      <c r="I1265" s="38" t="n">
        <v>203.425292747364</v>
      </c>
      <c r="J1265" s="38" t="n">
        <v>236.761544201104</v>
      </c>
      <c r="K1265" s="38" t="n">
        <v>288.173184394913</v>
      </c>
      <c r="L1265" s="38" t="n">
        <v>87.2506475095835</v>
      </c>
      <c r="M1265" s="38" t="n">
        <v>112.596976389831</v>
      </c>
      <c r="N1265" s="38" t="n">
        <v>162.97700801997</v>
      </c>
      <c r="O1265" s="38" t="n">
        <v>83.3204048449916</v>
      </c>
      <c r="P1265" s="37" t="n">
        <v>0</v>
      </c>
      <c r="Q1265" s="38" t="n">
        <v>0</v>
      </c>
      <c r="R1265" s="38" t="n">
        <v>72</v>
      </c>
      <c r="S1265" s="37" t="n">
        <v>1</v>
      </c>
    </row>
    <row r="1266" customFormat="false" ht="15" hidden="false" customHeight="false" outlineLevel="0" collapsed="false">
      <c r="A1266" s="37" t="n">
        <v>5</v>
      </c>
      <c r="B1266" s="37" t="n">
        <v>0</v>
      </c>
      <c r="C1266" s="37" t="n">
        <v>10</v>
      </c>
      <c r="D1266" s="37" t="n">
        <v>5</v>
      </c>
      <c r="E1266" s="37" t="n">
        <v>10</v>
      </c>
      <c r="F1266" s="37" t="n">
        <v>0</v>
      </c>
      <c r="G1266" s="37" t="s">
        <v>192</v>
      </c>
      <c r="H1266" s="38" t="n">
        <v>199.105022266538</v>
      </c>
      <c r="I1266" s="38" t="n">
        <v>203.256613920671</v>
      </c>
      <c r="J1266" s="38" t="n">
        <v>233.755678341983</v>
      </c>
      <c r="K1266" s="38" t="n">
        <v>283.123234199962</v>
      </c>
      <c r="L1266" s="38" t="n">
        <v>82.5643838956021</v>
      </c>
      <c r="M1266" s="38" t="n">
        <v>107.294237993168</v>
      </c>
      <c r="N1266" s="38" t="n">
        <v>150.606149081494</v>
      </c>
      <c r="O1266" s="38" t="n">
        <v>76.7365765280475</v>
      </c>
      <c r="P1266" s="37" t="n">
        <v>0</v>
      </c>
      <c r="Q1266" s="38" t="n">
        <v>0</v>
      </c>
      <c r="R1266" s="38" t="n">
        <v>72</v>
      </c>
      <c r="S1266" s="37" t="n">
        <v>0</v>
      </c>
    </row>
    <row r="1267" customFormat="false" ht="15" hidden="false" customHeight="false" outlineLevel="0" collapsed="false">
      <c r="A1267" s="37" t="n">
        <v>5</v>
      </c>
      <c r="B1267" s="37" t="n">
        <v>0</v>
      </c>
      <c r="C1267" s="37" t="n">
        <v>10</v>
      </c>
      <c r="D1267" s="37" t="n">
        <v>5</v>
      </c>
      <c r="E1267" s="37" t="n">
        <v>10</v>
      </c>
      <c r="F1267" s="37" t="n">
        <v>0</v>
      </c>
      <c r="G1267" s="37" t="s">
        <v>195</v>
      </c>
      <c r="H1267" s="38" t="n">
        <v>199.105022266538</v>
      </c>
      <c r="I1267" s="38" t="n">
        <v>203.433372429337</v>
      </c>
      <c r="J1267" s="38" t="n">
        <v>234.068475354305</v>
      </c>
      <c r="K1267" s="38" t="n">
        <v>281.880493744018</v>
      </c>
      <c r="L1267" s="38" t="n">
        <v>84.71443568522</v>
      </c>
      <c r="M1267" s="38" t="n">
        <v>112.147902016774</v>
      </c>
      <c r="N1267" s="38" t="n">
        <v>157.298631923154</v>
      </c>
      <c r="O1267" s="38" t="n">
        <v>80.1147948694525</v>
      </c>
      <c r="P1267" s="37" t="n">
        <v>0</v>
      </c>
      <c r="Q1267" s="38" t="n">
        <v>0</v>
      </c>
      <c r="R1267" s="38" t="n">
        <v>70.5251825823606</v>
      </c>
      <c r="S1267" s="37" t="n">
        <v>0</v>
      </c>
    </row>
    <row r="1268" customFormat="false" ht="15" hidden="false" customHeight="false" outlineLevel="0" collapsed="false">
      <c r="A1268" s="37" t="n">
        <v>5</v>
      </c>
      <c r="B1268" s="37" t="n">
        <v>0</v>
      </c>
      <c r="C1268" s="37" t="n">
        <v>10</v>
      </c>
      <c r="D1268" s="37" t="n">
        <v>5</v>
      </c>
      <c r="E1268" s="37" t="n">
        <v>10</v>
      </c>
      <c r="F1268" s="37" t="n">
        <v>0</v>
      </c>
      <c r="G1268" s="37" t="s">
        <v>197</v>
      </c>
      <c r="H1268" s="38" t="n">
        <v>199.105022266538</v>
      </c>
      <c r="I1268" s="38" t="n">
        <v>203.290552667834</v>
      </c>
      <c r="J1268" s="38" t="n">
        <v>234.563233825546</v>
      </c>
      <c r="K1268" s="38" t="n">
        <v>284.424596798494</v>
      </c>
      <c r="L1268" s="38" t="n">
        <v>83.3452543437686</v>
      </c>
      <c r="M1268" s="38" t="n">
        <v>113.763551371865</v>
      </c>
      <c r="N1268" s="38" t="n">
        <v>160.08360653327</v>
      </c>
      <c r="O1268" s="38" t="n">
        <v>82.1130438395619</v>
      </c>
      <c r="P1268" s="37" t="n">
        <v>0</v>
      </c>
      <c r="Q1268" s="38" t="n">
        <v>0</v>
      </c>
      <c r="R1268" s="38" t="n">
        <v>72</v>
      </c>
      <c r="S1268" s="37" t="n">
        <v>0</v>
      </c>
    </row>
    <row r="1269" customFormat="false" ht="15" hidden="false" customHeight="false" outlineLevel="0" collapsed="false">
      <c r="A1269" s="37" t="n">
        <v>5</v>
      </c>
      <c r="B1269" s="37" t="n">
        <v>0</v>
      </c>
      <c r="C1269" s="37" t="n">
        <v>10</v>
      </c>
      <c r="D1269" s="37" t="n">
        <v>5</v>
      </c>
      <c r="E1269" s="37" t="n">
        <v>10</v>
      </c>
      <c r="F1269" s="37" t="n">
        <v>0</v>
      </c>
      <c r="G1269" s="37" t="s">
        <v>196</v>
      </c>
      <c r="H1269" s="38" t="n">
        <v>199.105022266538</v>
      </c>
      <c r="I1269" s="38" t="n">
        <v>203.276227987693</v>
      </c>
      <c r="J1269" s="38" t="n">
        <v>233.355920203202</v>
      </c>
      <c r="K1269" s="38" t="n">
        <v>282.865939746839</v>
      </c>
      <c r="L1269" s="38" t="n">
        <v>86.3357107193763</v>
      </c>
      <c r="M1269" s="38" t="n">
        <v>111.707609097321</v>
      </c>
      <c r="N1269" s="38" t="n">
        <v>155.447746853234</v>
      </c>
      <c r="O1269" s="38" t="n">
        <v>81.302986419585</v>
      </c>
      <c r="P1269" s="37" t="n">
        <v>0</v>
      </c>
      <c r="Q1269" s="38" t="n">
        <v>0</v>
      </c>
      <c r="R1269" s="38" t="n">
        <v>70.9860783667423</v>
      </c>
      <c r="S1269" s="37" t="n">
        <v>0</v>
      </c>
    </row>
    <row r="1270" customFormat="false" ht="15" hidden="false" customHeight="false" outlineLevel="0" collapsed="false">
      <c r="A1270" s="37" t="n">
        <v>5</v>
      </c>
      <c r="B1270" s="37" t="n">
        <v>0</v>
      </c>
      <c r="C1270" s="37" t="n">
        <v>10</v>
      </c>
      <c r="D1270" s="37" t="n">
        <v>10</v>
      </c>
      <c r="E1270" s="37" t="n">
        <v>0</v>
      </c>
      <c r="F1270" s="37" t="n">
        <v>5</v>
      </c>
      <c r="G1270" s="37" t="s">
        <v>188</v>
      </c>
      <c r="H1270" s="38" t="n">
        <v>199.374745897648</v>
      </c>
      <c r="I1270" s="38" t="n">
        <v>205.066044663718</v>
      </c>
      <c r="J1270" s="38" t="n">
        <v>233.079888635069</v>
      </c>
      <c r="K1270" s="38" t="n">
        <v>282.345145704293</v>
      </c>
      <c r="L1270" s="38" t="n">
        <v>130.095145704293</v>
      </c>
      <c r="M1270" s="38" t="n">
        <v>113.654350741288</v>
      </c>
      <c r="N1270" s="38" t="n">
        <v>150.787807440999</v>
      </c>
      <c r="O1270" s="38" t="n">
        <v>83.9214551232882</v>
      </c>
      <c r="P1270" s="37" t="n">
        <v>0</v>
      </c>
      <c r="Q1270" s="38" t="n">
        <v>0</v>
      </c>
      <c r="R1270" s="38" t="n">
        <v>72</v>
      </c>
      <c r="S1270" s="37" t="n">
        <v>0</v>
      </c>
    </row>
    <row r="1271" customFormat="false" ht="15" hidden="false" customHeight="false" outlineLevel="0" collapsed="false">
      <c r="A1271" s="37" t="n">
        <v>5</v>
      </c>
      <c r="B1271" s="37" t="n">
        <v>0</v>
      </c>
      <c r="C1271" s="37" t="n">
        <v>10</v>
      </c>
      <c r="D1271" s="37" t="n">
        <v>10</v>
      </c>
      <c r="E1271" s="37" t="n">
        <v>0</v>
      </c>
      <c r="F1271" s="37" t="n">
        <v>5</v>
      </c>
      <c r="G1271" s="37" t="s">
        <v>192</v>
      </c>
      <c r="H1271" s="38" t="n">
        <v>199.374745897648</v>
      </c>
      <c r="I1271" s="38" t="n">
        <v>204.867111744317</v>
      </c>
      <c r="J1271" s="38" t="n">
        <v>236.373021602881</v>
      </c>
      <c r="K1271" s="38" t="n">
        <v>285.253333767085</v>
      </c>
      <c r="L1271" s="38" t="n">
        <v>124.972051894399</v>
      </c>
      <c r="M1271" s="38" t="n">
        <v>108.159753151437</v>
      </c>
      <c r="N1271" s="38" t="n">
        <v>146.224025949143</v>
      </c>
      <c r="O1271" s="38" t="n">
        <v>78.9965566405342</v>
      </c>
      <c r="P1271" s="37" t="n">
        <v>0</v>
      </c>
      <c r="Q1271" s="38" t="n">
        <v>0</v>
      </c>
      <c r="R1271" s="38" t="n">
        <v>72</v>
      </c>
      <c r="S1271" s="37" t="n">
        <v>0</v>
      </c>
    </row>
    <row r="1272" customFormat="false" ht="15" hidden="false" customHeight="false" outlineLevel="0" collapsed="false">
      <c r="A1272" s="37" t="n">
        <v>5</v>
      </c>
      <c r="B1272" s="37" t="n">
        <v>0</v>
      </c>
      <c r="C1272" s="37" t="n">
        <v>10</v>
      </c>
      <c r="D1272" s="37" t="n">
        <v>10</v>
      </c>
      <c r="E1272" s="37" t="n">
        <v>0</v>
      </c>
      <c r="F1272" s="37" t="n">
        <v>5</v>
      </c>
      <c r="G1272" s="37" t="s">
        <v>195</v>
      </c>
      <c r="H1272" s="38" t="n">
        <v>199.374745897648</v>
      </c>
      <c r="I1272" s="38" t="n">
        <v>205.155764751597</v>
      </c>
      <c r="J1272" s="38" t="n">
        <v>238.294830781777</v>
      </c>
      <c r="K1272" s="38" t="n">
        <v>289.10532745662</v>
      </c>
      <c r="L1272" s="38" t="n">
        <v>135.85532745662</v>
      </c>
      <c r="M1272" s="38" t="n">
        <v>114.514772310176</v>
      </c>
      <c r="N1272" s="38" t="n">
        <v>158.724252393741</v>
      </c>
      <c r="O1272" s="38" t="n">
        <v>84.0794737848812</v>
      </c>
      <c r="P1272" s="37" t="n">
        <v>0</v>
      </c>
      <c r="Q1272" s="38" t="n">
        <v>0</v>
      </c>
      <c r="R1272" s="38" t="n">
        <v>67.7095449342929</v>
      </c>
      <c r="S1272" s="37" t="n">
        <v>1</v>
      </c>
    </row>
    <row r="1273" customFormat="false" ht="15" hidden="false" customHeight="false" outlineLevel="0" collapsed="false">
      <c r="A1273" s="37" t="n">
        <v>5</v>
      </c>
      <c r="B1273" s="37" t="n">
        <v>0</v>
      </c>
      <c r="C1273" s="37" t="n">
        <v>10</v>
      </c>
      <c r="D1273" s="37" t="n">
        <v>10</v>
      </c>
      <c r="E1273" s="37" t="n">
        <v>0</v>
      </c>
      <c r="F1273" s="37" t="n">
        <v>5</v>
      </c>
      <c r="G1273" s="37" t="s">
        <v>197</v>
      </c>
      <c r="H1273" s="38" t="n">
        <v>199.374745897648</v>
      </c>
      <c r="I1273" s="38" t="n">
        <v>204.857559898845</v>
      </c>
      <c r="J1273" s="38" t="n">
        <v>235.308692478903</v>
      </c>
      <c r="K1273" s="38" t="n">
        <v>283.796335297922</v>
      </c>
      <c r="L1273" s="38" t="n">
        <v>121.792888013644</v>
      </c>
      <c r="M1273" s="38" t="n">
        <v>108.739143821156</v>
      </c>
      <c r="N1273" s="38" t="n">
        <v>137.965637462199</v>
      </c>
      <c r="O1273" s="38" t="n">
        <v>78.5805103190699</v>
      </c>
      <c r="P1273" s="37" t="n">
        <v>0</v>
      </c>
      <c r="Q1273" s="38" t="n">
        <v>0</v>
      </c>
      <c r="R1273" s="38" t="n">
        <v>72</v>
      </c>
      <c r="S1273" s="37" t="n">
        <v>0</v>
      </c>
    </row>
    <row r="1274" customFormat="false" ht="15" hidden="false" customHeight="false" outlineLevel="0" collapsed="false">
      <c r="A1274" s="37" t="n">
        <v>5</v>
      </c>
      <c r="B1274" s="37" t="n">
        <v>0</v>
      </c>
      <c r="C1274" s="37" t="n">
        <v>10</v>
      </c>
      <c r="D1274" s="37" t="n">
        <v>10</v>
      </c>
      <c r="E1274" s="37" t="n">
        <v>0</v>
      </c>
      <c r="F1274" s="37" t="n">
        <v>5</v>
      </c>
      <c r="G1274" s="37" t="s">
        <v>196</v>
      </c>
      <c r="H1274" s="38" t="n">
        <v>199.374745897648</v>
      </c>
      <c r="I1274" s="38" t="n">
        <v>204.874961611105</v>
      </c>
      <c r="J1274" s="38" t="n">
        <v>227.676376127254</v>
      </c>
      <c r="K1274" s="38" t="n">
        <v>285.431999913809</v>
      </c>
      <c r="L1274" s="38" t="n">
        <v>131.876444358253</v>
      </c>
      <c r="M1274" s="38" t="n">
        <v>111.837174468332</v>
      </c>
      <c r="N1274" s="38" t="n">
        <v>147.08589397373</v>
      </c>
      <c r="O1274" s="38" t="n">
        <v>80.314567516375</v>
      </c>
      <c r="P1274" s="37" t="n">
        <v>0</v>
      </c>
      <c r="Q1274" s="38" t="n">
        <v>0</v>
      </c>
      <c r="R1274" s="38" t="n">
        <v>70.604</v>
      </c>
      <c r="S1274" s="37" t="n">
        <v>0</v>
      </c>
    </row>
    <row r="1275" customFormat="false" ht="15" hidden="false" customHeight="false" outlineLevel="0" collapsed="false">
      <c r="A1275" s="37" t="n">
        <v>5</v>
      </c>
      <c r="B1275" s="37" t="n">
        <v>0</v>
      </c>
      <c r="C1275" s="37" t="n">
        <v>10</v>
      </c>
      <c r="D1275" s="37" t="n">
        <v>10</v>
      </c>
      <c r="E1275" s="37" t="n">
        <v>5</v>
      </c>
      <c r="F1275" s="37" t="n">
        <v>0</v>
      </c>
      <c r="G1275" s="37" t="s">
        <v>188</v>
      </c>
      <c r="H1275" s="38" t="n">
        <v>199.326885099392</v>
      </c>
      <c r="I1275" s="38" t="n">
        <v>204.731392650333</v>
      </c>
      <c r="J1275" s="38" t="n">
        <v>235.307267857235</v>
      </c>
      <c r="K1275" s="38" t="n">
        <v>283.724270273842</v>
      </c>
      <c r="L1275" s="38" t="n">
        <v>91.474270273842</v>
      </c>
      <c r="M1275" s="38" t="n">
        <v>113.563895657976</v>
      </c>
      <c r="N1275" s="38" t="n">
        <v>156.739940932209</v>
      </c>
      <c r="O1275" s="38" t="n">
        <v>83.5026258281681</v>
      </c>
      <c r="P1275" s="37" t="n">
        <v>0</v>
      </c>
      <c r="Q1275" s="38" t="n">
        <v>0</v>
      </c>
      <c r="R1275" s="38" t="n">
        <v>72</v>
      </c>
      <c r="S1275" s="37" t="n">
        <v>0</v>
      </c>
    </row>
    <row r="1276" customFormat="false" ht="15" hidden="false" customHeight="false" outlineLevel="0" collapsed="false">
      <c r="A1276" s="37" t="n">
        <v>5</v>
      </c>
      <c r="B1276" s="37" t="n">
        <v>0</v>
      </c>
      <c r="C1276" s="37" t="n">
        <v>10</v>
      </c>
      <c r="D1276" s="37" t="n">
        <v>10</v>
      </c>
      <c r="E1276" s="37" t="n">
        <v>5</v>
      </c>
      <c r="F1276" s="37" t="n">
        <v>0</v>
      </c>
      <c r="G1276" s="37" t="s">
        <v>192</v>
      </c>
      <c r="H1276" s="38" t="n">
        <v>199.326885099392</v>
      </c>
      <c r="I1276" s="38" t="n">
        <v>204.539838717528</v>
      </c>
      <c r="J1276" s="38" t="n">
        <v>238.238741227072</v>
      </c>
      <c r="K1276" s="38" t="n">
        <v>286.228641542261</v>
      </c>
      <c r="L1276" s="38" t="n">
        <v>85.9103496420191</v>
      </c>
      <c r="M1276" s="38" t="n">
        <v>108.168511978629</v>
      </c>
      <c r="N1276" s="38" t="n">
        <v>151.56381875368</v>
      </c>
      <c r="O1276" s="38" t="n">
        <v>78.5915031506062</v>
      </c>
      <c r="P1276" s="37" t="n">
        <v>0</v>
      </c>
      <c r="Q1276" s="38" t="n">
        <v>0</v>
      </c>
      <c r="R1276" s="38" t="n">
        <v>72</v>
      </c>
      <c r="S1276" s="37" t="n">
        <v>0</v>
      </c>
    </row>
    <row r="1277" customFormat="false" ht="15" hidden="false" customHeight="false" outlineLevel="0" collapsed="false">
      <c r="A1277" s="37" t="n">
        <v>5</v>
      </c>
      <c r="B1277" s="37" t="n">
        <v>0</v>
      </c>
      <c r="C1277" s="37" t="n">
        <v>10</v>
      </c>
      <c r="D1277" s="37" t="n">
        <v>10</v>
      </c>
      <c r="E1277" s="37" t="n">
        <v>5</v>
      </c>
      <c r="F1277" s="37" t="n">
        <v>0</v>
      </c>
      <c r="G1277" s="37" t="s">
        <v>195</v>
      </c>
      <c r="H1277" s="38" t="n">
        <v>199.326885099392</v>
      </c>
      <c r="I1277" s="38" t="n">
        <v>204.834832903613</v>
      </c>
      <c r="J1277" s="38" t="n">
        <v>240.500847678022</v>
      </c>
      <c r="K1277" s="38" t="n">
        <v>290.64462756707</v>
      </c>
      <c r="L1277" s="38" t="n">
        <v>97.3946275670701</v>
      </c>
      <c r="M1277" s="38" t="n">
        <v>114.432391941051</v>
      </c>
      <c r="N1277" s="38" t="n">
        <v>164.268063644671</v>
      </c>
      <c r="O1277" s="38" t="n">
        <v>83.7465293643607</v>
      </c>
      <c r="P1277" s="37" t="n">
        <v>0</v>
      </c>
      <c r="Q1277" s="38" t="n">
        <v>0</v>
      </c>
      <c r="R1277" s="38" t="n">
        <v>67.6780097627508</v>
      </c>
      <c r="S1277" s="37" t="n">
        <v>1</v>
      </c>
    </row>
    <row r="1278" customFormat="false" ht="15" hidden="false" customHeight="false" outlineLevel="0" collapsed="false">
      <c r="A1278" s="37" t="n">
        <v>5</v>
      </c>
      <c r="B1278" s="37" t="n">
        <v>0</v>
      </c>
      <c r="C1278" s="37" t="n">
        <v>10</v>
      </c>
      <c r="D1278" s="37" t="n">
        <v>10</v>
      </c>
      <c r="E1278" s="37" t="n">
        <v>5</v>
      </c>
      <c r="F1278" s="37" t="n">
        <v>0</v>
      </c>
      <c r="G1278" s="37" t="s">
        <v>197</v>
      </c>
      <c r="H1278" s="38" t="n">
        <v>199.326885099392</v>
      </c>
      <c r="I1278" s="38" t="n">
        <v>204.548836335379</v>
      </c>
      <c r="J1278" s="38" t="n">
        <v>237.974776543857</v>
      </c>
      <c r="K1278" s="38" t="n">
        <v>285.992071418592</v>
      </c>
      <c r="L1278" s="38" t="n">
        <v>84.4672451092499</v>
      </c>
      <c r="M1278" s="38" t="n">
        <v>112.089317072967</v>
      </c>
      <c r="N1278" s="38" t="n">
        <v>152.900884364547</v>
      </c>
      <c r="O1278" s="38" t="n">
        <v>82.3313739452871</v>
      </c>
      <c r="P1278" s="37" t="n">
        <v>0</v>
      </c>
      <c r="Q1278" s="38" t="n">
        <v>0</v>
      </c>
      <c r="R1278" s="38" t="n">
        <v>72</v>
      </c>
      <c r="S1278" s="37" t="n">
        <v>0</v>
      </c>
    </row>
    <row r="1279" customFormat="false" ht="15" hidden="false" customHeight="false" outlineLevel="0" collapsed="false">
      <c r="A1279" s="37" t="n">
        <v>5</v>
      </c>
      <c r="B1279" s="37" t="n">
        <v>0</v>
      </c>
      <c r="C1279" s="37" t="n">
        <v>10</v>
      </c>
      <c r="D1279" s="37" t="n">
        <v>10</v>
      </c>
      <c r="E1279" s="37" t="n">
        <v>5</v>
      </c>
      <c r="F1279" s="37" t="n">
        <v>0</v>
      </c>
      <c r="G1279" s="37" t="s">
        <v>196</v>
      </c>
      <c r="H1279" s="38" t="n">
        <v>199.326885099392</v>
      </c>
      <c r="I1279" s="38" t="n">
        <v>204.553967396114</v>
      </c>
      <c r="J1279" s="38" t="n">
        <v>237.91656796862</v>
      </c>
      <c r="K1279" s="38" t="n">
        <v>285.974063992118</v>
      </c>
      <c r="L1279" s="38" t="n">
        <v>89.8188495763707</v>
      </c>
      <c r="M1279" s="38" t="n">
        <v>112.51410844236</v>
      </c>
      <c r="N1279" s="38" t="n">
        <v>156.035902677578</v>
      </c>
      <c r="O1279" s="38" t="n">
        <v>82.7746230317346</v>
      </c>
      <c r="P1279" s="37" t="n">
        <v>0</v>
      </c>
      <c r="Q1279" s="38" t="n">
        <v>0</v>
      </c>
      <c r="R1279" s="38" t="n">
        <v>71.0760818735541</v>
      </c>
      <c r="S1279" s="37" t="n">
        <v>0</v>
      </c>
    </row>
    <row r="1280" customFormat="false" ht="15" hidden="false" customHeight="false" outlineLevel="0" collapsed="false">
      <c r="A1280" s="37" t="n">
        <v>5</v>
      </c>
      <c r="B1280" s="37" t="n">
        <v>0</v>
      </c>
      <c r="C1280" s="37" t="n">
        <v>10</v>
      </c>
      <c r="D1280" s="37" t="n">
        <v>15</v>
      </c>
      <c r="E1280" s="37" t="n">
        <v>0</v>
      </c>
      <c r="F1280" s="37" t="n">
        <v>0</v>
      </c>
      <c r="G1280" s="37" t="s">
        <v>188</v>
      </c>
      <c r="H1280" s="38" t="n">
        <v>199.545183016769</v>
      </c>
      <c r="I1280" s="38" t="n">
        <v>205.985297377528</v>
      </c>
      <c r="J1280" s="38" t="n">
        <v>237.232007073389</v>
      </c>
      <c r="K1280" s="38" t="n">
        <v>283.081924736797</v>
      </c>
      <c r="L1280" s="38" t="n">
        <v>90.8319247367965</v>
      </c>
      <c r="M1280" s="38" t="n">
        <v>114.386015989952</v>
      </c>
      <c r="N1280" s="38" t="n">
        <v>153.795481399069</v>
      </c>
      <c r="O1280" s="38" t="n">
        <v>83.500109847373</v>
      </c>
      <c r="P1280" s="37" t="n">
        <v>0</v>
      </c>
      <c r="Q1280" s="38" t="n">
        <v>0</v>
      </c>
      <c r="R1280" s="38" t="n">
        <v>72</v>
      </c>
      <c r="S1280" s="37" t="n">
        <v>0</v>
      </c>
    </row>
    <row r="1281" customFormat="false" ht="15" hidden="false" customHeight="false" outlineLevel="0" collapsed="false">
      <c r="A1281" s="37" t="n">
        <v>5</v>
      </c>
      <c r="B1281" s="37" t="n">
        <v>0</v>
      </c>
      <c r="C1281" s="37" t="n">
        <v>10</v>
      </c>
      <c r="D1281" s="37" t="n">
        <v>15</v>
      </c>
      <c r="E1281" s="37" t="n">
        <v>0</v>
      </c>
      <c r="F1281" s="37" t="n">
        <v>0</v>
      </c>
      <c r="G1281" s="37" t="s">
        <v>192</v>
      </c>
      <c r="H1281" s="38" t="n">
        <v>199.545183016769</v>
      </c>
      <c r="I1281" s="38" t="n">
        <v>205.778294133976</v>
      </c>
      <c r="J1281" s="38" t="n">
        <v>246.431627512575</v>
      </c>
      <c r="K1281" s="38" t="n">
        <v>287.869276819181</v>
      </c>
      <c r="L1281" s="38" t="n">
        <v>77.785872101748</v>
      </c>
      <c r="M1281" s="38" t="n">
        <v>108.887942361955</v>
      </c>
      <c r="N1281" s="38" t="n">
        <v>151.398727084239</v>
      </c>
      <c r="O1281" s="38" t="n">
        <v>78.5310607014243</v>
      </c>
      <c r="P1281" s="37" t="n">
        <v>0</v>
      </c>
      <c r="Q1281" s="38" t="n">
        <v>0</v>
      </c>
      <c r="R1281" s="38" t="n">
        <v>72</v>
      </c>
      <c r="S1281" s="37" t="n">
        <v>0</v>
      </c>
    </row>
    <row r="1282" customFormat="false" ht="15" hidden="false" customHeight="false" outlineLevel="0" collapsed="false">
      <c r="A1282" s="37" t="n">
        <v>5</v>
      </c>
      <c r="B1282" s="37" t="n">
        <v>0</v>
      </c>
      <c r="C1282" s="37" t="n">
        <v>10</v>
      </c>
      <c r="D1282" s="37" t="n">
        <v>15</v>
      </c>
      <c r="E1282" s="37" t="n">
        <v>0</v>
      </c>
      <c r="F1282" s="37" t="n">
        <v>0</v>
      </c>
      <c r="G1282" s="37" t="s">
        <v>195</v>
      </c>
      <c r="H1282" s="38" t="n">
        <v>199.545183016769</v>
      </c>
      <c r="I1282" s="38" t="n">
        <v>206.170657776804</v>
      </c>
      <c r="J1282" s="38" t="n">
        <v>240.645256765382</v>
      </c>
      <c r="K1282" s="38" t="n">
        <v>287.902317483576</v>
      </c>
      <c r="L1282" s="38" t="n">
        <v>96.6523174835761</v>
      </c>
      <c r="M1282" s="38" t="n">
        <v>116.227547554934</v>
      </c>
      <c r="N1282" s="38" t="n">
        <v>159.831307060324</v>
      </c>
      <c r="O1282" s="38" t="n">
        <v>83.0062938991907</v>
      </c>
      <c r="P1282" s="37" t="n">
        <v>0</v>
      </c>
      <c r="Q1282" s="38" t="n">
        <v>0</v>
      </c>
      <c r="R1282" s="38" t="n">
        <v>68.32</v>
      </c>
      <c r="S1282" s="37" t="n">
        <v>1</v>
      </c>
    </row>
    <row r="1283" customFormat="false" ht="15" hidden="false" customHeight="false" outlineLevel="0" collapsed="false">
      <c r="A1283" s="37" t="n">
        <v>5</v>
      </c>
      <c r="B1283" s="37" t="n">
        <v>0</v>
      </c>
      <c r="C1283" s="37" t="n">
        <v>10</v>
      </c>
      <c r="D1283" s="37" t="n">
        <v>15</v>
      </c>
      <c r="E1283" s="37" t="n">
        <v>0</v>
      </c>
      <c r="F1283" s="37" t="n">
        <v>0</v>
      </c>
      <c r="G1283" s="37" t="s">
        <v>197</v>
      </c>
      <c r="H1283" s="38" t="n">
        <v>199.545183016769</v>
      </c>
      <c r="I1283" s="38" t="n">
        <v>205.770227412034</v>
      </c>
      <c r="J1283" s="38" t="n">
        <v>239.149476630729</v>
      </c>
      <c r="K1283" s="38" t="n">
        <v>284.093952324379</v>
      </c>
      <c r="L1283" s="38" t="n">
        <v>82.156580953237</v>
      </c>
      <c r="M1283" s="38" t="n">
        <v>109.508780302079</v>
      </c>
      <c r="N1283" s="38" t="n">
        <v>140.572231909753</v>
      </c>
      <c r="O1283" s="38" t="n">
        <v>78.0572463727187</v>
      </c>
      <c r="P1283" s="37" t="n">
        <v>0</v>
      </c>
      <c r="Q1283" s="38" t="n">
        <v>0</v>
      </c>
      <c r="R1283" s="38" t="n">
        <v>72</v>
      </c>
      <c r="S1283" s="37" t="n">
        <v>0</v>
      </c>
    </row>
    <row r="1284" customFormat="false" ht="15" hidden="false" customHeight="false" outlineLevel="0" collapsed="false">
      <c r="A1284" s="37" t="n">
        <v>5</v>
      </c>
      <c r="B1284" s="37" t="n">
        <v>0</v>
      </c>
      <c r="C1284" s="37" t="n">
        <v>10</v>
      </c>
      <c r="D1284" s="37" t="n">
        <v>15</v>
      </c>
      <c r="E1284" s="37" t="n">
        <v>0</v>
      </c>
      <c r="F1284" s="37" t="n">
        <v>0</v>
      </c>
      <c r="G1284" s="37" t="s">
        <v>196</v>
      </c>
      <c r="H1284" s="38" t="n">
        <v>199.545183016769</v>
      </c>
      <c r="I1284" s="38" t="n">
        <v>205.785426183153</v>
      </c>
      <c r="J1284" s="38" t="n">
        <v>231.370478649169</v>
      </c>
      <c r="K1284" s="38" t="n">
        <v>285.516067611052</v>
      </c>
      <c r="L1284" s="38" t="n">
        <v>91.9605120554963</v>
      </c>
      <c r="M1284" s="38" t="n">
        <v>112.877452534237</v>
      </c>
      <c r="N1284" s="38" t="n">
        <v>149.48477192087</v>
      </c>
      <c r="O1284" s="38" t="n">
        <v>79.5907270855292</v>
      </c>
      <c r="P1284" s="37" t="n">
        <v>0</v>
      </c>
      <c r="Q1284" s="38" t="n">
        <v>0</v>
      </c>
      <c r="R1284" s="38" t="n">
        <v>70.604</v>
      </c>
      <c r="S1284" s="37" t="n">
        <v>0</v>
      </c>
    </row>
    <row r="1285" customFormat="false" ht="15" hidden="false" customHeight="false" outlineLevel="0" collapsed="false">
      <c r="A1285" s="37" t="n">
        <v>5</v>
      </c>
      <c r="B1285" s="37" t="n">
        <v>0</v>
      </c>
      <c r="C1285" s="37" t="n">
        <v>15</v>
      </c>
      <c r="D1285" s="37" t="n">
        <v>0</v>
      </c>
      <c r="E1285" s="37" t="n">
        <v>0</v>
      </c>
      <c r="F1285" s="37" t="n">
        <v>10</v>
      </c>
      <c r="G1285" s="37" t="s">
        <v>188</v>
      </c>
      <c r="H1285" s="38" t="n">
        <v>199.217074150349</v>
      </c>
      <c r="I1285" s="38" t="n">
        <v>203.918341759618</v>
      </c>
      <c r="J1285" s="38" t="n">
        <v>228.055988741228</v>
      </c>
      <c r="K1285" s="38" t="n">
        <v>285.338780810195</v>
      </c>
      <c r="L1285" s="38" t="n">
        <v>163.648645946447</v>
      </c>
      <c r="M1285" s="38" t="n">
        <v>113.694260380594</v>
      </c>
      <c r="N1285" s="38" t="n">
        <v>148.636128722156</v>
      </c>
      <c r="O1285" s="38" t="n">
        <v>79.3794990127697</v>
      </c>
      <c r="P1285" s="37" t="n">
        <v>0</v>
      </c>
      <c r="Q1285" s="38" t="n">
        <v>0</v>
      </c>
      <c r="R1285" s="38" t="n">
        <v>70.5</v>
      </c>
      <c r="S1285" s="37" t="n">
        <v>1</v>
      </c>
    </row>
    <row r="1286" customFormat="false" ht="15" hidden="false" customHeight="false" outlineLevel="0" collapsed="false">
      <c r="A1286" s="37" t="n">
        <v>5</v>
      </c>
      <c r="B1286" s="37" t="n">
        <v>0</v>
      </c>
      <c r="C1286" s="37" t="n">
        <v>15</v>
      </c>
      <c r="D1286" s="37" t="n">
        <v>0</v>
      </c>
      <c r="E1286" s="37" t="n">
        <v>0</v>
      </c>
      <c r="F1286" s="37" t="n">
        <v>10</v>
      </c>
      <c r="G1286" s="37" t="s">
        <v>192</v>
      </c>
      <c r="H1286" s="38" t="n">
        <v>199.217074150349</v>
      </c>
      <c r="I1286" s="38" t="n">
        <v>203.718619116692</v>
      </c>
      <c r="J1286" s="38" t="n">
        <v>225.829659310425</v>
      </c>
      <c r="K1286" s="38" t="n">
        <v>280.925484379503</v>
      </c>
      <c r="L1286" s="38" t="n">
        <v>160.200030868762</v>
      </c>
      <c r="M1286" s="38" t="n">
        <v>108.167071507</v>
      </c>
      <c r="N1286" s="38" t="n">
        <v>137.393974931509</v>
      </c>
      <c r="O1286" s="38" t="n">
        <v>73.13216426421</v>
      </c>
      <c r="P1286" s="37" t="n">
        <v>0</v>
      </c>
      <c r="Q1286" s="38" t="n">
        <v>0</v>
      </c>
      <c r="R1286" s="38" t="n">
        <v>70.5</v>
      </c>
      <c r="S1286" s="37" t="n">
        <v>0</v>
      </c>
    </row>
    <row r="1287" customFormat="false" ht="15" hidden="false" customHeight="false" outlineLevel="0" collapsed="false">
      <c r="A1287" s="37" t="n">
        <v>5</v>
      </c>
      <c r="B1287" s="37" t="n">
        <v>0</v>
      </c>
      <c r="C1287" s="37" t="n">
        <v>15</v>
      </c>
      <c r="D1287" s="37" t="n">
        <v>0</v>
      </c>
      <c r="E1287" s="37" t="n">
        <v>0</v>
      </c>
      <c r="F1287" s="37" t="n">
        <v>10</v>
      </c>
      <c r="G1287" s="37" t="s">
        <v>195</v>
      </c>
      <c r="H1287" s="38" t="n">
        <v>199.217074150349</v>
      </c>
      <c r="I1287" s="38" t="n">
        <v>203.780994250931</v>
      </c>
      <c r="J1287" s="38" t="n">
        <v>222.133639355459</v>
      </c>
      <c r="K1287" s="38" t="n">
        <v>273.340178361679</v>
      </c>
      <c r="L1287" s="38" t="n">
        <v>154.965654829062</v>
      </c>
      <c r="M1287" s="38" t="n">
        <v>111.289160684312</v>
      </c>
      <c r="N1287" s="38" t="n">
        <v>134.619345383883</v>
      </c>
      <c r="O1287" s="38" t="n">
        <v>72.7781682512878</v>
      </c>
      <c r="P1287" s="37" t="n">
        <v>0</v>
      </c>
      <c r="Q1287" s="38" t="n">
        <v>0</v>
      </c>
      <c r="R1287" s="38" t="n">
        <v>68.662642940215</v>
      </c>
      <c r="S1287" s="37" t="n">
        <v>0</v>
      </c>
    </row>
    <row r="1288" customFormat="false" ht="15" hidden="false" customHeight="false" outlineLevel="0" collapsed="false">
      <c r="A1288" s="37" t="n">
        <v>5</v>
      </c>
      <c r="B1288" s="37" t="n">
        <v>0</v>
      </c>
      <c r="C1288" s="37" t="n">
        <v>15</v>
      </c>
      <c r="D1288" s="37" t="n">
        <v>0</v>
      </c>
      <c r="E1288" s="37" t="n">
        <v>0</v>
      </c>
      <c r="F1288" s="37" t="n">
        <v>10</v>
      </c>
      <c r="G1288" s="37" t="s">
        <v>197</v>
      </c>
      <c r="H1288" s="38" t="n">
        <v>199.217074150349</v>
      </c>
      <c r="I1288" s="38" t="n">
        <v>203.708857941048</v>
      </c>
      <c r="J1288" s="38" t="n">
        <v>224.563545869685</v>
      </c>
      <c r="K1288" s="38" t="n">
        <v>279.179501659621</v>
      </c>
      <c r="L1288" s="38" t="n">
        <v>156.786276587267</v>
      </c>
      <c r="M1288" s="38" t="n">
        <v>107.425255216178</v>
      </c>
      <c r="N1288" s="38" t="n">
        <v>128.02765548733</v>
      </c>
      <c r="O1288" s="38" t="n">
        <v>72.1552417983235</v>
      </c>
      <c r="P1288" s="37" t="n">
        <v>0</v>
      </c>
      <c r="Q1288" s="38" t="n">
        <v>0</v>
      </c>
      <c r="R1288" s="38" t="n">
        <v>70.5</v>
      </c>
      <c r="S1288" s="37" t="n">
        <v>0</v>
      </c>
    </row>
    <row r="1289" customFormat="false" ht="15" hidden="false" customHeight="false" outlineLevel="0" collapsed="false">
      <c r="A1289" s="37" t="n">
        <v>5</v>
      </c>
      <c r="B1289" s="37" t="n">
        <v>0</v>
      </c>
      <c r="C1289" s="37" t="n">
        <v>15</v>
      </c>
      <c r="D1289" s="37" t="n">
        <v>0</v>
      </c>
      <c r="E1289" s="37" t="n">
        <v>0</v>
      </c>
      <c r="F1289" s="37" t="n">
        <v>10</v>
      </c>
      <c r="G1289" s="37" t="s">
        <v>196</v>
      </c>
      <c r="H1289" s="38" t="n">
        <v>199.217074150349</v>
      </c>
      <c r="I1289" s="38" t="n">
        <v>203.719530036066</v>
      </c>
      <c r="J1289" s="38" t="n">
        <v>225.221834212652</v>
      </c>
      <c r="K1289" s="38" t="n">
        <v>280.240664933332</v>
      </c>
      <c r="L1289" s="38" t="n">
        <v>164.090806883129</v>
      </c>
      <c r="M1289" s="38" t="n">
        <v>109.955420720892</v>
      </c>
      <c r="N1289" s="38" t="n">
        <v>137.113105423448</v>
      </c>
      <c r="O1289" s="38" t="n">
        <v>75.7900639632521</v>
      </c>
      <c r="P1289" s="37" t="n">
        <v>0</v>
      </c>
      <c r="Q1289" s="38" t="n">
        <v>0</v>
      </c>
      <c r="R1289" s="38" t="n">
        <v>69.5773674012847</v>
      </c>
      <c r="S1289" s="37" t="n">
        <v>0</v>
      </c>
    </row>
    <row r="1290" customFormat="false" ht="15" hidden="false" customHeight="false" outlineLevel="0" collapsed="false">
      <c r="A1290" s="37" t="n">
        <v>5</v>
      </c>
      <c r="B1290" s="37" t="n">
        <v>0</v>
      </c>
      <c r="C1290" s="37" t="n">
        <v>15</v>
      </c>
      <c r="D1290" s="37" t="n">
        <v>0</v>
      </c>
      <c r="E1290" s="37" t="n">
        <v>5</v>
      </c>
      <c r="F1290" s="37" t="n">
        <v>5</v>
      </c>
      <c r="G1290" s="37" t="s">
        <v>188</v>
      </c>
      <c r="H1290" s="38" t="n">
        <v>199.194534702896</v>
      </c>
      <c r="I1290" s="38" t="n">
        <v>203.891830041373</v>
      </c>
      <c r="J1290" s="38" t="n">
        <v>230.421255659112</v>
      </c>
      <c r="K1290" s="38" t="n">
        <v>288.158169583558</v>
      </c>
      <c r="L1290" s="38" t="n">
        <v>126.617655305617</v>
      </c>
      <c r="M1290" s="38" t="n">
        <v>114.261305418365</v>
      </c>
      <c r="N1290" s="38" t="n">
        <v>154.679982391201</v>
      </c>
      <c r="O1290" s="38" t="n">
        <v>79.4788320280384</v>
      </c>
      <c r="P1290" s="37" t="n">
        <v>0</v>
      </c>
      <c r="Q1290" s="38" t="n">
        <v>0</v>
      </c>
      <c r="R1290" s="38" t="n">
        <v>70.5</v>
      </c>
      <c r="S1290" s="37" t="n">
        <v>1</v>
      </c>
    </row>
    <row r="1291" customFormat="false" ht="15" hidden="false" customHeight="false" outlineLevel="0" collapsed="false">
      <c r="A1291" s="37" t="n">
        <v>5</v>
      </c>
      <c r="B1291" s="37" t="n">
        <v>0</v>
      </c>
      <c r="C1291" s="37" t="n">
        <v>15</v>
      </c>
      <c r="D1291" s="37" t="n">
        <v>0</v>
      </c>
      <c r="E1291" s="37" t="n">
        <v>5</v>
      </c>
      <c r="F1291" s="37" t="n">
        <v>5</v>
      </c>
      <c r="G1291" s="37" t="s">
        <v>192</v>
      </c>
      <c r="H1291" s="38" t="n">
        <v>199.194534702896</v>
      </c>
      <c r="I1291" s="38" t="n">
        <v>203.700121452026</v>
      </c>
      <c r="J1291" s="38" t="n">
        <v>227.899708109907</v>
      </c>
      <c r="K1291" s="38" t="n">
        <v>283.429171716968</v>
      </c>
      <c r="L1291" s="38" t="n">
        <v>122.688410435647</v>
      </c>
      <c r="M1291" s="38" t="n">
        <v>108.814976456285</v>
      </c>
      <c r="N1291" s="38" t="n">
        <v>143.074661408573</v>
      </c>
      <c r="O1291" s="38" t="n">
        <v>73.2398242922126</v>
      </c>
      <c r="P1291" s="37" t="n">
        <v>0</v>
      </c>
      <c r="Q1291" s="38" t="n">
        <v>0</v>
      </c>
      <c r="R1291" s="38" t="n">
        <v>70.5</v>
      </c>
      <c r="S1291" s="37" t="n">
        <v>0</v>
      </c>
    </row>
    <row r="1292" customFormat="false" ht="15" hidden="false" customHeight="false" outlineLevel="0" collapsed="false">
      <c r="A1292" s="37" t="n">
        <v>5</v>
      </c>
      <c r="B1292" s="37" t="n">
        <v>0</v>
      </c>
      <c r="C1292" s="37" t="n">
        <v>15</v>
      </c>
      <c r="D1292" s="37" t="n">
        <v>0</v>
      </c>
      <c r="E1292" s="37" t="n">
        <v>5</v>
      </c>
      <c r="F1292" s="37" t="n">
        <v>5</v>
      </c>
      <c r="G1292" s="37" t="s">
        <v>195</v>
      </c>
      <c r="H1292" s="38" t="n">
        <v>199.194534702896</v>
      </c>
      <c r="I1292" s="38" t="n">
        <v>203.769575956552</v>
      </c>
      <c r="J1292" s="38" t="n">
        <v>224.25331658081</v>
      </c>
      <c r="K1292" s="38" t="n">
        <v>275.938400199365</v>
      </c>
      <c r="L1292" s="38" t="n">
        <v>117.482902184544</v>
      </c>
      <c r="M1292" s="38" t="n">
        <v>111.954730826433</v>
      </c>
      <c r="N1292" s="38" t="n">
        <v>140.496997617853</v>
      </c>
      <c r="O1292" s="38" t="n">
        <v>72.882448679695</v>
      </c>
      <c r="P1292" s="37" t="n">
        <v>0</v>
      </c>
      <c r="Q1292" s="38" t="n">
        <v>0</v>
      </c>
      <c r="R1292" s="38" t="n">
        <v>68.6383505955537</v>
      </c>
      <c r="S1292" s="37" t="n">
        <v>0</v>
      </c>
    </row>
    <row r="1293" customFormat="false" ht="15" hidden="false" customHeight="false" outlineLevel="0" collapsed="false">
      <c r="A1293" s="37" t="n">
        <v>5</v>
      </c>
      <c r="B1293" s="37" t="n">
        <v>0</v>
      </c>
      <c r="C1293" s="37" t="n">
        <v>15</v>
      </c>
      <c r="D1293" s="37" t="n">
        <v>0</v>
      </c>
      <c r="E1293" s="37" t="n">
        <v>5</v>
      </c>
      <c r="F1293" s="37" t="n">
        <v>5</v>
      </c>
      <c r="G1293" s="37" t="s">
        <v>197</v>
      </c>
      <c r="H1293" s="38" t="n">
        <v>199.194534702896</v>
      </c>
      <c r="I1293" s="38" t="n">
        <v>203.702245333644</v>
      </c>
      <c r="J1293" s="38" t="n">
        <v>227.305198437669</v>
      </c>
      <c r="K1293" s="38" t="n">
        <v>282.709374812577</v>
      </c>
      <c r="L1293" s="38" t="n">
        <v>120.804599856172</v>
      </c>
      <c r="M1293" s="38" t="n">
        <v>111.437330830299</v>
      </c>
      <c r="N1293" s="38" t="n">
        <v>142.487471304023</v>
      </c>
      <c r="O1293" s="38" t="n">
        <v>76.0239348326171</v>
      </c>
      <c r="P1293" s="37" t="n">
        <v>0</v>
      </c>
      <c r="Q1293" s="38" t="n">
        <v>0</v>
      </c>
      <c r="R1293" s="38" t="n">
        <v>70.5</v>
      </c>
      <c r="S1293" s="37" t="n">
        <v>0</v>
      </c>
    </row>
    <row r="1294" customFormat="false" ht="15" hidden="false" customHeight="false" outlineLevel="0" collapsed="false">
      <c r="A1294" s="37" t="n">
        <v>5</v>
      </c>
      <c r="B1294" s="37" t="n">
        <v>0</v>
      </c>
      <c r="C1294" s="37" t="n">
        <v>15</v>
      </c>
      <c r="D1294" s="37" t="n">
        <v>0</v>
      </c>
      <c r="E1294" s="37" t="n">
        <v>5</v>
      </c>
      <c r="F1294" s="37" t="n">
        <v>5</v>
      </c>
      <c r="G1294" s="37" t="s">
        <v>196</v>
      </c>
      <c r="H1294" s="38" t="n">
        <v>199.194534702896</v>
      </c>
      <c r="I1294" s="38" t="n">
        <v>203.704746355398</v>
      </c>
      <c r="J1294" s="38" t="n">
        <v>227.166812068934</v>
      </c>
      <c r="K1294" s="38" t="n">
        <v>282.651639564244</v>
      </c>
      <c r="L1294" s="38" t="n">
        <v>126.066395347868</v>
      </c>
      <c r="M1294" s="38" t="n">
        <v>111.326095923792</v>
      </c>
      <c r="N1294" s="38" t="n">
        <v>144.093013478522</v>
      </c>
      <c r="O1294" s="38" t="n">
        <v>77.1200165155912</v>
      </c>
      <c r="P1294" s="37" t="n">
        <v>0</v>
      </c>
      <c r="Q1294" s="38" t="n">
        <v>0</v>
      </c>
      <c r="R1294" s="38" t="n">
        <v>69.472874721403</v>
      </c>
      <c r="S1294" s="37" t="n">
        <v>0</v>
      </c>
    </row>
    <row r="1295" customFormat="false" ht="15" hidden="false" customHeight="false" outlineLevel="0" collapsed="false">
      <c r="A1295" s="37" t="n">
        <v>5</v>
      </c>
      <c r="B1295" s="37" t="n">
        <v>0</v>
      </c>
      <c r="C1295" s="37" t="n">
        <v>15</v>
      </c>
      <c r="D1295" s="37" t="n">
        <v>0</v>
      </c>
      <c r="E1295" s="37" t="n">
        <v>10</v>
      </c>
      <c r="F1295" s="37" t="n">
        <v>0</v>
      </c>
      <c r="G1295" s="37" t="s">
        <v>188</v>
      </c>
      <c r="H1295" s="38" t="n">
        <v>199.164005888188</v>
      </c>
      <c r="I1295" s="38" t="n">
        <v>203.828358085942</v>
      </c>
      <c r="J1295" s="38" t="n">
        <v>231.853617219569</v>
      </c>
      <c r="K1295" s="38" t="n">
        <v>289.569123658781</v>
      </c>
      <c r="L1295" s="38" t="n">
        <v>88.1335814111829</v>
      </c>
      <c r="M1295" s="38" t="n">
        <v>114.601268008838</v>
      </c>
      <c r="N1295" s="38" t="n">
        <v>158.86654288559</v>
      </c>
      <c r="O1295" s="38" t="n">
        <v>78.7753003578134</v>
      </c>
      <c r="P1295" s="37" t="n">
        <v>0</v>
      </c>
      <c r="Q1295" s="38" t="n">
        <v>0</v>
      </c>
      <c r="R1295" s="38" t="n">
        <v>70.5</v>
      </c>
      <c r="S1295" s="37" t="n">
        <v>1</v>
      </c>
    </row>
    <row r="1296" customFormat="false" ht="15" hidden="false" customHeight="false" outlineLevel="0" collapsed="false">
      <c r="A1296" s="37" t="n">
        <v>5</v>
      </c>
      <c r="B1296" s="37" t="n">
        <v>0</v>
      </c>
      <c r="C1296" s="37" t="n">
        <v>15</v>
      </c>
      <c r="D1296" s="37" t="n">
        <v>0</v>
      </c>
      <c r="E1296" s="37" t="n">
        <v>10</v>
      </c>
      <c r="F1296" s="37" t="n">
        <v>0</v>
      </c>
      <c r="G1296" s="37" t="s">
        <v>192</v>
      </c>
      <c r="H1296" s="38" t="n">
        <v>199.164005888188</v>
      </c>
      <c r="I1296" s="38" t="n">
        <v>203.644775942418</v>
      </c>
      <c r="J1296" s="38" t="n">
        <v>229.085157677354</v>
      </c>
      <c r="K1296" s="38" t="n">
        <v>284.560509120229</v>
      </c>
      <c r="L1296" s="38" t="n">
        <v>83.7851365694873</v>
      </c>
      <c r="M1296" s="38" t="n">
        <v>109.23895228974</v>
      </c>
      <c r="N1296" s="38" t="n">
        <v>146.984650514868</v>
      </c>
      <c r="O1296" s="38" t="n">
        <v>72.6689211269023</v>
      </c>
      <c r="P1296" s="37" t="n">
        <v>0</v>
      </c>
      <c r="Q1296" s="38" t="n">
        <v>0</v>
      </c>
      <c r="R1296" s="38" t="n">
        <v>70.5</v>
      </c>
      <c r="S1296" s="37" t="n">
        <v>0</v>
      </c>
    </row>
    <row r="1297" customFormat="false" ht="15" hidden="false" customHeight="false" outlineLevel="0" collapsed="false">
      <c r="A1297" s="37" t="n">
        <v>5</v>
      </c>
      <c r="B1297" s="37" t="n">
        <v>0</v>
      </c>
      <c r="C1297" s="37" t="n">
        <v>15</v>
      </c>
      <c r="D1297" s="37" t="n">
        <v>0</v>
      </c>
      <c r="E1297" s="37" t="n">
        <v>10</v>
      </c>
      <c r="F1297" s="37" t="n">
        <v>0</v>
      </c>
      <c r="G1297" s="37" t="s">
        <v>195</v>
      </c>
      <c r="H1297" s="38" t="n">
        <v>199.164005888188</v>
      </c>
      <c r="I1297" s="38" t="n">
        <v>203.719616570526</v>
      </c>
      <c r="J1297" s="38" t="n">
        <v>225.401876266918</v>
      </c>
      <c r="K1297" s="38" t="n">
        <v>277.058393537641</v>
      </c>
      <c r="L1297" s="38" t="n">
        <v>78.5299522843083</v>
      </c>
      <c r="M1297" s="38" t="n">
        <v>112.392158046429</v>
      </c>
      <c r="N1297" s="38" t="n">
        <v>144.411232644718</v>
      </c>
      <c r="O1297" s="38" t="n">
        <v>72.3939962022878</v>
      </c>
      <c r="P1297" s="37" t="n">
        <v>0</v>
      </c>
      <c r="Q1297" s="38" t="n">
        <v>0</v>
      </c>
      <c r="R1297" s="38" t="n">
        <v>68.6164676240001</v>
      </c>
      <c r="S1297" s="37" t="n">
        <v>0</v>
      </c>
    </row>
    <row r="1298" customFormat="false" ht="15" hidden="false" customHeight="false" outlineLevel="0" collapsed="false">
      <c r="A1298" s="37" t="n">
        <v>5</v>
      </c>
      <c r="B1298" s="37" t="n">
        <v>0</v>
      </c>
      <c r="C1298" s="37" t="n">
        <v>15</v>
      </c>
      <c r="D1298" s="37" t="n">
        <v>0</v>
      </c>
      <c r="E1298" s="37" t="n">
        <v>10</v>
      </c>
      <c r="F1298" s="37" t="n">
        <v>0</v>
      </c>
      <c r="G1298" s="37" t="s">
        <v>197</v>
      </c>
      <c r="H1298" s="38" t="n">
        <v>199.164005888188</v>
      </c>
      <c r="I1298" s="38" t="n">
        <v>203.668651246148</v>
      </c>
      <c r="J1298" s="38" t="n">
        <v>229.533113206613</v>
      </c>
      <c r="K1298" s="38" t="n">
        <v>285.349722882999</v>
      </c>
      <c r="L1298" s="38" t="n">
        <v>84.0645823095684</v>
      </c>
      <c r="M1298" s="38" t="n">
        <v>114.46405757916</v>
      </c>
      <c r="N1298" s="38" t="n">
        <v>154.016733452216</v>
      </c>
      <c r="O1298" s="38" t="n">
        <v>77.326729692025</v>
      </c>
      <c r="P1298" s="37" t="n">
        <v>0</v>
      </c>
      <c r="Q1298" s="38" t="n">
        <v>0</v>
      </c>
      <c r="R1298" s="38" t="n">
        <v>70.5</v>
      </c>
      <c r="S1298" s="37" t="n">
        <v>0</v>
      </c>
    </row>
    <row r="1299" customFormat="false" ht="15" hidden="false" customHeight="false" outlineLevel="0" collapsed="false">
      <c r="A1299" s="37" t="n">
        <v>5</v>
      </c>
      <c r="B1299" s="37" t="n">
        <v>0</v>
      </c>
      <c r="C1299" s="37" t="n">
        <v>15</v>
      </c>
      <c r="D1299" s="37" t="n">
        <v>0</v>
      </c>
      <c r="E1299" s="37" t="n">
        <v>10</v>
      </c>
      <c r="F1299" s="37" t="n">
        <v>0</v>
      </c>
      <c r="G1299" s="37" t="s">
        <v>196</v>
      </c>
      <c r="H1299" s="38" t="n">
        <v>199.164005888188</v>
      </c>
      <c r="I1299" s="38" t="n">
        <v>203.656381611815</v>
      </c>
      <c r="J1299" s="38" t="n">
        <v>228.562571586726</v>
      </c>
      <c r="K1299" s="38" t="n">
        <v>284.168965473866</v>
      </c>
      <c r="L1299" s="38" t="n">
        <v>87.5175109580143</v>
      </c>
      <c r="M1299" s="38" t="n">
        <v>112.330625313436</v>
      </c>
      <c r="N1299" s="38" t="n">
        <v>149.377636326548</v>
      </c>
      <c r="O1299" s="38" t="n">
        <v>76.9086734039644</v>
      </c>
      <c r="P1299" s="37" t="n">
        <v>0</v>
      </c>
      <c r="Q1299" s="38" t="n">
        <v>0</v>
      </c>
      <c r="R1299" s="38" t="n">
        <v>69.4569842495291</v>
      </c>
      <c r="S1299" s="37" t="n">
        <v>0</v>
      </c>
    </row>
    <row r="1300" customFormat="false" ht="15" hidden="false" customHeight="false" outlineLevel="0" collapsed="false">
      <c r="A1300" s="37" t="n">
        <v>5</v>
      </c>
      <c r="B1300" s="37" t="n">
        <v>0</v>
      </c>
      <c r="C1300" s="37" t="n">
        <v>15</v>
      </c>
      <c r="D1300" s="37" t="n">
        <v>5</v>
      </c>
      <c r="E1300" s="37" t="n">
        <v>0</v>
      </c>
      <c r="F1300" s="37" t="n">
        <v>5</v>
      </c>
      <c r="G1300" s="37" t="s">
        <v>188</v>
      </c>
      <c r="H1300" s="38" t="n">
        <v>199.455799511243</v>
      </c>
      <c r="I1300" s="38" t="n">
        <v>205.900476598861</v>
      </c>
      <c r="J1300" s="38" t="n">
        <v>232.110400524384</v>
      </c>
      <c r="K1300" s="38" t="n">
        <v>284.592218576667</v>
      </c>
      <c r="L1300" s="38" t="n">
        <v>132.342218576667</v>
      </c>
      <c r="M1300" s="38" t="n">
        <v>116.394548206841</v>
      </c>
      <c r="N1300" s="38" t="n">
        <v>149.296137796767</v>
      </c>
      <c r="O1300" s="38" t="n">
        <v>82.6709116059253</v>
      </c>
      <c r="P1300" s="37" t="n">
        <v>0</v>
      </c>
      <c r="Q1300" s="38" t="n">
        <v>0</v>
      </c>
      <c r="R1300" s="38" t="n">
        <v>72</v>
      </c>
      <c r="S1300" s="37" t="n">
        <v>0</v>
      </c>
    </row>
    <row r="1301" customFormat="false" ht="15" hidden="false" customHeight="false" outlineLevel="0" collapsed="false">
      <c r="A1301" s="37" t="n">
        <v>5</v>
      </c>
      <c r="B1301" s="37" t="n">
        <v>0</v>
      </c>
      <c r="C1301" s="37" t="n">
        <v>15</v>
      </c>
      <c r="D1301" s="37" t="n">
        <v>5</v>
      </c>
      <c r="E1301" s="37" t="n">
        <v>0</v>
      </c>
      <c r="F1301" s="37" t="n">
        <v>5</v>
      </c>
      <c r="G1301" s="37" t="s">
        <v>192</v>
      </c>
      <c r="H1301" s="38" t="n">
        <v>199.455799511243</v>
      </c>
      <c r="I1301" s="38" t="n">
        <v>205.671758180644</v>
      </c>
      <c r="J1301" s="38" t="n">
        <v>240.795381959562</v>
      </c>
      <c r="K1301" s="38" t="n">
        <v>288.829326759016</v>
      </c>
      <c r="L1301" s="38" t="n">
        <v>118.282747369005</v>
      </c>
      <c r="M1301" s="38" t="n">
        <v>110.826011062388</v>
      </c>
      <c r="N1301" s="38" t="n">
        <v>146.887924817079</v>
      </c>
      <c r="O1301" s="38" t="n">
        <v>78.1599861567317</v>
      </c>
      <c r="P1301" s="37" t="n">
        <v>0</v>
      </c>
      <c r="Q1301" s="38" t="n">
        <v>0</v>
      </c>
      <c r="R1301" s="38" t="n">
        <v>72</v>
      </c>
      <c r="S1301" s="37" t="n">
        <v>0</v>
      </c>
    </row>
    <row r="1302" customFormat="false" ht="15" hidden="false" customHeight="false" outlineLevel="0" collapsed="false">
      <c r="A1302" s="37" t="n">
        <v>5</v>
      </c>
      <c r="B1302" s="37" t="n">
        <v>0</v>
      </c>
      <c r="C1302" s="37" t="n">
        <v>15</v>
      </c>
      <c r="D1302" s="37" t="n">
        <v>5</v>
      </c>
      <c r="E1302" s="37" t="n">
        <v>0</v>
      </c>
      <c r="F1302" s="37" t="n">
        <v>5</v>
      </c>
      <c r="G1302" s="37" t="s">
        <v>195</v>
      </c>
      <c r="H1302" s="38" t="n">
        <v>199.455799511243</v>
      </c>
      <c r="I1302" s="38" t="n">
        <v>205.878013408684</v>
      </c>
      <c r="J1302" s="38" t="n">
        <v>235.429438001389</v>
      </c>
      <c r="K1302" s="38" t="n">
        <v>285.818517148386</v>
      </c>
      <c r="L1302" s="38" t="n">
        <v>128.770656450342</v>
      </c>
      <c r="M1302" s="38" t="n">
        <v>115.801753633193</v>
      </c>
      <c r="N1302" s="38" t="n">
        <v>151.041686805618</v>
      </c>
      <c r="O1302" s="38" t="n">
        <v>81.1384329812743</v>
      </c>
      <c r="P1302" s="37" t="n">
        <v>0</v>
      </c>
      <c r="Q1302" s="38" t="n">
        <v>0</v>
      </c>
      <c r="R1302" s="38" t="n">
        <v>70.5606417905869</v>
      </c>
      <c r="S1302" s="37" t="n">
        <v>1</v>
      </c>
    </row>
    <row r="1303" customFormat="false" ht="15" hidden="false" customHeight="false" outlineLevel="0" collapsed="false">
      <c r="A1303" s="37" t="n">
        <v>5</v>
      </c>
      <c r="B1303" s="37" t="n">
        <v>0</v>
      </c>
      <c r="C1303" s="37" t="n">
        <v>15</v>
      </c>
      <c r="D1303" s="37" t="n">
        <v>5</v>
      </c>
      <c r="E1303" s="37" t="n">
        <v>0</v>
      </c>
      <c r="F1303" s="37" t="n">
        <v>5</v>
      </c>
      <c r="G1303" s="37" t="s">
        <v>197</v>
      </c>
      <c r="H1303" s="38" t="n">
        <v>199.455799511243</v>
      </c>
      <c r="I1303" s="38" t="n">
        <v>205.659254321193</v>
      </c>
      <c r="J1303" s="38" t="n">
        <v>233.928668688537</v>
      </c>
      <c r="K1303" s="38" t="n">
        <v>285.322117350566</v>
      </c>
      <c r="L1303" s="38" t="n">
        <v>123.175091509794</v>
      </c>
      <c r="M1303" s="38" t="n">
        <v>110.177395790163</v>
      </c>
      <c r="N1303" s="38" t="n">
        <v>135.561487169128</v>
      </c>
      <c r="O1303" s="38" t="n">
        <v>76.9699515123652</v>
      </c>
      <c r="P1303" s="37" t="n">
        <v>0</v>
      </c>
      <c r="Q1303" s="38" t="n">
        <v>0</v>
      </c>
      <c r="R1303" s="38" t="n">
        <v>72</v>
      </c>
      <c r="S1303" s="37" t="n">
        <v>0</v>
      </c>
    </row>
    <row r="1304" customFormat="false" ht="15" hidden="false" customHeight="false" outlineLevel="0" collapsed="false">
      <c r="A1304" s="37" t="n">
        <v>5</v>
      </c>
      <c r="B1304" s="37" t="n">
        <v>0</v>
      </c>
      <c r="C1304" s="37" t="n">
        <v>15</v>
      </c>
      <c r="D1304" s="37" t="n">
        <v>5</v>
      </c>
      <c r="E1304" s="37" t="n">
        <v>0</v>
      </c>
      <c r="F1304" s="37" t="n">
        <v>5</v>
      </c>
      <c r="G1304" s="37" t="s">
        <v>196</v>
      </c>
      <c r="H1304" s="38" t="n">
        <v>199.455799511243</v>
      </c>
      <c r="I1304" s="38" t="n">
        <v>205.673820649887</v>
      </c>
      <c r="J1304" s="38" t="n">
        <v>234.733319514459</v>
      </c>
      <c r="K1304" s="38" t="n">
        <v>286.509470876821</v>
      </c>
      <c r="L1304" s="38" t="n">
        <v>130.401760775725</v>
      </c>
      <c r="M1304" s="38" t="n">
        <v>113.271798775406</v>
      </c>
      <c r="N1304" s="38" t="n">
        <v>146.086499755673</v>
      </c>
      <c r="O1304" s="38" t="n">
        <v>80.5661708768732</v>
      </c>
      <c r="P1304" s="37" t="n">
        <v>0</v>
      </c>
      <c r="Q1304" s="38" t="n">
        <v>0</v>
      </c>
      <c r="R1304" s="38" t="n">
        <v>71.0874829090703</v>
      </c>
      <c r="S1304" s="37" t="n">
        <v>0</v>
      </c>
    </row>
    <row r="1305" customFormat="false" ht="15" hidden="false" customHeight="false" outlineLevel="0" collapsed="false">
      <c r="A1305" s="37" t="n">
        <v>5</v>
      </c>
      <c r="B1305" s="37" t="n">
        <v>0</v>
      </c>
      <c r="C1305" s="37" t="n">
        <v>15</v>
      </c>
      <c r="D1305" s="37" t="n">
        <v>5</v>
      </c>
      <c r="E1305" s="37" t="n">
        <v>5</v>
      </c>
      <c r="F1305" s="37" t="n">
        <v>0</v>
      </c>
      <c r="G1305" s="37" t="s">
        <v>188</v>
      </c>
      <c r="H1305" s="38" t="n">
        <v>199.353102549264</v>
      </c>
      <c r="I1305" s="38" t="n">
        <v>205.405619106249</v>
      </c>
      <c r="J1305" s="38" t="n">
        <v>233.702463914023</v>
      </c>
      <c r="K1305" s="38" t="n">
        <v>284.579536467299</v>
      </c>
      <c r="L1305" s="38" t="n">
        <v>92.3295364672991</v>
      </c>
      <c r="M1305" s="38" t="n">
        <v>115.937300541276</v>
      </c>
      <c r="N1305" s="38" t="n">
        <v>154.655775294552</v>
      </c>
      <c r="O1305" s="38" t="n">
        <v>81.9106024346676</v>
      </c>
      <c r="P1305" s="37" t="n">
        <v>0</v>
      </c>
      <c r="Q1305" s="38" t="n">
        <v>0</v>
      </c>
      <c r="R1305" s="38" t="n">
        <v>72</v>
      </c>
      <c r="S1305" s="37" t="n">
        <v>0</v>
      </c>
    </row>
    <row r="1306" customFormat="false" ht="15" hidden="false" customHeight="false" outlineLevel="0" collapsed="false">
      <c r="A1306" s="37" t="n">
        <v>5</v>
      </c>
      <c r="B1306" s="37" t="n">
        <v>0</v>
      </c>
      <c r="C1306" s="37" t="n">
        <v>15</v>
      </c>
      <c r="D1306" s="37" t="n">
        <v>5</v>
      </c>
      <c r="E1306" s="37" t="n">
        <v>5</v>
      </c>
      <c r="F1306" s="37" t="n">
        <v>0</v>
      </c>
      <c r="G1306" s="37" t="s">
        <v>192</v>
      </c>
      <c r="H1306" s="38" t="n">
        <v>199.353102549264</v>
      </c>
      <c r="I1306" s="38" t="n">
        <v>205.197977245893</v>
      </c>
      <c r="J1306" s="38" t="n">
        <v>242.018044096257</v>
      </c>
      <c r="K1306" s="38" t="n">
        <v>288.364762180754</v>
      </c>
      <c r="L1306" s="38" t="n">
        <v>77.7409770574266</v>
      </c>
      <c r="M1306" s="38" t="n">
        <v>110.530003286604</v>
      </c>
      <c r="N1306" s="38" t="n">
        <v>151.610855186077</v>
      </c>
      <c r="O1306" s="38" t="n">
        <v>77.3938372509483</v>
      </c>
      <c r="P1306" s="37" t="n">
        <v>0</v>
      </c>
      <c r="Q1306" s="38" t="n">
        <v>0</v>
      </c>
      <c r="R1306" s="38" t="n">
        <v>72</v>
      </c>
      <c r="S1306" s="37" t="n">
        <v>0</v>
      </c>
    </row>
    <row r="1307" customFormat="false" ht="15" hidden="false" customHeight="false" outlineLevel="0" collapsed="false">
      <c r="A1307" s="37" t="n">
        <v>5</v>
      </c>
      <c r="B1307" s="37" t="n">
        <v>0</v>
      </c>
      <c r="C1307" s="37" t="n">
        <v>15</v>
      </c>
      <c r="D1307" s="37" t="n">
        <v>5</v>
      </c>
      <c r="E1307" s="37" t="n">
        <v>5</v>
      </c>
      <c r="F1307" s="37" t="n">
        <v>0</v>
      </c>
      <c r="G1307" s="37" t="s">
        <v>195</v>
      </c>
      <c r="H1307" s="38" t="n">
        <v>199.353102549264</v>
      </c>
      <c r="I1307" s="38" t="n">
        <v>205.405412841883</v>
      </c>
      <c r="J1307" s="38" t="n">
        <v>236.847400688012</v>
      </c>
      <c r="K1307" s="38" t="n">
        <v>285.724336668473</v>
      </c>
      <c r="L1307" s="38" t="n">
        <v>88.5601954650255</v>
      </c>
      <c r="M1307" s="38" t="n">
        <v>115.43052528375</v>
      </c>
      <c r="N1307" s="38" t="n">
        <v>156.09307958882</v>
      </c>
      <c r="O1307" s="38" t="n">
        <v>80.5022963085613</v>
      </c>
      <c r="P1307" s="37" t="n">
        <v>0</v>
      </c>
      <c r="Q1307" s="38" t="n">
        <v>0</v>
      </c>
      <c r="R1307" s="38" t="n">
        <v>70.5257576389656</v>
      </c>
      <c r="S1307" s="37" t="n">
        <v>1</v>
      </c>
    </row>
    <row r="1308" customFormat="false" ht="15" hidden="false" customHeight="false" outlineLevel="0" collapsed="false">
      <c r="A1308" s="37" t="n">
        <v>5</v>
      </c>
      <c r="B1308" s="37" t="n">
        <v>0</v>
      </c>
      <c r="C1308" s="37" t="n">
        <v>15</v>
      </c>
      <c r="D1308" s="37" t="n">
        <v>5</v>
      </c>
      <c r="E1308" s="37" t="n">
        <v>5</v>
      </c>
      <c r="F1308" s="37" t="n">
        <v>0</v>
      </c>
      <c r="G1308" s="37" t="s">
        <v>197</v>
      </c>
      <c r="H1308" s="38" t="n">
        <v>199.353102549264</v>
      </c>
      <c r="I1308" s="38" t="n">
        <v>205.199109035017</v>
      </c>
      <c r="J1308" s="38" t="n">
        <v>235.893610697586</v>
      </c>
      <c r="K1308" s="38" t="n">
        <v>286.03326344256</v>
      </c>
      <c r="L1308" s="38" t="n">
        <v>84.3306308577128</v>
      </c>
      <c r="M1308" s="38" t="n">
        <v>113.249078852038</v>
      </c>
      <c r="N1308" s="38" t="n">
        <v>149.143474156916</v>
      </c>
      <c r="O1308" s="38" t="n">
        <v>80.1143417985437</v>
      </c>
      <c r="P1308" s="37" t="n">
        <v>0</v>
      </c>
      <c r="Q1308" s="38" t="n">
        <v>0</v>
      </c>
      <c r="R1308" s="38" t="n">
        <v>72</v>
      </c>
      <c r="S1308" s="37" t="n">
        <v>0</v>
      </c>
    </row>
    <row r="1309" customFormat="false" ht="15" hidden="false" customHeight="false" outlineLevel="0" collapsed="false">
      <c r="A1309" s="37" t="n">
        <v>5</v>
      </c>
      <c r="B1309" s="37" t="n">
        <v>0</v>
      </c>
      <c r="C1309" s="37" t="n">
        <v>15</v>
      </c>
      <c r="D1309" s="37" t="n">
        <v>5</v>
      </c>
      <c r="E1309" s="37" t="n">
        <v>5</v>
      </c>
      <c r="F1309" s="37" t="n">
        <v>0</v>
      </c>
      <c r="G1309" s="37" t="s">
        <v>196</v>
      </c>
      <c r="H1309" s="38" t="n">
        <v>199.353102549264</v>
      </c>
      <c r="I1309" s="38" t="n">
        <v>205.207426341263</v>
      </c>
      <c r="J1309" s="38" t="n">
        <v>235.835098395621</v>
      </c>
      <c r="K1309" s="38" t="n">
        <v>286.098629747842</v>
      </c>
      <c r="L1309" s="38" t="n">
        <v>89.5330014425503</v>
      </c>
      <c r="M1309" s="38" t="n">
        <v>113.711314671241</v>
      </c>
      <c r="N1309" s="38" t="n">
        <v>152.099469697285</v>
      </c>
      <c r="O1309" s="38" t="n">
        <v>80.9573096761511</v>
      </c>
      <c r="P1309" s="37" t="n">
        <v>0</v>
      </c>
      <c r="Q1309" s="38" t="n">
        <v>0</v>
      </c>
      <c r="R1309" s="38" t="n">
        <v>70.9775825400634</v>
      </c>
      <c r="S1309" s="37" t="n">
        <v>0</v>
      </c>
    </row>
    <row r="1310" customFormat="false" ht="15" hidden="false" customHeight="false" outlineLevel="0" collapsed="false">
      <c r="A1310" s="37" t="n">
        <v>5</v>
      </c>
      <c r="B1310" s="37" t="n">
        <v>0</v>
      </c>
      <c r="C1310" s="37" t="n">
        <v>15</v>
      </c>
      <c r="D1310" s="37" t="n">
        <v>10</v>
      </c>
      <c r="E1310" s="37" t="n">
        <v>0</v>
      </c>
      <c r="F1310" s="37" t="n">
        <v>0</v>
      </c>
      <c r="G1310" s="37" t="s">
        <v>188</v>
      </c>
      <c r="H1310" s="38" t="n">
        <v>199.658668971321</v>
      </c>
      <c r="I1310" s="38" t="n">
        <v>207.269930152007</v>
      </c>
      <c r="J1310" s="38" t="n">
        <v>238.046538055584</v>
      </c>
      <c r="K1310" s="38" t="n">
        <v>289.481113175129</v>
      </c>
      <c r="L1310" s="38" t="n">
        <v>97.2311131751292</v>
      </c>
      <c r="M1310" s="38" t="n">
        <v>117.949582314189</v>
      </c>
      <c r="N1310" s="38" t="n">
        <v>154.298120683624</v>
      </c>
      <c r="O1310" s="38" t="n">
        <v>83.9251184046579</v>
      </c>
      <c r="P1310" s="37" t="n">
        <v>0</v>
      </c>
      <c r="Q1310" s="38" t="n">
        <v>0</v>
      </c>
      <c r="R1310" s="38" t="n">
        <v>72</v>
      </c>
      <c r="S1310" s="37" t="n">
        <v>0</v>
      </c>
    </row>
    <row r="1311" customFormat="false" ht="15" hidden="false" customHeight="false" outlineLevel="0" collapsed="false">
      <c r="A1311" s="37" t="n">
        <v>5</v>
      </c>
      <c r="B1311" s="37" t="n">
        <v>0</v>
      </c>
      <c r="C1311" s="37" t="n">
        <v>15</v>
      </c>
      <c r="D1311" s="37" t="n">
        <v>10</v>
      </c>
      <c r="E1311" s="37" t="n">
        <v>0</v>
      </c>
      <c r="F1311" s="37" t="n">
        <v>0</v>
      </c>
      <c r="G1311" s="37" t="s">
        <v>192</v>
      </c>
      <c r="H1311" s="38" t="n">
        <v>199.658668971321</v>
      </c>
      <c r="I1311" s="38" t="n">
        <v>207.024710536568</v>
      </c>
      <c r="J1311" s="38" t="n">
        <v>246.93670526787</v>
      </c>
      <c r="K1311" s="38" t="n">
        <v>293.701399405098</v>
      </c>
      <c r="L1311" s="38" t="n">
        <v>83.7018625991536</v>
      </c>
      <c r="M1311" s="38" t="n">
        <v>112.369930832819</v>
      </c>
      <c r="N1311" s="38" t="n">
        <v>151.938945674653</v>
      </c>
      <c r="O1311" s="38" t="n">
        <v>78.9462041362469</v>
      </c>
      <c r="P1311" s="37" t="n">
        <v>0</v>
      </c>
      <c r="Q1311" s="38" t="n">
        <v>0</v>
      </c>
      <c r="R1311" s="38" t="n">
        <v>72</v>
      </c>
      <c r="S1311" s="37" t="n">
        <v>0</v>
      </c>
    </row>
    <row r="1312" customFormat="false" ht="15" hidden="false" customHeight="false" outlineLevel="0" collapsed="false">
      <c r="A1312" s="37" t="n">
        <v>5</v>
      </c>
      <c r="B1312" s="37" t="n">
        <v>0</v>
      </c>
      <c r="C1312" s="37" t="n">
        <v>15</v>
      </c>
      <c r="D1312" s="37" t="n">
        <v>10</v>
      </c>
      <c r="E1312" s="37" t="n">
        <v>0</v>
      </c>
      <c r="F1312" s="37" t="n">
        <v>0</v>
      </c>
      <c r="G1312" s="37" t="s">
        <v>195</v>
      </c>
      <c r="H1312" s="38" t="n">
        <v>199.658668971321</v>
      </c>
      <c r="I1312" s="38" t="n">
        <v>207.369862456033</v>
      </c>
      <c r="J1312" s="38" t="n">
        <v>243.015782935022</v>
      </c>
      <c r="K1312" s="38" t="n">
        <v>295.914173025605</v>
      </c>
      <c r="L1312" s="38" t="n">
        <v>102.664173025605</v>
      </c>
      <c r="M1312" s="38" t="n">
        <v>118.77273731027</v>
      </c>
      <c r="N1312" s="38" t="n">
        <v>161.819612096822</v>
      </c>
      <c r="O1312" s="38" t="n">
        <v>83.8449981453072</v>
      </c>
      <c r="P1312" s="37" t="n">
        <v>0</v>
      </c>
      <c r="Q1312" s="38" t="n">
        <v>0</v>
      </c>
      <c r="R1312" s="38" t="n">
        <v>67.69257990402</v>
      </c>
      <c r="S1312" s="37" t="n">
        <v>1</v>
      </c>
    </row>
    <row r="1313" customFormat="false" ht="15" hidden="false" customHeight="false" outlineLevel="0" collapsed="false">
      <c r="A1313" s="37" t="n">
        <v>5</v>
      </c>
      <c r="B1313" s="37" t="n">
        <v>0</v>
      </c>
      <c r="C1313" s="37" t="n">
        <v>15</v>
      </c>
      <c r="D1313" s="37" t="n">
        <v>10</v>
      </c>
      <c r="E1313" s="37" t="n">
        <v>0</v>
      </c>
      <c r="F1313" s="37" t="n">
        <v>0</v>
      </c>
      <c r="G1313" s="37" t="s">
        <v>197</v>
      </c>
      <c r="H1313" s="38" t="n">
        <v>199.658668971321</v>
      </c>
      <c r="I1313" s="38" t="n">
        <v>207.011670814971</v>
      </c>
      <c r="J1313" s="38" t="n">
        <v>239.624121164508</v>
      </c>
      <c r="K1313" s="38" t="n">
        <v>289.800872135872</v>
      </c>
      <c r="L1313" s="38" t="n">
        <v>87.84878061477</v>
      </c>
      <c r="M1313" s="38" t="n">
        <v>111.807174523729</v>
      </c>
      <c r="N1313" s="38" t="n">
        <v>140.342758579388</v>
      </c>
      <c r="O1313" s="38" t="n">
        <v>78.3105141379403</v>
      </c>
      <c r="P1313" s="37" t="n">
        <v>0</v>
      </c>
      <c r="Q1313" s="38" t="n">
        <v>0</v>
      </c>
      <c r="R1313" s="38" t="n">
        <v>72</v>
      </c>
      <c r="S1313" s="37" t="n">
        <v>0</v>
      </c>
    </row>
    <row r="1314" customFormat="false" ht="15" hidden="false" customHeight="false" outlineLevel="0" collapsed="false">
      <c r="A1314" s="37" t="n">
        <v>5</v>
      </c>
      <c r="B1314" s="37" t="n">
        <v>0</v>
      </c>
      <c r="C1314" s="37" t="n">
        <v>15</v>
      </c>
      <c r="D1314" s="37" t="n">
        <v>10</v>
      </c>
      <c r="E1314" s="37" t="n">
        <v>0</v>
      </c>
      <c r="F1314" s="37" t="n">
        <v>0</v>
      </c>
      <c r="G1314" s="37" t="s">
        <v>196</v>
      </c>
      <c r="H1314" s="38" t="n">
        <v>199.658668971321</v>
      </c>
      <c r="I1314" s="38" t="n">
        <v>207.027394238301</v>
      </c>
      <c r="J1314" s="38" t="n">
        <v>231.947438596531</v>
      </c>
      <c r="K1314" s="38" t="n">
        <v>291.393099799483</v>
      </c>
      <c r="L1314" s="38" t="n">
        <v>97.8375442439276</v>
      </c>
      <c r="M1314" s="38" t="n">
        <v>115.301211382837</v>
      </c>
      <c r="N1314" s="38" t="n">
        <v>149.567346824319</v>
      </c>
      <c r="O1314" s="38" t="n">
        <v>80.0480714014449</v>
      </c>
      <c r="P1314" s="37" t="n">
        <v>0</v>
      </c>
      <c r="Q1314" s="38" t="n">
        <v>0</v>
      </c>
      <c r="R1314" s="38" t="n">
        <v>70.6036221578785</v>
      </c>
      <c r="S1314" s="37" t="n">
        <v>0</v>
      </c>
    </row>
    <row r="1315" customFormat="false" ht="15" hidden="false" customHeight="false" outlineLevel="0" collapsed="false">
      <c r="A1315" s="37" t="n">
        <v>5</v>
      </c>
      <c r="B1315" s="37" t="n">
        <v>0</v>
      </c>
      <c r="C1315" s="37" t="n">
        <v>20</v>
      </c>
      <c r="D1315" s="37" t="n">
        <v>0</v>
      </c>
      <c r="E1315" s="37" t="n">
        <v>0</v>
      </c>
      <c r="F1315" s="37" t="n">
        <v>5</v>
      </c>
      <c r="G1315" s="37" t="s">
        <v>188</v>
      </c>
      <c r="H1315" s="38" t="n">
        <v>199.528881632975</v>
      </c>
      <c r="I1315" s="38" t="n">
        <v>205.713772222485</v>
      </c>
      <c r="J1315" s="38" t="n">
        <v>232.468078395329</v>
      </c>
      <c r="K1315" s="38" t="n">
        <v>290.745411102548</v>
      </c>
      <c r="L1315" s="38" t="n">
        <v>129.532259358131</v>
      </c>
      <c r="M1315" s="38" t="n">
        <v>117.048089823418</v>
      </c>
      <c r="N1315" s="38" t="n">
        <v>151.299569300818</v>
      </c>
      <c r="O1315" s="38" t="n">
        <v>79.5801439094445</v>
      </c>
      <c r="P1315" s="37" t="n">
        <v>0</v>
      </c>
      <c r="Q1315" s="38" t="n">
        <v>0</v>
      </c>
      <c r="R1315" s="38" t="n">
        <v>70.5</v>
      </c>
      <c r="S1315" s="37" t="n">
        <v>1</v>
      </c>
    </row>
    <row r="1316" customFormat="false" ht="15" hidden="false" customHeight="false" outlineLevel="0" collapsed="false">
      <c r="A1316" s="37" t="n">
        <v>5</v>
      </c>
      <c r="B1316" s="37" t="n">
        <v>0</v>
      </c>
      <c r="C1316" s="37" t="n">
        <v>20</v>
      </c>
      <c r="D1316" s="37" t="n">
        <v>0</v>
      </c>
      <c r="E1316" s="37" t="n">
        <v>0</v>
      </c>
      <c r="F1316" s="37" t="n">
        <v>5</v>
      </c>
      <c r="G1316" s="37" t="s">
        <v>192</v>
      </c>
      <c r="H1316" s="38" t="n">
        <v>199.528881632975</v>
      </c>
      <c r="I1316" s="38" t="n">
        <v>205.479783018407</v>
      </c>
      <c r="J1316" s="38" t="n">
        <v>229.848114619491</v>
      </c>
      <c r="K1316" s="38" t="n">
        <v>285.600569336855</v>
      </c>
      <c r="L1316" s="38" t="n">
        <v>124.940816575873</v>
      </c>
      <c r="M1316" s="38" t="n">
        <v>111.462225107913</v>
      </c>
      <c r="N1316" s="38" t="n">
        <v>139.696817472604</v>
      </c>
      <c r="O1316" s="38" t="n">
        <v>73.0319004497891</v>
      </c>
      <c r="P1316" s="37" t="n">
        <v>0</v>
      </c>
      <c r="Q1316" s="38" t="n">
        <v>0</v>
      </c>
      <c r="R1316" s="38" t="n">
        <v>70.5</v>
      </c>
      <c r="S1316" s="37" t="n">
        <v>0</v>
      </c>
    </row>
    <row r="1317" customFormat="false" ht="15" hidden="false" customHeight="false" outlineLevel="0" collapsed="false">
      <c r="A1317" s="37" t="n">
        <v>5</v>
      </c>
      <c r="B1317" s="37" t="n">
        <v>0</v>
      </c>
      <c r="C1317" s="37" t="n">
        <v>20</v>
      </c>
      <c r="D1317" s="37" t="n">
        <v>0</v>
      </c>
      <c r="E1317" s="37" t="n">
        <v>0</v>
      </c>
      <c r="F1317" s="37" t="n">
        <v>5</v>
      </c>
      <c r="G1317" s="37" t="s">
        <v>195</v>
      </c>
      <c r="H1317" s="38" t="n">
        <v>199.528881632975</v>
      </c>
      <c r="I1317" s="38" t="n">
        <v>205.551438622257</v>
      </c>
      <c r="J1317" s="38" t="n">
        <v>226.174486249793</v>
      </c>
      <c r="K1317" s="38" t="n">
        <v>278.041494726982</v>
      </c>
      <c r="L1317" s="38" t="n">
        <v>119.610793749907</v>
      </c>
      <c r="M1317" s="38" t="n">
        <v>114.599519999975</v>
      </c>
      <c r="N1317" s="38" t="n">
        <v>137.052437673657</v>
      </c>
      <c r="O1317" s="38" t="n">
        <v>72.6645101489525</v>
      </c>
      <c r="P1317" s="37" t="n">
        <v>0</v>
      </c>
      <c r="Q1317" s="38" t="n">
        <v>0</v>
      </c>
      <c r="R1317" s="38" t="n">
        <v>68.6457897068776</v>
      </c>
      <c r="S1317" s="37" t="n">
        <v>0</v>
      </c>
    </row>
    <row r="1318" customFormat="false" ht="15" hidden="false" customHeight="false" outlineLevel="0" collapsed="false">
      <c r="A1318" s="37" t="n">
        <v>5</v>
      </c>
      <c r="B1318" s="37" t="n">
        <v>0</v>
      </c>
      <c r="C1318" s="37" t="n">
        <v>20</v>
      </c>
      <c r="D1318" s="37" t="n">
        <v>0</v>
      </c>
      <c r="E1318" s="37" t="n">
        <v>0</v>
      </c>
      <c r="F1318" s="37" t="n">
        <v>5</v>
      </c>
      <c r="G1318" s="37" t="s">
        <v>197</v>
      </c>
      <c r="H1318" s="38" t="n">
        <v>199.528881632975</v>
      </c>
      <c r="I1318" s="38" t="n">
        <v>205.462769280436</v>
      </c>
      <c r="J1318" s="38" t="n">
        <v>228.431488639596</v>
      </c>
      <c r="K1318" s="38" t="n">
        <v>283.60244362204</v>
      </c>
      <c r="L1318" s="38" t="n">
        <v>121.269256747265</v>
      </c>
      <c r="M1318" s="38" t="n">
        <v>109.55841463152</v>
      </c>
      <c r="N1318" s="38" t="n">
        <v>130.16066224259</v>
      </c>
      <c r="O1318" s="38" t="n">
        <v>71.9650364448365</v>
      </c>
      <c r="P1318" s="37" t="n">
        <v>0</v>
      </c>
      <c r="Q1318" s="38" t="n">
        <v>0</v>
      </c>
      <c r="R1318" s="38" t="n">
        <v>70.5</v>
      </c>
      <c r="S1318" s="37" t="n">
        <v>0</v>
      </c>
    </row>
    <row r="1319" customFormat="false" ht="15" hidden="false" customHeight="false" outlineLevel="0" collapsed="false">
      <c r="A1319" s="37" t="n">
        <v>5</v>
      </c>
      <c r="B1319" s="37" t="n">
        <v>0</v>
      </c>
      <c r="C1319" s="37" t="n">
        <v>20</v>
      </c>
      <c r="D1319" s="37" t="n">
        <v>0</v>
      </c>
      <c r="E1319" s="37" t="n">
        <v>0</v>
      </c>
      <c r="F1319" s="37" t="n">
        <v>5</v>
      </c>
      <c r="G1319" s="37" t="s">
        <v>196</v>
      </c>
      <c r="H1319" s="38" t="n">
        <v>199.528881632975</v>
      </c>
      <c r="I1319" s="38" t="n">
        <v>205.477174400296</v>
      </c>
      <c r="J1319" s="38" t="n">
        <v>229.034784118452</v>
      </c>
      <c r="K1319" s="38" t="n">
        <v>284.5983472494</v>
      </c>
      <c r="L1319" s="38" t="n">
        <v>128.333421991218</v>
      </c>
      <c r="M1319" s="38" t="n">
        <v>112.535041853697</v>
      </c>
      <c r="N1319" s="38" t="n">
        <v>139.105178835089</v>
      </c>
      <c r="O1319" s="38" t="n">
        <v>75.6251358909942</v>
      </c>
      <c r="P1319" s="37" t="n">
        <v>0</v>
      </c>
      <c r="Q1319" s="38" t="n">
        <v>0</v>
      </c>
      <c r="R1319" s="38" t="n">
        <v>69.5497512713697</v>
      </c>
      <c r="S1319" s="37" t="n">
        <v>0</v>
      </c>
    </row>
    <row r="1320" customFormat="false" ht="15" hidden="false" customHeight="false" outlineLevel="0" collapsed="false">
      <c r="A1320" s="37" t="n">
        <v>5</v>
      </c>
      <c r="B1320" s="37" t="n">
        <v>0</v>
      </c>
      <c r="C1320" s="37" t="n">
        <v>20</v>
      </c>
      <c r="D1320" s="37" t="n">
        <v>0</v>
      </c>
      <c r="E1320" s="37" t="n">
        <v>5</v>
      </c>
      <c r="F1320" s="37" t="n">
        <v>0</v>
      </c>
      <c r="G1320" s="37" t="s">
        <v>188</v>
      </c>
      <c r="H1320" s="38" t="n">
        <v>199.441958082734</v>
      </c>
      <c r="I1320" s="38" t="n">
        <v>205.315222656667</v>
      </c>
      <c r="J1320" s="38" t="n">
        <v>233.910117329886</v>
      </c>
      <c r="K1320" s="38" t="n">
        <v>290.937465737057</v>
      </c>
      <c r="L1320" s="38" t="n">
        <v>89.875242724676</v>
      </c>
      <c r="M1320" s="38" t="n">
        <v>116.726642016927</v>
      </c>
      <c r="N1320" s="38" t="n">
        <v>156.197222517387</v>
      </c>
      <c r="O1320" s="38" t="n">
        <v>78.8770345600071</v>
      </c>
      <c r="P1320" s="37" t="n">
        <v>0</v>
      </c>
      <c r="Q1320" s="38" t="n">
        <v>0</v>
      </c>
      <c r="R1320" s="38" t="n">
        <v>70.5</v>
      </c>
      <c r="S1320" s="37" t="n">
        <v>1</v>
      </c>
    </row>
    <row r="1321" customFormat="false" ht="15" hidden="false" customHeight="false" outlineLevel="0" collapsed="false">
      <c r="A1321" s="37" t="n">
        <v>5</v>
      </c>
      <c r="B1321" s="37" t="n">
        <v>0</v>
      </c>
      <c r="C1321" s="37" t="n">
        <v>20</v>
      </c>
      <c r="D1321" s="37" t="n">
        <v>0</v>
      </c>
      <c r="E1321" s="37" t="n">
        <v>5</v>
      </c>
      <c r="F1321" s="37" t="n">
        <v>0</v>
      </c>
      <c r="G1321" s="37" t="s">
        <v>192</v>
      </c>
      <c r="H1321" s="38" t="n">
        <v>199.441958082734</v>
      </c>
      <c r="I1321" s="38" t="n">
        <v>205.096356664216</v>
      </c>
      <c r="J1321" s="38" t="n">
        <v>231.012783376105</v>
      </c>
      <c r="K1321" s="38" t="n">
        <v>285.468870408109</v>
      </c>
      <c r="L1321" s="38" t="n">
        <v>84.7833838548442</v>
      </c>
      <c r="M1321" s="38" t="n">
        <v>111.272252400354</v>
      </c>
      <c r="N1321" s="38" t="n">
        <v>144.320417289767</v>
      </c>
      <c r="O1321" s="38" t="n">
        <v>72.486795726587</v>
      </c>
      <c r="P1321" s="37" t="n">
        <v>0</v>
      </c>
      <c r="Q1321" s="38" t="n">
        <v>0</v>
      </c>
      <c r="R1321" s="38" t="n">
        <v>70.5</v>
      </c>
      <c r="S1321" s="37" t="n">
        <v>0</v>
      </c>
    </row>
    <row r="1322" customFormat="false" ht="15" hidden="false" customHeight="false" outlineLevel="0" collapsed="false">
      <c r="A1322" s="37" t="n">
        <v>5</v>
      </c>
      <c r="B1322" s="37" t="n">
        <v>0</v>
      </c>
      <c r="C1322" s="37" t="n">
        <v>20</v>
      </c>
      <c r="D1322" s="37" t="n">
        <v>0</v>
      </c>
      <c r="E1322" s="37" t="n">
        <v>5</v>
      </c>
      <c r="F1322" s="37" t="n">
        <v>0</v>
      </c>
      <c r="G1322" s="37" t="s">
        <v>195</v>
      </c>
      <c r="H1322" s="38" t="n">
        <v>199.441958082734</v>
      </c>
      <c r="I1322" s="38" t="n">
        <v>205.17453631367</v>
      </c>
      <c r="J1322" s="38" t="n">
        <v>227.331441143473</v>
      </c>
      <c r="K1322" s="38" t="n">
        <v>277.925630708377</v>
      </c>
      <c r="L1322" s="38" t="n">
        <v>79.4151948974593</v>
      </c>
      <c r="M1322" s="38" t="n">
        <v>114.424375279586</v>
      </c>
      <c r="N1322" s="38" t="n">
        <v>141.748064852919</v>
      </c>
      <c r="O1322" s="38" t="n">
        <v>72.2125841792132</v>
      </c>
      <c r="P1322" s="37" t="n">
        <v>0</v>
      </c>
      <c r="Q1322" s="38" t="n">
        <v>0</v>
      </c>
      <c r="R1322" s="38" t="n">
        <v>68.6218692567246</v>
      </c>
      <c r="S1322" s="37" t="n">
        <v>0</v>
      </c>
    </row>
    <row r="1323" customFormat="false" ht="15" hidden="false" customHeight="false" outlineLevel="0" collapsed="false">
      <c r="A1323" s="37" t="n">
        <v>5</v>
      </c>
      <c r="B1323" s="37" t="n">
        <v>0</v>
      </c>
      <c r="C1323" s="37" t="n">
        <v>20</v>
      </c>
      <c r="D1323" s="37" t="n">
        <v>0</v>
      </c>
      <c r="E1323" s="37" t="n">
        <v>5</v>
      </c>
      <c r="F1323" s="37" t="n">
        <v>0</v>
      </c>
      <c r="G1323" s="37" t="s">
        <v>197</v>
      </c>
      <c r="H1323" s="38" t="n">
        <v>199.441958082734</v>
      </c>
      <c r="I1323" s="38" t="n">
        <v>205.091441145855</v>
      </c>
      <c r="J1323" s="38" t="n">
        <v>230.161945244173</v>
      </c>
      <c r="K1323" s="38" t="n">
        <v>284.321165526423</v>
      </c>
      <c r="L1323" s="38" t="n">
        <v>82.4211271914761</v>
      </c>
      <c r="M1323" s="38" t="n">
        <v>112.770532843489</v>
      </c>
      <c r="N1323" s="38" t="n">
        <v>142.906297182615</v>
      </c>
      <c r="O1323" s="38" t="n">
        <v>74.9974579405836</v>
      </c>
      <c r="P1323" s="37" t="n">
        <v>0</v>
      </c>
      <c r="Q1323" s="38" t="n">
        <v>0</v>
      </c>
      <c r="R1323" s="38" t="n">
        <v>70.5</v>
      </c>
      <c r="S1323" s="37" t="n">
        <v>0</v>
      </c>
    </row>
    <row r="1324" customFormat="false" ht="15" hidden="false" customHeight="false" outlineLevel="0" collapsed="false">
      <c r="A1324" s="37" t="n">
        <v>5</v>
      </c>
      <c r="B1324" s="37" t="n">
        <v>0</v>
      </c>
      <c r="C1324" s="37" t="n">
        <v>20</v>
      </c>
      <c r="D1324" s="37" t="n">
        <v>0</v>
      </c>
      <c r="E1324" s="37" t="n">
        <v>5</v>
      </c>
      <c r="F1324" s="37" t="n">
        <v>0</v>
      </c>
      <c r="G1324" s="37" t="s">
        <v>196</v>
      </c>
      <c r="H1324" s="38" t="n">
        <v>199.441958082734</v>
      </c>
      <c r="I1324" s="38" t="n">
        <v>205.100004647071</v>
      </c>
      <c r="J1324" s="38" t="n">
        <v>230.066687899345</v>
      </c>
      <c r="K1324" s="38" t="n">
        <v>284.402479532368</v>
      </c>
      <c r="L1324" s="38" t="n">
        <v>87.6995180213574</v>
      </c>
      <c r="M1324" s="38" t="n">
        <v>113.142778387569</v>
      </c>
      <c r="N1324" s="38" t="n">
        <v>144.876583885341</v>
      </c>
      <c r="O1324" s="38" t="n">
        <v>75.9453450361059</v>
      </c>
      <c r="P1324" s="37" t="n">
        <v>0</v>
      </c>
      <c r="Q1324" s="38" t="n">
        <v>0</v>
      </c>
      <c r="R1324" s="38" t="n">
        <v>69.4446225706907</v>
      </c>
      <c r="S1324" s="37" t="n">
        <v>0</v>
      </c>
    </row>
    <row r="1325" customFormat="false" ht="15" hidden="false" customHeight="false" outlineLevel="0" collapsed="false">
      <c r="A1325" s="37" t="n">
        <v>5</v>
      </c>
      <c r="B1325" s="37" t="n">
        <v>0</v>
      </c>
      <c r="C1325" s="37" t="n">
        <v>20</v>
      </c>
      <c r="D1325" s="37" t="n">
        <v>5</v>
      </c>
      <c r="E1325" s="37" t="n">
        <v>0</v>
      </c>
      <c r="F1325" s="37" t="n">
        <v>0</v>
      </c>
      <c r="G1325" s="37" t="s">
        <v>188</v>
      </c>
      <c r="H1325" s="38" t="n">
        <v>199.717767477444</v>
      </c>
      <c r="I1325" s="38" t="n">
        <v>207.450811390895</v>
      </c>
      <c r="J1325" s="38" t="n">
        <v>235.171906594341</v>
      </c>
      <c r="K1325" s="38" t="n">
        <v>286.596655743618</v>
      </c>
      <c r="L1325" s="38" t="n">
        <v>94.3466557436178</v>
      </c>
      <c r="M1325" s="38" t="n">
        <v>119.152703192916</v>
      </c>
      <c r="N1325" s="38" t="n">
        <v>150.565570729919</v>
      </c>
      <c r="O1325" s="38" t="n">
        <v>81.8041011147687</v>
      </c>
      <c r="P1325" s="37" t="n">
        <v>0</v>
      </c>
      <c r="Q1325" s="38" t="n">
        <v>0</v>
      </c>
      <c r="R1325" s="38" t="n">
        <v>72</v>
      </c>
      <c r="S1325" s="37" t="n">
        <v>0</v>
      </c>
    </row>
    <row r="1326" customFormat="false" ht="15" hidden="false" customHeight="false" outlineLevel="0" collapsed="false">
      <c r="A1326" s="37" t="n">
        <v>5</v>
      </c>
      <c r="B1326" s="37" t="n">
        <v>0</v>
      </c>
      <c r="C1326" s="37" t="n">
        <v>20</v>
      </c>
      <c r="D1326" s="37" t="n">
        <v>5</v>
      </c>
      <c r="E1326" s="37" t="n">
        <v>0</v>
      </c>
      <c r="F1326" s="37" t="n">
        <v>0</v>
      </c>
      <c r="G1326" s="37" t="s">
        <v>192</v>
      </c>
      <c r="H1326" s="38" t="n">
        <v>199.717767477444</v>
      </c>
      <c r="I1326" s="38" t="n">
        <v>207.192390584432</v>
      </c>
      <c r="J1326" s="38" t="n">
        <v>243.660143048294</v>
      </c>
      <c r="K1326" s="38" t="n">
        <v>290.320368735649</v>
      </c>
      <c r="L1326" s="38" t="n">
        <v>79.9082053127162</v>
      </c>
      <c r="M1326" s="38" t="n">
        <v>113.569658900191</v>
      </c>
      <c r="N1326" s="38" t="n">
        <v>148.026098681204</v>
      </c>
      <c r="O1326" s="38" t="n">
        <v>77.067870024797</v>
      </c>
      <c r="P1326" s="37" t="n">
        <v>0</v>
      </c>
      <c r="Q1326" s="38" t="n">
        <v>0</v>
      </c>
      <c r="R1326" s="38" t="n">
        <v>72</v>
      </c>
      <c r="S1326" s="37" t="n">
        <v>0</v>
      </c>
    </row>
    <row r="1327" customFormat="false" ht="15" hidden="false" customHeight="false" outlineLevel="0" collapsed="false">
      <c r="A1327" s="37" t="n">
        <v>5</v>
      </c>
      <c r="B1327" s="37" t="n">
        <v>0</v>
      </c>
      <c r="C1327" s="37" t="n">
        <v>20</v>
      </c>
      <c r="D1327" s="37" t="n">
        <v>5</v>
      </c>
      <c r="E1327" s="37" t="n">
        <v>0</v>
      </c>
      <c r="F1327" s="37" t="n">
        <v>0</v>
      </c>
      <c r="G1327" s="37" t="s">
        <v>195</v>
      </c>
      <c r="H1327" s="38" t="n">
        <v>199.717767477444</v>
      </c>
      <c r="I1327" s="38" t="n">
        <v>207.411462702596</v>
      </c>
      <c r="J1327" s="38" t="n">
        <v>238.193638851281</v>
      </c>
      <c r="K1327" s="38" t="n">
        <v>287.250434068696</v>
      </c>
      <c r="L1327" s="38" t="n">
        <v>90.13459661157</v>
      </c>
      <c r="M1327" s="38" t="n">
        <v>118.510117406136</v>
      </c>
      <c r="N1327" s="38" t="n">
        <v>151.978196916238</v>
      </c>
      <c r="O1327" s="38" t="n">
        <v>80.2216584469609</v>
      </c>
      <c r="P1327" s="37" t="n">
        <v>0</v>
      </c>
      <c r="Q1327" s="38" t="n">
        <v>0</v>
      </c>
      <c r="R1327" s="38" t="n">
        <v>70.5402487628622</v>
      </c>
      <c r="S1327" s="37" t="n">
        <v>1</v>
      </c>
    </row>
    <row r="1328" customFormat="false" ht="15" hidden="false" customHeight="false" outlineLevel="0" collapsed="false">
      <c r="A1328" s="37" t="n">
        <v>5</v>
      </c>
      <c r="B1328" s="37" t="n">
        <v>0</v>
      </c>
      <c r="C1328" s="37" t="n">
        <v>20</v>
      </c>
      <c r="D1328" s="37" t="n">
        <v>5</v>
      </c>
      <c r="E1328" s="37" t="n">
        <v>0</v>
      </c>
      <c r="F1328" s="37" t="n">
        <v>0</v>
      </c>
      <c r="G1328" s="37" t="s">
        <v>197</v>
      </c>
      <c r="H1328" s="38" t="n">
        <v>199.717767477444</v>
      </c>
      <c r="I1328" s="38" t="n">
        <v>207.170075604161</v>
      </c>
      <c r="J1328" s="38" t="n">
        <v>236.502469612744</v>
      </c>
      <c r="K1328" s="38" t="n">
        <v>286.418250640534</v>
      </c>
      <c r="L1328" s="38" t="n">
        <v>84.3156724537101</v>
      </c>
      <c r="M1328" s="38" t="n">
        <v>111.888989842567</v>
      </c>
      <c r="N1328" s="38" t="n">
        <v>136.36344125089</v>
      </c>
      <c r="O1328" s="38" t="n">
        <v>75.939458233931</v>
      </c>
      <c r="P1328" s="37" t="n">
        <v>0</v>
      </c>
      <c r="Q1328" s="38" t="n">
        <v>0</v>
      </c>
      <c r="R1328" s="38" t="n">
        <v>72</v>
      </c>
      <c r="S1328" s="37" t="n">
        <v>0</v>
      </c>
    </row>
    <row r="1329" customFormat="false" ht="15" hidden="false" customHeight="false" outlineLevel="0" collapsed="false">
      <c r="A1329" s="37" t="n">
        <v>5</v>
      </c>
      <c r="B1329" s="37" t="n">
        <v>0</v>
      </c>
      <c r="C1329" s="37" t="n">
        <v>20</v>
      </c>
      <c r="D1329" s="37" t="n">
        <v>5</v>
      </c>
      <c r="E1329" s="37" t="n">
        <v>0</v>
      </c>
      <c r="F1329" s="37" t="n">
        <v>0</v>
      </c>
      <c r="G1329" s="37" t="s">
        <v>196</v>
      </c>
      <c r="H1329" s="38" t="n">
        <v>199.717767477444</v>
      </c>
      <c r="I1329" s="38" t="n">
        <v>207.189678610532</v>
      </c>
      <c r="J1329" s="38" t="n">
        <v>237.282385672807</v>
      </c>
      <c r="K1329" s="38" t="n">
        <v>287.615060702522</v>
      </c>
      <c r="L1329" s="38" t="n">
        <v>91.3974970206772</v>
      </c>
      <c r="M1329" s="38" t="n">
        <v>115.342991048136</v>
      </c>
      <c r="N1329" s="38" t="n">
        <v>146.716122578367</v>
      </c>
      <c r="O1329" s="38" t="n">
        <v>79.3891018935934</v>
      </c>
      <c r="P1329" s="37" t="n">
        <v>0</v>
      </c>
      <c r="Q1329" s="38" t="n">
        <v>0</v>
      </c>
      <c r="R1329" s="38" t="n">
        <v>71.0611180496906</v>
      </c>
      <c r="S1329" s="37" t="n">
        <v>0</v>
      </c>
    </row>
    <row r="1330" customFormat="false" ht="15" hidden="false" customHeight="false" outlineLevel="0" collapsed="false">
      <c r="A1330" s="37" t="n">
        <v>5</v>
      </c>
      <c r="B1330" s="37" t="n">
        <v>0</v>
      </c>
      <c r="C1330" s="37" t="n">
        <v>25</v>
      </c>
      <c r="D1330" s="37" t="n">
        <v>0</v>
      </c>
      <c r="E1330" s="37" t="n">
        <v>0</v>
      </c>
      <c r="F1330" s="37" t="n">
        <v>0</v>
      </c>
      <c r="G1330" s="37" t="s">
        <v>188</v>
      </c>
      <c r="H1330" s="38" t="n">
        <v>199.708935344199</v>
      </c>
      <c r="I1330" s="38" t="n">
        <v>206.66003661141</v>
      </c>
      <c r="J1330" s="38" t="n">
        <v>234.017258608491</v>
      </c>
      <c r="K1330" s="38" t="n">
        <v>288.429831082888</v>
      </c>
      <c r="L1330" s="38" t="n">
        <v>87.2961555358142</v>
      </c>
      <c r="M1330" s="38" t="n">
        <v>118.406109260076</v>
      </c>
      <c r="N1330" s="38" t="n">
        <v>151.051555647843</v>
      </c>
      <c r="O1330" s="38" t="n">
        <v>78.2445160461422</v>
      </c>
      <c r="P1330" s="37" t="n">
        <v>0</v>
      </c>
      <c r="Q1330" s="38" t="n">
        <v>0</v>
      </c>
      <c r="R1330" s="38" t="n">
        <v>70.5</v>
      </c>
      <c r="S1330" s="37" t="n">
        <v>1</v>
      </c>
    </row>
    <row r="1331" customFormat="false" ht="15" hidden="false" customHeight="false" outlineLevel="0" collapsed="false">
      <c r="A1331" s="37" t="n">
        <v>5</v>
      </c>
      <c r="B1331" s="37" t="n">
        <v>0</v>
      </c>
      <c r="C1331" s="37" t="n">
        <v>25</v>
      </c>
      <c r="D1331" s="37" t="n">
        <v>0</v>
      </c>
      <c r="E1331" s="37" t="n">
        <v>0</v>
      </c>
      <c r="F1331" s="37" t="n">
        <v>0</v>
      </c>
      <c r="G1331" s="37" t="s">
        <v>192</v>
      </c>
      <c r="H1331" s="38" t="n">
        <v>199.708935344199</v>
      </c>
      <c r="I1331" s="38" t="n">
        <v>206.423486788908</v>
      </c>
      <c r="J1331" s="38" t="n">
        <v>231.422075505969</v>
      </c>
      <c r="K1331" s="38" t="n">
        <v>283.295538259721</v>
      </c>
      <c r="L1331" s="38" t="n">
        <v>82.667062194026</v>
      </c>
      <c r="M1331" s="38" t="n">
        <v>112.881532071409</v>
      </c>
      <c r="N1331" s="38" t="n">
        <v>139.658940220645</v>
      </c>
      <c r="O1331" s="38" t="n">
        <v>71.751430776234</v>
      </c>
      <c r="P1331" s="37" t="n">
        <v>0</v>
      </c>
      <c r="Q1331" s="38" t="n">
        <v>0</v>
      </c>
      <c r="R1331" s="38" t="n">
        <v>70.5</v>
      </c>
      <c r="S1331" s="37" t="n">
        <v>0</v>
      </c>
    </row>
    <row r="1332" customFormat="false" ht="15" hidden="false" customHeight="false" outlineLevel="0" collapsed="false">
      <c r="A1332" s="37" t="n">
        <v>5</v>
      </c>
      <c r="B1332" s="37" t="n">
        <v>0</v>
      </c>
      <c r="C1332" s="37" t="n">
        <v>25</v>
      </c>
      <c r="D1332" s="37" t="n">
        <v>0</v>
      </c>
      <c r="E1332" s="37" t="n">
        <v>0</v>
      </c>
      <c r="F1332" s="37" t="n">
        <v>0</v>
      </c>
      <c r="G1332" s="37" t="s">
        <v>195</v>
      </c>
      <c r="H1332" s="38" t="n">
        <v>199.708935344199</v>
      </c>
      <c r="I1332" s="38" t="n">
        <v>206.498920327274</v>
      </c>
      <c r="J1332" s="38" t="n">
        <v>227.716301300783</v>
      </c>
      <c r="K1332" s="38" t="n">
        <v>275.664228500633</v>
      </c>
      <c r="L1332" s="38" t="n">
        <v>77.1819033295415</v>
      </c>
      <c r="M1332" s="38" t="n">
        <v>116.022934713686</v>
      </c>
      <c r="N1332" s="38" t="n">
        <v>136.993830945545</v>
      </c>
      <c r="O1332" s="38" t="n">
        <v>71.420510200936</v>
      </c>
      <c r="P1332" s="37" t="n">
        <v>0</v>
      </c>
      <c r="Q1332" s="38" t="n">
        <v>0</v>
      </c>
      <c r="R1332" s="38" t="n">
        <v>68.6303024486724</v>
      </c>
      <c r="S1332" s="37" t="n">
        <v>0</v>
      </c>
    </row>
    <row r="1333" customFormat="false" ht="15" hidden="false" customHeight="false" outlineLevel="0" collapsed="false">
      <c r="A1333" s="37" t="n">
        <v>5</v>
      </c>
      <c r="B1333" s="37" t="n">
        <v>0</v>
      </c>
      <c r="C1333" s="37" t="n">
        <v>25</v>
      </c>
      <c r="D1333" s="37" t="n">
        <v>0</v>
      </c>
      <c r="E1333" s="37" t="n">
        <v>0</v>
      </c>
      <c r="F1333" s="37" t="n">
        <v>0</v>
      </c>
      <c r="G1333" s="37" t="s">
        <v>197</v>
      </c>
      <c r="H1333" s="38" t="n">
        <v>199.708935344199</v>
      </c>
      <c r="I1333" s="38" t="n">
        <v>206.399827414791</v>
      </c>
      <c r="J1333" s="38" t="n">
        <v>229.830574987968</v>
      </c>
      <c r="K1333" s="38" t="n">
        <v>281.000095195542</v>
      </c>
      <c r="L1333" s="38" t="n">
        <v>78.6930573973301</v>
      </c>
      <c r="M1333" s="38" t="n">
        <v>110.315006401901</v>
      </c>
      <c r="N1333" s="38" t="n">
        <v>129.883144664437</v>
      </c>
      <c r="O1333" s="38" t="n">
        <v>70.6352670853851</v>
      </c>
      <c r="P1333" s="37" t="n">
        <v>0</v>
      </c>
      <c r="Q1333" s="38" t="n">
        <v>0</v>
      </c>
      <c r="R1333" s="38" t="n">
        <v>70.5</v>
      </c>
      <c r="S1333" s="37" t="n">
        <v>0</v>
      </c>
    </row>
    <row r="1334" customFormat="false" ht="15" hidden="false" customHeight="false" outlineLevel="0" collapsed="false">
      <c r="A1334" s="37" t="n">
        <v>5</v>
      </c>
      <c r="B1334" s="37" t="n">
        <v>0</v>
      </c>
      <c r="C1334" s="37" t="n">
        <v>25</v>
      </c>
      <c r="D1334" s="37" t="n">
        <v>0</v>
      </c>
      <c r="E1334" s="37" t="n">
        <v>0</v>
      </c>
      <c r="F1334" s="37" t="n">
        <v>0</v>
      </c>
      <c r="G1334" s="37" t="s">
        <v>196</v>
      </c>
      <c r="H1334" s="38" t="n">
        <v>199.708935344199</v>
      </c>
      <c r="I1334" s="38" t="n">
        <v>206.419122717145</v>
      </c>
      <c r="J1334" s="38" t="n">
        <v>230.46132591098</v>
      </c>
      <c r="K1334" s="38" t="n">
        <v>282.07739231422</v>
      </c>
      <c r="L1334" s="38" t="n">
        <v>85.7079645632646</v>
      </c>
      <c r="M1334" s="38" t="n">
        <v>113.530515458136</v>
      </c>
      <c r="N1334" s="38" t="n">
        <v>138.791801896565</v>
      </c>
      <c r="O1334" s="38" t="n">
        <v>74.1606533743027</v>
      </c>
      <c r="P1334" s="37" t="n">
        <v>0</v>
      </c>
      <c r="Q1334" s="38" t="n">
        <v>0</v>
      </c>
      <c r="R1334" s="38" t="n">
        <v>69.5246706731039</v>
      </c>
      <c r="S1334" s="37" t="n">
        <v>0</v>
      </c>
    </row>
    <row r="1335" customFormat="false" ht="15" hidden="false" customHeight="false" outlineLevel="0" collapsed="false">
      <c r="A1335" s="37" t="n">
        <v>5</v>
      </c>
      <c r="B1335" s="37" t="n">
        <v>5</v>
      </c>
      <c r="C1335" s="37" t="n">
        <v>0</v>
      </c>
      <c r="D1335" s="37" t="n">
        <v>0</v>
      </c>
      <c r="E1335" s="37" t="n">
        <v>0</v>
      </c>
      <c r="F1335" s="37" t="n">
        <v>20</v>
      </c>
      <c r="G1335" s="37" t="s">
        <v>188</v>
      </c>
      <c r="H1335" s="38" t="n">
        <v>198.568484370168</v>
      </c>
      <c r="I1335" s="38" t="n">
        <v>196.391667667828</v>
      </c>
      <c r="J1335" s="38" t="n">
        <v>188.241547120826</v>
      </c>
      <c r="K1335" s="38" t="n">
        <v>212.345656396032</v>
      </c>
      <c r="L1335" s="38" t="n">
        <v>167.148404336611</v>
      </c>
      <c r="M1335" s="38" t="n">
        <v>95.6944075040568</v>
      </c>
      <c r="N1335" s="38" t="n">
        <v>88.517695212376</v>
      </c>
      <c r="O1335" s="38" t="n">
        <v>60.9144386949363</v>
      </c>
      <c r="P1335" s="37" t="n">
        <v>0</v>
      </c>
      <c r="Q1335" s="38" t="n">
        <v>0</v>
      </c>
      <c r="R1335" s="38" t="n">
        <v>70.5</v>
      </c>
      <c r="S1335" s="37" t="n">
        <v>0</v>
      </c>
    </row>
    <row r="1336" customFormat="false" ht="15" hidden="false" customHeight="false" outlineLevel="0" collapsed="false">
      <c r="A1336" s="37" t="n">
        <v>5</v>
      </c>
      <c r="B1336" s="37" t="n">
        <v>5</v>
      </c>
      <c r="C1336" s="37" t="n">
        <v>0</v>
      </c>
      <c r="D1336" s="37" t="n">
        <v>0</v>
      </c>
      <c r="E1336" s="37" t="n">
        <v>0</v>
      </c>
      <c r="F1336" s="37" t="n">
        <v>20</v>
      </c>
      <c r="G1336" s="37" t="s">
        <v>192</v>
      </c>
      <c r="H1336" s="38" t="n">
        <v>198.568484370168</v>
      </c>
      <c r="I1336" s="38" t="n">
        <v>196.352060941299</v>
      </c>
      <c r="J1336" s="38" t="n">
        <v>190.706201800111</v>
      </c>
      <c r="K1336" s="38" t="n">
        <v>215.234348424007</v>
      </c>
      <c r="L1336" s="38" t="n">
        <v>173.629249463594</v>
      </c>
      <c r="M1336" s="38" t="n">
        <v>92.7202671822121</v>
      </c>
      <c r="N1336" s="38" t="n">
        <v>89.5103150866635</v>
      </c>
      <c r="O1336" s="38" t="n">
        <v>61.6716141813459</v>
      </c>
      <c r="P1336" s="37" t="n">
        <v>0</v>
      </c>
      <c r="Q1336" s="38" t="n">
        <v>0</v>
      </c>
      <c r="R1336" s="38" t="n">
        <v>70.5</v>
      </c>
      <c r="S1336" s="37" t="n">
        <v>0</v>
      </c>
    </row>
    <row r="1337" customFormat="false" ht="15" hidden="false" customHeight="false" outlineLevel="0" collapsed="false">
      <c r="A1337" s="37" t="n">
        <v>5</v>
      </c>
      <c r="B1337" s="37" t="n">
        <v>5</v>
      </c>
      <c r="C1337" s="37" t="n">
        <v>0</v>
      </c>
      <c r="D1337" s="37" t="n">
        <v>0</v>
      </c>
      <c r="E1337" s="37" t="n">
        <v>0</v>
      </c>
      <c r="F1337" s="37" t="n">
        <v>20</v>
      </c>
      <c r="G1337" s="37" t="s">
        <v>195</v>
      </c>
      <c r="H1337" s="38" t="n">
        <v>198.568484370168</v>
      </c>
      <c r="I1337" s="38" t="n">
        <v>196.351023928249</v>
      </c>
      <c r="J1337" s="38" t="n">
        <v>186.316596414175</v>
      </c>
      <c r="K1337" s="38" t="n">
        <v>205.85364075694</v>
      </c>
      <c r="L1337" s="38" t="n">
        <v>166.823355042654</v>
      </c>
      <c r="M1337" s="38" t="n">
        <v>93.5773715785464</v>
      </c>
      <c r="N1337" s="38" t="n">
        <v>78.9219569893162</v>
      </c>
      <c r="O1337" s="38" t="n">
        <v>55.7181028909228</v>
      </c>
      <c r="P1337" s="37" t="n">
        <v>0</v>
      </c>
      <c r="Q1337" s="38" t="n">
        <v>0</v>
      </c>
      <c r="R1337" s="38" t="n">
        <v>68.4659142857143</v>
      </c>
      <c r="S1337" s="37" t="n">
        <v>0</v>
      </c>
    </row>
    <row r="1338" customFormat="false" ht="15" hidden="false" customHeight="false" outlineLevel="0" collapsed="false">
      <c r="A1338" s="37" t="n">
        <v>5</v>
      </c>
      <c r="B1338" s="37" t="n">
        <v>5</v>
      </c>
      <c r="C1338" s="37" t="n">
        <v>0</v>
      </c>
      <c r="D1338" s="37" t="n">
        <v>0</v>
      </c>
      <c r="E1338" s="37" t="n">
        <v>0</v>
      </c>
      <c r="F1338" s="37" t="n">
        <v>20</v>
      </c>
      <c r="G1338" s="37" t="s">
        <v>197</v>
      </c>
      <c r="H1338" s="38" t="n">
        <v>198.568484370168</v>
      </c>
      <c r="I1338" s="38" t="n">
        <v>196.351326127848</v>
      </c>
      <c r="J1338" s="38" t="n">
        <v>189.862551436601</v>
      </c>
      <c r="K1338" s="38" t="n">
        <v>214.174155010509</v>
      </c>
      <c r="L1338" s="38" t="n">
        <v>171.452997037151</v>
      </c>
      <c r="M1338" s="38" t="n">
        <v>95.3782261515189</v>
      </c>
      <c r="N1338" s="38" t="n">
        <v>85.7748391684874</v>
      </c>
      <c r="O1338" s="38" t="n">
        <v>58.217759971878</v>
      </c>
      <c r="P1338" s="37" t="n">
        <v>0</v>
      </c>
      <c r="Q1338" s="38" t="n">
        <v>0</v>
      </c>
      <c r="R1338" s="38" t="n">
        <v>70.5</v>
      </c>
      <c r="S1338" s="37" t="n">
        <v>0</v>
      </c>
    </row>
    <row r="1339" customFormat="false" ht="15" hidden="false" customHeight="false" outlineLevel="0" collapsed="false">
      <c r="A1339" s="37" t="n">
        <v>5</v>
      </c>
      <c r="B1339" s="37" t="n">
        <v>5</v>
      </c>
      <c r="C1339" s="37" t="n">
        <v>0</v>
      </c>
      <c r="D1339" s="37" t="n">
        <v>0</v>
      </c>
      <c r="E1339" s="37" t="n">
        <v>0</v>
      </c>
      <c r="F1339" s="37" t="n">
        <v>20</v>
      </c>
      <c r="G1339" s="37" t="s">
        <v>196</v>
      </c>
      <c r="H1339" s="38" t="n">
        <v>198.568484370168</v>
      </c>
      <c r="I1339" s="38" t="n">
        <v>196.352618806212</v>
      </c>
      <c r="J1339" s="38" t="n">
        <v>190.939346565123</v>
      </c>
      <c r="K1339" s="38" t="n">
        <v>215.669302955089</v>
      </c>
      <c r="L1339" s="38" t="n">
        <v>179.630652161438</v>
      </c>
      <c r="M1339" s="38" t="n">
        <v>96.5514480718609</v>
      </c>
      <c r="N1339" s="38" t="n">
        <v>93.5491246360687</v>
      </c>
      <c r="O1339" s="38" t="n">
        <v>62.2423334855601</v>
      </c>
      <c r="P1339" s="37" t="n">
        <v>0</v>
      </c>
      <c r="Q1339" s="38" t="n">
        <v>0</v>
      </c>
      <c r="R1339" s="38" t="n">
        <v>69.6040571428571</v>
      </c>
      <c r="S1339" s="37" t="n">
        <v>1</v>
      </c>
    </row>
    <row r="1340" customFormat="false" ht="15" hidden="false" customHeight="false" outlineLevel="0" collapsed="false">
      <c r="A1340" s="37" t="n">
        <v>5</v>
      </c>
      <c r="B1340" s="37" t="n">
        <v>5</v>
      </c>
      <c r="C1340" s="37" t="n">
        <v>0</v>
      </c>
      <c r="D1340" s="37" t="n">
        <v>0</v>
      </c>
      <c r="E1340" s="37" t="n">
        <v>5</v>
      </c>
      <c r="F1340" s="37" t="n">
        <v>15</v>
      </c>
      <c r="G1340" s="37" t="s">
        <v>188</v>
      </c>
      <c r="H1340" s="38" t="n">
        <v>198.602452571442</v>
      </c>
      <c r="I1340" s="38" t="n">
        <v>196.689935641896</v>
      </c>
      <c r="J1340" s="38" t="n">
        <v>191.409309992741</v>
      </c>
      <c r="K1340" s="38" t="n">
        <v>217.874982266654</v>
      </c>
      <c r="L1340" s="38" t="n">
        <v>132.94167171468</v>
      </c>
      <c r="M1340" s="38" t="n">
        <v>97.1245043061904</v>
      </c>
      <c r="N1340" s="38" t="n">
        <v>96.4770516665739</v>
      </c>
      <c r="O1340" s="38" t="n">
        <v>61.568026241288</v>
      </c>
      <c r="P1340" s="37" t="n">
        <v>0</v>
      </c>
      <c r="Q1340" s="38" t="n">
        <v>0</v>
      </c>
      <c r="R1340" s="38" t="n">
        <v>70.5</v>
      </c>
      <c r="S1340" s="37" t="n">
        <v>0</v>
      </c>
    </row>
    <row r="1341" customFormat="false" ht="15" hidden="false" customHeight="false" outlineLevel="0" collapsed="false">
      <c r="A1341" s="37" t="n">
        <v>5</v>
      </c>
      <c r="B1341" s="37" t="n">
        <v>5</v>
      </c>
      <c r="C1341" s="37" t="n">
        <v>0</v>
      </c>
      <c r="D1341" s="37" t="n">
        <v>0</v>
      </c>
      <c r="E1341" s="37" t="n">
        <v>5</v>
      </c>
      <c r="F1341" s="37" t="n">
        <v>15</v>
      </c>
      <c r="G1341" s="37" t="s">
        <v>192</v>
      </c>
      <c r="H1341" s="38" t="n">
        <v>198.602452571442</v>
      </c>
      <c r="I1341" s="38" t="n">
        <v>196.650203449174</v>
      </c>
      <c r="J1341" s="38" t="n">
        <v>193.681208883526</v>
      </c>
      <c r="K1341" s="38" t="n">
        <v>220.546938140918</v>
      </c>
      <c r="L1341" s="38" t="n">
        <v>138.936555942841</v>
      </c>
      <c r="M1341" s="38" t="n">
        <v>94.1540694246138</v>
      </c>
      <c r="N1341" s="38" t="n">
        <v>97.0470758747485</v>
      </c>
      <c r="O1341" s="38" t="n">
        <v>62.5672960290512</v>
      </c>
      <c r="P1341" s="37" t="n">
        <v>0</v>
      </c>
      <c r="Q1341" s="38" t="n">
        <v>0</v>
      </c>
      <c r="R1341" s="38" t="n">
        <v>70.5</v>
      </c>
      <c r="S1341" s="37" t="n">
        <v>0</v>
      </c>
    </row>
    <row r="1342" customFormat="false" ht="15" hidden="false" customHeight="false" outlineLevel="0" collapsed="false">
      <c r="A1342" s="37" t="n">
        <v>5</v>
      </c>
      <c r="B1342" s="37" t="n">
        <v>5</v>
      </c>
      <c r="C1342" s="37" t="n">
        <v>0</v>
      </c>
      <c r="D1342" s="37" t="n">
        <v>0</v>
      </c>
      <c r="E1342" s="37" t="n">
        <v>5</v>
      </c>
      <c r="F1342" s="37" t="n">
        <v>15</v>
      </c>
      <c r="G1342" s="37" t="s">
        <v>195</v>
      </c>
      <c r="H1342" s="38" t="n">
        <v>198.602452571442</v>
      </c>
      <c r="I1342" s="38" t="n">
        <v>196.648501245346</v>
      </c>
      <c r="J1342" s="38" t="n">
        <v>189.075382892694</v>
      </c>
      <c r="K1342" s="38" t="n">
        <v>210.931417828219</v>
      </c>
      <c r="L1342" s="38" t="n">
        <v>131.852073638502</v>
      </c>
      <c r="M1342" s="38" t="n">
        <v>95.0117724255182</v>
      </c>
      <c r="N1342" s="38" t="n">
        <v>86.26380119303</v>
      </c>
      <c r="O1342" s="38" t="n">
        <v>56.5707556449095</v>
      </c>
      <c r="P1342" s="37" t="n">
        <v>0</v>
      </c>
      <c r="Q1342" s="38" t="n">
        <v>0</v>
      </c>
      <c r="R1342" s="38" t="n">
        <v>68.4511967430849</v>
      </c>
      <c r="S1342" s="37" t="n">
        <v>0</v>
      </c>
    </row>
    <row r="1343" customFormat="false" ht="15" hidden="false" customHeight="false" outlineLevel="0" collapsed="false">
      <c r="A1343" s="37" t="n">
        <v>5</v>
      </c>
      <c r="B1343" s="37" t="n">
        <v>5</v>
      </c>
      <c r="C1343" s="37" t="n">
        <v>0</v>
      </c>
      <c r="D1343" s="37" t="n">
        <v>0</v>
      </c>
      <c r="E1343" s="37" t="n">
        <v>5</v>
      </c>
      <c r="F1343" s="37" t="n">
        <v>15</v>
      </c>
      <c r="G1343" s="37" t="s">
        <v>197</v>
      </c>
      <c r="H1343" s="38" t="n">
        <v>198.602452571442</v>
      </c>
      <c r="I1343" s="38" t="n">
        <v>196.658365837515</v>
      </c>
      <c r="J1343" s="38" t="n">
        <v>193.459323184998</v>
      </c>
      <c r="K1343" s="38" t="n">
        <v>220.454047776865</v>
      </c>
      <c r="L1343" s="38" t="n">
        <v>138.302117114925</v>
      </c>
      <c r="M1343" s="38" t="n">
        <v>100.207566661796</v>
      </c>
      <c r="N1343" s="38" t="n">
        <v>103.037557754064</v>
      </c>
      <c r="O1343" s="38" t="n">
        <v>63.3328682853078</v>
      </c>
      <c r="P1343" s="37" t="n">
        <v>0</v>
      </c>
      <c r="Q1343" s="38" t="n">
        <v>0</v>
      </c>
      <c r="R1343" s="38" t="n">
        <v>70.5</v>
      </c>
      <c r="S1343" s="37" t="n">
        <v>1</v>
      </c>
    </row>
    <row r="1344" customFormat="false" ht="15" hidden="false" customHeight="false" outlineLevel="0" collapsed="false">
      <c r="A1344" s="37" t="n">
        <v>5</v>
      </c>
      <c r="B1344" s="37" t="n">
        <v>5</v>
      </c>
      <c r="C1344" s="37" t="n">
        <v>0</v>
      </c>
      <c r="D1344" s="37" t="n">
        <v>0</v>
      </c>
      <c r="E1344" s="37" t="n">
        <v>5</v>
      </c>
      <c r="F1344" s="37" t="n">
        <v>15</v>
      </c>
      <c r="G1344" s="37" t="s">
        <v>196</v>
      </c>
      <c r="H1344" s="38" t="n">
        <v>198.602452571442</v>
      </c>
      <c r="I1344" s="38" t="n">
        <v>196.651645941147</v>
      </c>
      <c r="J1344" s="38" t="n">
        <v>193.694352634758</v>
      </c>
      <c r="K1344" s="38" t="n">
        <v>220.74178164436</v>
      </c>
      <c r="L1344" s="38" t="n">
        <v>144.369797517376</v>
      </c>
      <c r="M1344" s="38" t="n">
        <v>98.6585165501104</v>
      </c>
      <c r="N1344" s="38" t="n">
        <v>102.355605413355</v>
      </c>
      <c r="O1344" s="38" t="n">
        <v>64.6102852058341</v>
      </c>
      <c r="P1344" s="37" t="n">
        <v>0</v>
      </c>
      <c r="Q1344" s="38" t="n">
        <v>0</v>
      </c>
      <c r="R1344" s="38" t="n">
        <v>69.5240571428572</v>
      </c>
      <c r="S1344" s="37" t="n">
        <v>0</v>
      </c>
    </row>
    <row r="1345" customFormat="false" ht="15" hidden="false" customHeight="false" outlineLevel="0" collapsed="false">
      <c r="A1345" s="37" t="n">
        <v>5</v>
      </c>
      <c r="B1345" s="37" t="n">
        <v>5</v>
      </c>
      <c r="C1345" s="37" t="n">
        <v>0</v>
      </c>
      <c r="D1345" s="37" t="n">
        <v>0</v>
      </c>
      <c r="E1345" s="37" t="n">
        <v>10</v>
      </c>
      <c r="F1345" s="37" t="n">
        <v>10</v>
      </c>
      <c r="G1345" s="37" t="s">
        <v>188</v>
      </c>
      <c r="H1345" s="38" t="n">
        <v>198.627228079367</v>
      </c>
      <c r="I1345" s="38" t="n">
        <v>196.964910605543</v>
      </c>
      <c r="J1345" s="38" t="n">
        <v>193.839400577299</v>
      </c>
      <c r="K1345" s="38" t="n">
        <v>222.280180807053</v>
      </c>
      <c r="L1345" s="38" t="n">
        <v>97.5817847413784</v>
      </c>
      <c r="M1345" s="38" t="n">
        <v>98.3577701104221</v>
      </c>
      <c r="N1345" s="38" t="n">
        <v>102.550441392357</v>
      </c>
      <c r="O1345" s="38" t="n">
        <v>61.3170205809107</v>
      </c>
      <c r="P1345" s="37" t="n">
        <v>0</v>
      </c>
      <c r="Q1345" s="38" t="n">
        <v>0</v>
      </c>
      <c r="R1345" s="38" t="n">
        <v>70.5</v>
      </c>
      <c r="S1345" s="37" t="n">
        <v>0</v>
      </c>
    </row>
    <row r="1346" customFormat="false" ht="15" hidden="false" customHeight="false" outlineLevel="0" collapsed="false">
      <c r="A1346" s="37" t="n">
        <v>5</v>
      </c>
      <c r="B1346" s="37" t="n">
        <v>5</v>
      </c>
      <c r="C1346" s="37" t="n">
        <v>0</v>
      </c>
      <c r="D1346" s="37" t="n">
        <v>0</v>
      </c>
      <c r="E1346" s="37" t="n">
        <v>10</v>
      </c>
      <c r="F1346" s="37" t="n">
        <v>10</v>
      </c>
      <c r="G1346" s="37" t="s">
        <v>192</v>
      </c>
      <c r="H1346" s="38" t="n">
        <v>198.627228079367</v>
      </c>
      <c r="I1346" s="38" t="n">
        <v>196.92639651115</v>
      </c>
      <c r="J1346" s="38" t="n">
        <v>195.858302250711</v>
      </c>
      <c r="K1346" s="38" t="n">
        <v>224.697917786537</v>
      </c>
      <c r="L1346" s="38" t="n">
        <v>103.079637216279</v>
      </c>
      <c r="M1346" s="38" t="n">
        <v>95.3906912575491</v>
      </c>
      <c r="N1346" s="38" t="n">
        <v>102.549675986585</v>
      </c>
      <c r="O1346" s="38" t="n">
        <v>62.3365561420611</v>
      </c>
      <c r="P1346" s="37" t="n">
        <v>0</v>
      </c>
      <c r="Q1346" s="38" t="n">
        <v>0</v>
      </c>
      <c r="R1346" s="38" t="n">
        <v>70.5</v>
      </c>
      <c r="S1346" s="37" t="n">
        <v>0</v>
      </c>
    </row>
    <row r="1347" customFormat="false" ht="15" hidden="false" customHeight="false" outlineLevel="0" collapsed="false">
      <c r="A1347" s="37" t="n">
        <v>5</v>
      </c>
      <c r="B1347" s="37" t="n">
        <v>5</v>
      </c>
      <c r="C1347" s="37" t="n">
        <v>0</v>
      </c>
      <c r="D1347" s="37" t="n">
        <v>0</v>
      </c>
      <c r="E1347" s="37" t="n">
        <v>10</v>
      </c>
      <c r="F1347" s="37" t="n">
        <v>10</v>
      </c>
      <c r="G1347" s="37" t="s">
        <v>195</v>
      </c>
      <c r="H1347" s="38" t="n">
        <v>198.627228079367</v>
      </c>
      <c r="I1347" s="38" t="n">
        <v>196.925673894176</v>
      </c>
      <c r="J1347" s="38" t="n">
        <v>191.272093744867</v>
      </c>
      <c r="K1347" s="38" t="n">
        <v>215.102622026946</v>
      </c>
      <c r="L1347" s="38" t="n">
        <v>95.970928729155</v>
      </c>
      <c r="M1347" s="38" t="n">
        <v>96.2879180952474</v>
      </c>
      <c r="N1347" s="38" t="n">
        <v>92.0764833374825</v>
      </c>
      <c r="O1347" s="38" t="n">
        <v>56.5720307068784</v>
      </c>
      <c r="P1347" s="37" t="n">
        <v>0</v>
      </c>
      <c r="Q1347" s="38" t="n">
        <v>0</v>
      </c>
      <c r="R1347" s="38" t="n">
        <v>68.4354920106625</v>
      </c>
      <c r="S1347" s="37" t="n">
        <v>0</v>
      </c>
    </row>
    <row r="1348" customFormat="false" ht="15" hidden="false" customHeight="false" outlineLevel="0" collapsed="false">
      <c r="A1348" s="37" t="n">
        <v>5</v>
      </c>
      <c r="B1348" s="37" t="n">
        <v>5</v>
      </c>
      <c r="C1348" s="37" t="n">
        <v>0</v>
      </c>
      <c r="D1348" s="37" t="n">
        <v>0</v>
      </c>
      <c r="E1348" s="37" t="n">
        <v>10</v>
      </c>
      <c r="F1348" s="37" t="n">
        <v>10</v>
      </c>
      <c r="G1348" s="37" t="s">
        <v>197</v>
      </c>
      <c r="H1348" s="38" t="n">
        <v>198.627228079367</v>
      </c>
      <c r="I1348" s="38" t="n">
        <v>196.953727494685</v>
      </c>
      <c r="J1348" s="38" t="n">
        <v>196.60244331813</v>
      </c>
      <c r="K1348" s="38" t="n">
        <v>226.009240493989</v>
      </c>
      <c r="L1348" s="38" t="n">
        <v>104.569513721849</v>
      </c>
      <c r="M1348" s="38" t="n">
        <v>104.154818676235</v>
      </c>
      <c r="N1348" s="38" t="n">
        <v>117.264762133235</v>
      </c>
      <c r="O1348" s="38" t="n">
        <v>64.8663493948286</v>
      </c>
      <c r="P1348" s="37" t="n">
        <v>0</v>
      </c>
      <c r="Q1348" s="38" t="n">
        <v>0</v>
      </c>
      <c r="R1348" s="38" t="n">
        <v>70.5</v>
      </c>
      <c r="S1348" s="37" t="n">
        <v>1</v>
      </c>
    </row>
    <row r="1349" customFormat="false" ht="15" hidden="false" customHeight="false" outlineLevel="0" collapsed="false">
      <c r="A1349" s="37" t="n">
        <v>5</v>
      </c>
      <c r="B1349" s="37" t="n">
        <v>5</v>
      </c>
      <c r="C1349" s="37" t="n">
        <v>0</v>
      </c>
      <c r="D1349" s="37" t="n">
        <v>0</v>
      </c>
      <c r="E1349" s="37" t="n">
        <v>10</v>
      </c>
      <c r="F1349" s="37" t="n">
        <v>10</v>
      </c>
      <c r="G1349" s="37" t="s">
        <v>196</v>
      </c>
      <c r="H1349" s="38" t="n">
        <v>198.627228079367</v>
      </c>
      <c r="I1349" s="38" t="n">
        <v>196.930186187663</v>
      </c>
      <c r="J1349" s="38" t="n">
        <v>195.943183586326</v>
      </c>
      <c r="K1349" s="38" t="n">
        <v>225.008898479699</v>
      </c>
      <c r="L1349" s="38" t="n">
        <v>108.61669922447</v>
      </c>
      <c r="M1349" s="38" t="n">
        <v>100.431427022237</v>
      </c>
      <c r="N1349" s="38" t="n">
        <v>109.365440842379</v>
      </c>
      <c r="O1349" s="38" t="n">
        <v>64.9568219937196</v>
      </c>
      <c r="P1349" s="37" t="n">
        <v>0</v>
      </c>
      <c r="Q1349" s="38" t="n">
        <v>0</v>
      </c>
      <c r="R1349" s="38" t="n">
        <v>69.5192055120784</v>
      </c>
      <c r="S1349" s="37" t="n">
        <v>0</v>
      </c>
    </row>
    <row r="1350" customFormat="false" ht="15" hidden="false" customHeight="false" outlineLevel="0" collapsed="false">
      <c r="A1350" s="37" t="n">
        <v>5</v>
      </c>
      <c r="B1350" s="37" t="n">
        <v>5</v>
      </c>
      <c r="C1350" s="37" t="n">
        <v>0</v>
      </c>
      <c r="D1350" s="37" t="n">
        <v>0</v>
      </c>
      <c r="E1350" s="37" t="n">
        <v>15</v>
      </c>
      <c r="F1350" s="37" t="n">
        <v>5</v>
      </c>
      <c r="G1350" s="37" t="s">
        <v>188</v>
      </c>
      <c r="H1350" s="38" t="n">
        <v>198.651028835451</v>
      </c>
      <c r="I1350" s="38" t="n">
        <v>197.174647341515</v>
      </c>
      <c r="J1350" s="38" t="n">
        <v>195.417002201687</v>
      </c>
      <c r="K1350" s="38" t="n">
        <v>225.334532360101</v>
      </c>
      <c r="L1350" s="38" t="n">
        <v>60.8454986405363</v>
      </c>
      <c r="M1350" s="38" t="n">
        <v>99.3176483551773</v>
      </c>
      <c r="N1350" s="38" t="n">
        <v>106.457328976464</v>
      </c>
      <c r="O1350" s="38" t="n">
        <v>60.7389720030038</v>
      </c>
      <c r="P1350" s="37" t="n">
        <v>0</v>
      </c>
      <c r="Q1350" s="38" t="n">
        <v>0</v>
      </c>
      <c r="R1350" s="38" t="n">
        <v>70.5</v>
      </c>
      <c r="S1350" s="37" t="n">
        <v>0</v>
      </c>
    </row>
    <row r="1351" customFormat="false" ht="15" hidden="false" customHeight="false" outlineLevel="0" collapsed="false">
      <c r="A1351" s="37" t="n">
        <v>5</v>
      </c>
      <c r="B1351" s="37" t="n">
        <v>5</v>
      </c>
      <c r="C1351" s="37" t="n">
        <v>0</v>
      </c>
      <c r="D1351" s="37" t="n">
        <v>0</v>
      </c>
      <c r="E1351" s="37" t="n">
        <v>15</v>
      </c>
      <c r="F1351" s="37" t="n">
        <v>5</v>
      </c>
      <c r="G1351" s="37" t="s">
        <v>192</v>
      </c>
      <c r="H1351" s="38" t="n">
        <v>198.651028835451</v>
      </c>
      <c r="I1351" s="38" t="n">
        <v>197.137461792321</v>
      </c>
      <c r="J1351" s="38" t="n">
        <v>197.379015297734</v>
      </c>
      <c r="K1351" s="38" t="n">
        <v>227.687550621645</v>
      </c>
      <c r="L1351" s="38" t="n">
        <v>66.0622424598003</v>
      </c>
      <c r="M1351" s="38" t="n">
        <v>96.3548859532208</v>
      </c>
      <c r="N1351" s="38" t="n">
        <v>106.337768943859</v>
      </c>
      <c r="O1351" s="38" t="n">
        <v>61.8362886403959</v>
      </c>
      <c r="P1351" s="37" t="n">
        <v>0</v>
      </c>
      <c r="Q1351" s="38" t="n">
        <v>0</v>
      </c>
      <c r="R1351" s="38" t="n">
        <v>70.5</v>
      </c>
      <c r="S1351" s="37" t="n">
        <v>0</v>
      </c>
    </row>
    <row r="1352" customFormat="false" ht="15" hidden="false" customHeight="false" outlineLevel="0" collapsed="false">
      <c r="A1352" s="37" t="n">
        <v>5</v>
      </c>
      <c r="B1352" s="37" t="n">
        <v>5</v>
      </c>
      <c r="C1352" s="37" t="n">
        <v>0</v>
      </c>
      <c r="D1352" s="37" t="n">
        <v>0</v>
      </c>
      <c r="E1352" s="37" t="n">
        <v>15</v>
      </c>
      <c r="F1352" s="37" t="n">
        <v>5</v>
      </c>
      <c r="G1352" s="37" t="s">
        <v>195</v>
      </c>
      <c r="H1352" s="38" t="n">
        <v>198.651028835451</v>
      </c>
      <c r="I1352" s="38" t="n">
        <v>197.138257581304</v>
      </c>
      <c r="J1352" s="38" t="n">
        <v>192.8679591781</v>
      </c>
      <c r="K1352" s="38" t="n">
        <v>218.18506829178</v>
      </c>
      <c r="L1352" s="38" t="n">
        <v>59.0078004160066</v>
      </c>
      <c r="M1352" s="38" t="n">
        <v>97.2884845425243</v>
      </c>
      <c r="N1352" s="38" t="n">
        <v>96.2251614294054</v>
      </c>
      <c r="O1352" s="38" t="n">
        <v>56.290455966143</v>
      </c>
      <c r="P1352" s="37" t="n">
        <v>0</v>
      </c>
      <c r="Q1352" s="38" t="n">
        <v>0</v>
      </c>
      <c r="R1352" s="38" t="n">
        <v>68.4218196372681</v>
      </c>
      <c r="S1352" s="37" t="n">
        <v>0</v>
      </c>
    </row>
    <row r="1353" customFormat="false" ht="15" hidden="false" customHeight="false" outlineLevel="0" collapsed="false">
      <c r="A1353" s="37" t="n">
        <v>5</v>
      </c>
      <c r="B1353" s="37" t="n">
        <v>5</v>
      </c>
      <c r="C1353" s="37" t="n">
        <v>0</v>
      </c>
      <c r="D1353" s="37" t="n">
        <v>0</v>
      </c>
      <c r="E1353" s="37" t="n">
        <v>15</v>
      </c>
      <c r="F1353" s="37" t="n">
        <v>5</v>
      </c>
      <c r="G1353" s="37" t="s">
        <v>197</v>
      </c>
      <c r="H1353" s="38" t="n">
        <v>198.651028835451</v>
      </c>
      <c r="I1353" s="38" t="n">
        <v>197.180988680788</v>
      </c>
      <c r="J1353" s="38" t="n">
        <v>198.851399020571</v>
      </c>
      <c r="K1353" s="38" t="n">
        <v>230.050460922531</v>
      </c>
      <c r="L1353" s="38" t="n">
        <v>69.082000232562</v>
      </c>
      <c r="M1353" s="38" t="n">
        <v>106.768383796722</v>
      </c>
      <c r="N1353" s="38" t="n">
        <v>123.284971982323</v>
      </c>
      <c r="O1353" s="38" t="n">
        <v>64.9137795387194</v>
      </c>
      <c r="P1353" s="37" t="n">
        <v>0</v>
      </c>
      <c r="Q1353" s="38" t="n">
        <v>0</v>
      </c>
      <c r="R1353" s="38" t="n">
        <v>70.5</v>
      </c>
      <c r="S1353" s="37" t="n">
        <v>1</v>
      </c>
    </row>
    <row r="1354" customFormat="false" ht="15" hidden="false" customHeight="false" outlineLevel="0" collapsed="false">
      <c r="A1354" s="37" t="n">
        <v>5</v>
      </c>
      <c r="B1354" s="37" t="n">
        <v>5</v>
      </c>
      <c r="C1354" s="37" t="n">
        <v>0</v>
      </c>
      <c r="D1354" s="37" t="n">
        <v>0</v>
      </c>
      <c r="E1354" s="37" t="n">
        <v>15</v>
      </c>
      <c r="F1354" s="37" t="n">
        <v>5</v>
      </c>
      <c r="G1354" s="37" t="s">
        <v>196</v>
      </c>
      <c r="H1354" s="38" t="n">
        <v>198.651028835451</v>
      </c>
      <c r="I1354" s="38" t="n">
        <v>197.142059470947</v>
      </c>
      <c r="J1354" s="38" t="n">
        <v>197.471153557815</v>
      </c>
      <c r="K1354" s="38" t="n">
        <v>228.019289009197</v>
      </c>
      <c r="L1354" s="38" t="n">
        <v>71.5633614499384</v>
      </c>
      <c r="M1354" s="38" t="n">
        <v>101.71308708109</v>
      </c>
      <c r="N1354" s="38" t="n">
        <v>113.284412735105</v>
      </c>
      <c r="O1354" s="38" t="n">
        <v>64.3552103925724</v>
      </c>
      <c r="P1354" s="37" t="n">
        <v>0</v>
      </c>
      <c r="Q1354" s="38" t="n">
        <v>0</v>
      </c>
      <c r="R1354" s="38" t="n">
        <v>69.5039107191112</v>
      </c>
      <c r="S1354" s="37" t="n">
        <v>0</v>
      </c>
    </row>
    <row r="1355" customFormat="false" ht="15" hidden="false" customHeight="false" outlineLevel="0" collapsed="false">
      <c r="A1355" s="37" t="n">
        <v>5</v>
      </c>
      <c r="B1355" s="37" t="n">
        <v>5</v>
      </c>
      <c r="C1355" s="37" t="n">
        <v>0</v>
      </c>
      <c r="D1355" s="37" t="n">
        <v>0</v>
      </c>
      <c r="E1355" s="37" t="n">
        <v>20</v>
      </c>
      <c r="F1355" s="37" t="n">
        <v>0</v>
      </c>
      <c r="G1355" s="37" t="s">
        <v>188</v>
      </c>
      <c r="H1355" s="38" t="n">
        <v>198.673772246614</v>
      </c>
      <c r="I1355" s="38" t="n">
        <v>197.371400547529</v>
      </c>
      <c r="J1355" s="38" t="n">
        <v>196.671173847969</v>
      </c>
      <c r="K1355" s="38" t="n">
        <v>228.0073128864</v>
      </c>
      <c r="L1355" s="38" t="n">
        <v>34.9670504004139</v>
      </c>
      <c r="M1355" s="38" t="n">
        <v>100.232541012639</v>
      </c>
      <c r="N1355" s="38" t="n">
        <v>104.760426762711</v>
      </c>
      <c r="O1355" s="38" t="n">
        <v>57.4075942114585</v>
      </c>
      <c r="P1355" s="37" t="n">
        <v>0</v>
      </c>
      <c r="Q1355" s="38" t="n">
        <v>0</v>
      </c>
      <c r="R1355" s="38" t="n">
        <v>70.5</v>
      </c>
      <c r="S1355" s="37" t="n">
        <v>0</v>
      </c>
    </row>
    <row r="1356" customFormat="false" ht="15" hidden="false" customHeight="false" outlineLevel="0" collapsed="false">
      <c r="A1356" s="37" t="n">
        <v>5</v>
      </c>
      <c r="B1356" s="37" t="n">
        <v>5</v>
      </c>
      <c r="C1356" s="37" t="n">
        <v>0</v>
      </c>
      <c r="D1356" s="37" t="n">
        <v>0</v>
      </c>
      <c r="E1356" s="37" t="n">
        <v>20</v>
      </c>
      <c r="F1356" s="37" t="n">
        <v>0</v>
      </c>
      <c r="G1356" s="37" t="s">
        <v>192</v>
      </c>
      <c r="H1356" s="38" t="n">
        <v>198.673772246614</v>
      </c>
      <c r="I1356" s="38" t="n">
        <v>197.33554579463</v>
      </c>
      <c r="J1356" s="38" t="n">
        <v>198.740658894988</v>
      </c>
      <c r="K1356" s="38" t="n">
        <v>230.435268852657</v>
      </c>
      <c r="L1356" s="38" t="n">
        <v>28.8030401338734</v>
      </c>
      <c r="M1356" s="38" t="n">
        <v>97.2740640147282</v>
      </c>
      <c r="N1356" s="38" t="n">
        <v>99.9339152436949</v>
      </c>
      <c r="O1356" s="38" t="n">
        <v>61.242368501411</v>
      </c>
      <c r="P1356" s="37" t="n">
        <v>0</v>
      </c>
      <c r="Q1356" s="38" t="n">
        <v>0</v>
      </c>
      <c r="R1356" s="38" t="n">
        <v>70.5</v>
      </c>
      <c r="S1356" s="37" t="n">
        <v>0</v>
      </c>
    </row>
    <row r="1357" customFormat="false" ht="15" hidden="false" customHeight="false" outlineLevel="0" collapsed="false">
      <c r="A1357" s="37" t="n">
        <v>5</v>
      </c>
      <c r="B1357" s="37" t="n">
        <v>5</v>
      </c>
      <c r="C1357" s="37" t="n">
        <v>0</v>
      </c>
      <c r="D1357" s="37" t="n">
        <v>0</v>
      </c>
      <c r="E1357" s="37" t="n">
        <v>20</v>
      </c>
      <c r="F1357" s="37" t="n">
        <v>0</v>
      </c>
      <c r="G1357" s="37" t="s">
        <v>195</v>
      </c>
      <c r="H1357" s="38" t="n">
        <v>198.673772246614</v>
      </c>
      <c r="I1357" s="38" t="n">
        <v>197.337665981834</v>
      </c>
      <c r="J1357" s="38" t="n">
        <v>194.228721789984</v>
      </c>
      <c r="K1357" s="38" t="n">
        <v>220.948678708739</v>
      </c>
      <c r="L1357" s="38" t="n">
        <v>32.975764422047</v>
      </c>
      <c r="M1357" s="38" t="n">
        <v>98.242691402845</v>
      </c>
      <c r="N1357" s="38" t="n">
        <v>93.1437514947921</v>
      </c>
      <c r="O1357" s="38" t="n">
        <v>53.1910003126615</v>
      </c>
      <c r="P1357" s="37" t="n">
        <v>0</v>
      </c>
      <c r="Q1357" s="38" t="n">
        <v>0</v>
      </c>
      <c r="R1357" s="38" t="n">
        <v>68.4081257139925</v>
      </c>
      <c r="S1357" s="37" t="n">
        <v>0</v>
      </c>
    </row>
    <row r="1358" customFormat="false" ht="15" hidden="false" customHeight="false" outlineLevel="0" collapsed="false">
      <c r="A1358" s="37" t="n">
        <v>5</v>
      </c>
      <c r="B1358" s="37" t="n">
        <v>5</v>
      </c>
      <c r="C1358" s="37" t="n">
        <v>0</v>
      </c>
      <c r="D1358" s="37" t="n">
        <v>0</v>
      </c>
      <c r="E1358" s="37" t="n">
        <v>20</v>
      </c>
      <c r="F1358" s="37" t="n">
        <v>0</v>
      </c>
      <c r="G1358" s="37" t="s">
        <v>197</v>
      </c>
      <c r="H1358" s="38" t="n">
        <v>198.673772246614</v>
      </c>
      <c r="I1358" s="38" t="n">
        <v>197.397723318533</v>
      </c>
      <c r="J1358" s="38" t="n">
        <v>200.840806268313</v>
      </c>
      <c r="K1358" s="38" t="n">
        <v>233.764123749252</v>
      </c>
      <c r="L1358" s="38" t="n">
        <v>37.9992190639509</v>
      </c>
      <c r="M1358" s="38" t="n">
        <v>109.30307986163</v>
      </c>
      <c r="N1358" s="38" t="n">
        <v>126.606596998819</v>
      </c>
      <c r="O1358" s="38" t="n">
        <v>64.9583975053325</v>
      </c>
      <c r="P1358" s="37" t="n">
        <v>0</v>
      </c>
      <c r="Q1358" s="38" t="n">
        <v>0</v>
      </c>
      <c r="R1358" s="38" t="n">
        <v>70.5</v>
      </c>
      <c r="S1358" s="37" t="n">
        <v>1</v>
      </c>
    </row>
    <row r="1359" customFormat="false" ht="15" hidden="false" customHeight="false" outlineLevel="0" collapsed="false">
      <c r="A1359" s="37" t="n">
        <v>5</v>
      </c>
      <c r="B1359" s="37" t="n">
        <v>5</v>
      </c>
      <c r="C1359" s="37" t="n">
        <v>0</v>
      </c>
      <c r="D1359" s="37" t="n">
        <v>0</v>
      </c>
      <c r="E1359" s="37" t="n">
        <v>20</v>
      </c>
      <c r="F1359" s="37" t="n">
        <v>0</v>
      </c>
      <c r="G1359" s="37" t="s">
        <v>196</v>
      </c>
      <c r="H1359" s="38" t="n">
        <v>198.673772246614</v>
      </c>
      <c r="I1359" s="38" t="n">
        <v>197.34024561594</v>
      </c>
      <c r="J1359" s="38" t="n">
        <v>198.794972996662</v>
      </c>
      <c r="K1359" s="38" t="n">
        <v>230.724900001557</v>
      </c>
      <c r="L1359" s="38" t="n">
        <v>34.1878417540983</v>
      </c>
      <c r="M1359" s="38" t="n">
        <v>102.934940613321</v>
      </c>
      <c r="N1359" s="38" t="n">
        <v>111.428549367278</v>
      </c>
      <c r="O1359" s="38" t="n">
        <v>63.6156641701313</v>
      </c>
      <c r="P1359" s="37" t="n">
        <v>0</v>
      </c>
      <c r="Q1359" s="38" t="n">
        <v>0</v>
      </c>
      <c r="R1359" s="38" t="n">
        <v>69.4844393539434</v>
      </c>
      <c r="S1359" s="37" t="n">
        <v>0</v>
      </c>
    </row>
    <row r="1360" customFormat="false" ht="15" hidden="false" customHeight="false" outlineLevel="0" collapsed="false">
      <c r="A1360" s="37" t="n">
        <v>5</v>
      </c>
      <c r="B1360" s="37" t="n">
        <v>5</v>
      </c>
      <c r="C1360" s="37" t="n">
        <v>0</v>
      </c>
      <c r="D1360" s="37" t="n">
        <v>5</v>
      </c>
      <c r="E1360" s="37" t="n">
        <v>0</v>
      </c>
      <c r="F1360" s="37" t="n">
        <v>15</v>
      </c>
      <c r="G1360" s="37" t="s">
        <v>188</v>
      </c>
      <c r="H1360" s="38" t="n">
        <v>198.744093895874</v>
      </c>
      <c r="I1360" s="38" t="n">
        <v>197.442050342366</v>
      </c>
      <c r="J1360" s="38" t="n">
        <v>193.222817203548</v>
      </c>
      <c r="K1360" s="38" t="n">
        <v>209.86672597994</v>
      </c>
      <c r="L1360" s="38" t="n">
        <v>125.330765927523</v>
      </c>
      <c r="M1360" s="38" t="n">
        <v>96.7997928647501</v>
      </c>
      <c r="N1360" s="38" t="n">
        <v>92.4574891217426</v>
      </c>
      <c r="O1360" s="38" t="n">
        <v>64.8586039015559</v>
      </c>
      <c r="P1360" s="37" t="n">
        <v>0</v>
      </c>
      <c r="Q1360" s="38" t="n">
        <v>0</v>
      </c>
      <c r="R1360" s="38" t="n">
        <v>72</v>
      </c>
      <c r="S1360" s="37" t="n">
        <v>0</v>
      </c>
    </row>
    <row r="1361" customFormat="false" ht="15" hidden="false" customHeight="false" outlineLevel="0" collapsed="false">
      <c r="A1361" s="37" t="n">
        <v>5</v>
      </c>
      <c r="B1361" s="37" t="n">
        <v>5</v>
      </c>
      <c r="C1361" s="37" t="n">
        <v>0</v>
      </c>
      <c r="D1361" s="37" t="n">
        <v>5</v>
      </c>
      <c r="E1361" s="37" t="n">
        <v>0</v>
      </c>
      <c r="F1361" s="37" t="n">
        <v>15</v>
      </c>
      <c r="G1361" s="37" t="s">
        <v>192</v>
      </c>
      <c r="H1361" s="38" t="n">
        <v>198.744093895874</v>
      </c>
      <c r="I1361" s="38" t="n">
        <v>197.395416184752</v>
      </c>
      <c r="J1361" s="38" t="n">
        <v>195.400363014611</v>
      </c>
      <c r="K1361" s="38" t="n">
        <v>212.326565452102</v>
      </c>
      <c r="L1361" s="38" t="n">
        <v>131.019179210823</v>
      </c>
      <c r="M1361" s="38" t="n">
        <v>93.8084052203092</v>
      </c>
      <c r="N1361" s="38" t="n">
        <v>92.9274695278361</v>
      </c>
      <c r="O1361" s="38" t="n">
        <v>65.280274962649</v>
      </c>
      <c r="P1361" s="37" t="n">
        <v>0</v>
      </c>
      <c r="Q1361" s="38" t="n">
        <v>0</v>
      </c>
      <c r="R1361" s="38" t="n">
        <v>72</v>
      </c>
      <c r="S1361" s="37" t="n">
        <v>0</v>
      </c>
    </row>
    <row r="1362" customFormat="false" ht="15" hidden="false" customHeight="false" outlineLevel="0" collapsed="false">
      <c r="A1362" s="37" t="n">
        <v>5</v>
      </c>
      <c r="B1362" s="37" t="n">
        <v>5</v>
      </c>
      <c r="C1362" s="37" t="n">
        <v>0</v>
      </c>
      <c r="D1362" s="37" t="n">
        <v>5</v>
      </c>
      <c r="E1362" s="37" t="n">
        <v>0</v>
      </c>
      <c r="F1362" s="37" t="n">
        <v>15</v>
      </c>
      <c r="G1362" s="37" t="s">
        <v>195</v>
      </c>
      <c r="H1362" s="38" t="n">
        <v>198.744093895874</v>
      </c>
      <c r="I1362" s="38" t="n">
        <v>197.423024226162</v>
      </c>
      <c r="J1362" s="38" t="n">
        <v>193.019566594072</v>
      </c>
      <c r="K1362" s="38" t="n">
        <v>206.404808193379</v>
      </c>
      <c r="L1362" s="38" t="n">
        <v>128.685544670747</v>
      </c>
      <c r="M1362" s="38" t="n">
        <v>96.3351214737329</v>
      </c>
      <c r="N1362" s="38" t="n">
        <v>89.7106783421712</v>
      </c>
      <c r="O1362" s="38" t="n">
        <v>62.4907192784986</v>
      </c>
      <c r="P1362" s="37" t="n">
        <v>0</v>
      </c>
      <c r="Q1362" s="38" t="n">
        <v>0</v>
      </c>
      <c r="R1362" s="38" t="n">
        <v>70.3592209432102</v>
      </c>
      <c r="S1362" s="37" t="n">
        <v>0</v>
      </c>
    </row>
    <row r="1363" customFormat="false" ht="15" hidden="false" customHeight="false" outlineLevel="0" collapsed="false">
      <c r="A1363" s="37" t="n">
        <v>5</v>
      </c>
      <c r="B1363" s="37" t="n">
        <v>5</v>
      </c>
      <c r="C1363" s="37" t="n">
        <v>0</v>
      </c>
      <c r="D1363" s="37" t="n">
        <v>5</v>
      </c>
      <c r="E1363" s="37" t="n">
        <v>0</v>
      </c>
      <c r="F1363" s="37" t="n">
        <v>15</v>
      </c>
      <c r="G1363" s="37" t="s">
        <v>197</v>
      </c>
      <c r="H1363" s="38" t="n">
        <v>198.744093895874</v>
      </c>
      <c r="I1363" s="38" t="n">
        <v>197.394534702435</v>
      </c>
      <c r="J1363" s="38" t="n">
        <v>194.627070055808</v>
      </c>
      <c r="K1363" s="38" t="n">
        <v>211.350373742489</v>
      </c>
      <c r="L1363" s="38" t="n">
        <v>128.888943079908</v>
      </c>
      <c r="M1363" s="38" t="n">
        <v>96.4675603483844</v>
      </c>
      <c r="N1363" s="38" t="n">
        <v>89.4651921258902</v>
      </c>
      <c r="O1363" s="38" t="n">
        <v>62.1522330412833</v>
      </c>
      <c r="P1363" s="37" t="n">
        <v>0</v>
      </c>
      <c r="Q1363" s="38" t="n">
        <v>0</v>
      </c>
      <c r="R1363" s="38" t="n">
        <v>72</v>
      </c>
      <c r="S1363" s="37" t="n">
        <v>0</v>
      </c>
    </row>
    <row r="1364" customFormat="false" ht="15" hidden="false" customHeight="false" outlineLevel="0" collapsed="false">
      <c r="A1364" s="37" t="n">
        <v>5</v>
      </c>
      <c r="B1364" s="37" t="n">
        <v>5</v>
      </c>
      <c r="C1364" s="37" t="n">
        <v>0</v>
      </c>
      <c r="D1364" s="37" t="n">
        <v>5</v>
      </c>
      <c r="E1364" s="37" t="n">
        <v>0</v>
      </c>
      <c r="F1364" s="37" t="n">
        <v>15</v>
      </c>
      <c r="G1364" s="37" t="s">
        <v>196</v>
      </c>
      <c r="H1364" s="38" t="n">
        <v>198.744093895874</v>
      </c>
      <c r="I1364" s="38" t="n">
        <v>197.396270967415</v>
      </c>
      <c r="J1364" s="38" t="n">
        <v>195.713217775347</v>
      </c>
      <c r="K1364" s="38" t="n">
        <v>212.827774002476</v>
      </c>
      <c r="L1364" s="38" t="n">
        <v>136.789913529661</v>
      </c>
      <c r="M1364" s="38" t="n">
        <v>98.2804158600082</v>
      </c>
      <c r="N1364" s="38" t="n">
        <v>98.5724047991221</v>
      </c>
      <c r="O1364" s="38" t="n">
        <v>66.0062115154096</v>
      </c>
      <c r="P1364" s="37" t="n">
        <v>0</v>
      </c>
      <c r="Q1364" s="38" t="n">
        <v>0</v>
      </c>
      <c r="R1364" s="38" t="n">
        <v>71.1042468198578</v>
      </c>
      <c r="S1364" s="37" t="n">
        <v>1</v>
      </c>
    </row>
    <row r="1365" customFormat="false" ht="15" hidden="false" customHeight="false" outlineLevel="0" collapsed="false">
      <c r="A1365" s="37" t="n">
        <v>5</v>
      </c>
      <c r="B1365" s="37" t="n">
        <v>5</v>
      </c>
      <c r="C1365" s="37" t="n">
        <v>0</v>
      </c>
      <c r="D1365" s="37" t="n">
        <v>5</v>
      </c>
      <c r="E1365" s="37" t="n">
        <v>5</v>
      </c>
      <c r="F1365" s="37" t="n">
        <v>10</v>
      </c>
      <c r="G1365" s="37" t="s">
        <v>188</v>
      </c>
      <c r="H1365" s="38" t="n">
        <v>198.762739629157</v>
      </c>
      <c r="I1365" s="38" t="n">
        <v>197.69783098807</v>
      </c>
      <c r="J1365" s="38" t="n">
        <v>196.574596029678</v>
      </c>
      <c r="K1365" s="38" t="n">
        <v>215.494655318438</v>
      </c>
      <c r="L1365" s="38" t="n">
        <v>91.2125242070333</v>
      </c>
      <c r="M1365" s="38" t="n">
        <v>98.0943692198573</v>
      </c>
      <c r="N1365" s="38" t="n">
        <v>100.576339040855</v>
      </c>
      <c r="O1365" s="38" t="n">
        <v>64.8900864029538</v>
      </c>
      <c r="P1365" s="37" t="n">
        <v>0</v>
      </c>
      <c r="Q1365" s="38" t="n">
        <v>0</v>
      </c>
      <c r="R1365" s="38" t="n">
        <v>72</v>
      </c>
      <c r="S1365" s="37" t="n">
        <v>0</v>
      </c>
    </row>
    <row r="1366" customFormat="false" ht="15" hidden="false" customHeight="false" outlineLevel="0" collapsed="false">
      <c r="A1366" s="37" t="n">
        <v>5</v>
      </c>
      <c r="B1366" s="37" t="n">
        <v>5</v>
      </c>
      <c r="C1366" s="37" t="n">
        <v>0</v>
      </c>
      <c r="D1366" s="37" t="n">
        <v>5</v>
      </c>
      <c r="E1366" s="37" t="n">
        <v>5</v>
      </c>
      <c r="F1366" s="37" t="n">
        <v>10</v>
      </c>
      <c r="G1366" s="37" t="s">
        <v>192</v>
      </c>
      <c r="H1366" s="38" t="n">
        <v>198.762739629157</v>
      </c>
      <c r="I1366" s="38" t="n">
        <v>197.651169194788</v>
      </c>
      <c r="J1366" s="38" t="n">
        <v>198.520328877667</v>
      </c>
      <c r="K1366" s="38" t="n">
        <v>217.678939036293</v>
      </c>
      <c r="L1366" s="38" t="n">
        <v>96.3551177435821</v>
      </c>
      <c r="M1366" s="38" t="n">
        <v>95.1005232979848</v>
      </c>
      <c r="N1366" s="38" t="n">
        <v>100.561121745459</v>
      </c>
      <c r="O1366" s="38" t="n">
        <v>65.3380221791081</v>
      </c>
      <c r="P1366" s="37" t="n">
        <v>0</v>
      </c>
      <c r="Q1366" s="38" t="n">
        <v>0</v>
      </c>
      <c r="R1366" s="38" t="n">
        <v>72</v>
      </c>
      <c r="S1366" s="37" t="n">
        <v>0</v>
      </c>
    </row>
    <row r="1367" customFormat="false" ht="15" hidden="false" customHeight="false" outlineLevel="0" collapsed="false">
      <c r="A1367" s="37" t="n">
        <v>5</v>
      </c>
      <c r="B1367" s="37" t="n">
        <v>5</v>
      </c>
      <c r="C1367" s="37" t="n">
        <v>0</v>
      </c>
      <c r="D1367" s="37" t="n">
        <v>5</v>
      </c>
      <c r="E1367" s="37" t="n">
        <v>5</v>
      </c>
      <c r="F1367" s="37" t="n">
        <v>10</v>
      </c>
      <c r="G1367" s="37" t="s">
        <v>195</v>
      </c>
      <c r="H1367" s="38" t="n">
        <v>198.762739629157</v>
      </c>
      <c r="I1367" s="38" t="n">
        <v>197.684714982322</v>
      </c>
      <c r="J1367" s="38" t="n">
        <v>196.196009077845</v>
      </c>
      <c r="K1367" s="38" t="n">
        <v>211.886371239515</v>
      </c>
      <c r="L1367" s="38" t="n">
        <v>94.1341176320737</v>
      </c>
      <c r="M1367" s="38" t="n">
        <v>97.6525187791717</v>
      </c>
      <c r="N1367" s="38" t="n">
        <v>97.6324751456569</v>
      </c>
      <c r="O1367" s="38" t="n">
        <v>62.8324687691642</v>
      </c>
      <c r="P1367" s="37" t="n">
        <v>0</v>
      </c>
      <c r="Q1367" s="38" t="n">
        <v>0</v>
      </c>
      <c r="R1367" s="38" t="n">
        <v>70.3493239177675</v>
      </c>
      <c r="S1367" s="37" t="n">
        <v>0</v>
      </c>
    </row>
    <row r="1368" customFormat="false" ht="15" hidden="false" customHeight="false" outlineLevel="0" collapsed="false">
      <c r="A1368" s="37" t="n">
        <v>5</v>
      </c>
      <c r="B1368" s="37" t="n">
        <v>5</v>
      </c>
      <c r="C1368" s="37" t="n">
        <v>0</v>
      </c>
      <c r="D1368" s="37" t="n">
        <v>5</v>
      </c>
      <c r="E1368" s="37" t="n">
        <v>5</v>
      </c>
      <c r="F1368" s="37" t="n">
        <v>10</v>
      </c>
      <c r="G1368" s="37" t="s">
        <v>197</v>
      </c>
      <c r="H1368" s="38" t="n">
        <v>198.762739629157</v>
      </c>
      <c r="I1368" s="38" t="n">
        <v>197.660635035988</v>
      </c>
      <c r="J1368" s="38" t="n">
        <v>198.436670872344</v>
      </c>
      <c r="K1368" s="38" t="n">
        <v>217.758695016451</v>
      </c>
      <c r="L1368" s="38" t="n">
        <v>95.8450061742322</v>
      </c>
      <c r="M1368" s="38" t="n">
        <v>101.132331242517</v>
      </c>
      <c r="N1368" s="38" t="n">
        <v>106.887793858892</v>
      </c>
      <c r="O1368" s="38" t="n">
        <v>66.5228541118039</v>
      </c>
      <c r="P1368" s="37" t="n">
        <v>0</v>
      </c>
      <c r="Q1368" s="38" t="n">
        <v>0</v>
      </c>
      <c r="R1368" s="38" t="n">
        <v>72</v>
      </c>
      <c r="S1368" s="37" t="n">
        <v>0</v>
      </c>
    </row>
    <row r="1369" customFormat="false" ht="15" hidden="false" customHeight="false" outlineLevel="0" collapsed="false">
      <c r="A1369" s="37" t="n">
        <v>5</v>
      </c>
      <c r="B1369" s="37" t="n">
        <v>5</v>
      </c>
      <c r="C1369" s="37" t="n">
        <v>0</v>
      </c>
      <c r="D1369" s="37" t="n">
        <v>5</v>
      </c>
      <c r="E1369" s="37" t="n">
        <v>5</v>
      </c>
      <c r="F1369" s="37" t="n">
        <v>10</v>
      </c>
      <c r="G1369" s="37" t="s">
        <v>196</v>
      </c>
      <c r="H1369" s="38" t="n">
        <v>198.762739629157</v>
      </c>
      <c r="I1369" s="38" t="n">
        <v>197.655024267269</v>
      </c>
      <c r="J1369" s="38" t="n">
        <v>198.700500358037</v>
      </c>
      <c r="K1369" s="38" t="n">
        <v>218.049422935813</v>
      </c>
      <c r="L1369" s="38" t="n">
        <v>101.672387459925</v>
      </c>
      <c r="M1369" s="38" t="n">
        <v>100.236095522314</v>
      </c>
      <c r="N1369" s="38" t="n">
        <v>107.640301190458</v>
      </c>
      <c r="O1369" s="38" t="n">
        <v>67.3971761142997</v>
      </c>
      <c r="P1369" s="37" t="n">
        <v>0</v>
      </c>
      <c r="Q1369" s="38" t="n">
        <v>0</v>
      </c>
      <c r="R1369" s="38" t="n">
        <v>71.0228448191202</v>
      </c>
      <c r="S1369" s="37" t="n">
        <v>1</v>
      </c>
    </row>
    <row r="1370" customFormat="false" ht="15" hidden="false" customHeight="false" outlineLevel="0" collapsed="false">
      <c r="A1370" s="37" t="n">
        <v>5</v>
      </c>
      <c r="B1370" s="37" t="n">
        <v>5</v>
      </c>
      <c r="C1370" s="37" t="n">
        <v>0</v>
      </c>
      <c r="D1370" s="37" t="n">
        <v>5</v>
      </c>
      <c r="E1370" s="37" t="n">
        <v>10</v>
      </c>
      <c r="F1370" s="37" t="n">
        <v>5</v>
      </c>
      <c r="G1370" s="37" t="s">
        <v>188</v>
      </c>
      <c r="H1370" s="38" t="n">
        <v>198.784370431034</v>
      </c>
      <c r="I1370" s="38" t="n">
        <v>197.984814449142</v>
      </c>
      <c r="J1370" s="38" t="n">
        <v>199.318072501231</v>
      </c>
      <c r="K1370" s="38" t="n">
        <v>220.405872955296</v>
      </c>
      <c r="L1370" s="38" t="n">
        <v>56.3568932066992</v>
      </c>
      <c r="M1370" s="38" t="n">
        <v>99.3432205125719</v>
      </c>
      <c r="N1370" s="38" t="n">
        <v>107.050769773161</v>
      </c>
      <c r="O1370" s="38" t="n">
        <v>64.6675875105929</v>
      </c>
      <c r="P1370" s="37" t="n">
        <v>0</v>
      </c>
      <c r="Q1370" s="38" t="n">
        <v>0</v>
      </c>
      <c r="R1370" s="38" t="n">
        <v>72</v>
      </c>
      <c r="S1370" s="37" t="n">
        <v>0</v>
      </c>
    </row>
    <row r="1371" customFormat="false" ht="15" hidden="false" customHeight="false" outlineLevel="0" collapsed="false">
      <c r="A1371" s="37" t="n">
        <v>5</v>
      </c>
      <c r="B1371" s="37" t="n">
        <v>5</v>
      </c>
      <c r="C1371" s="37" t="n">
        <v>0</v>
      </c>
      <c r="D1371" s="37" t="n">
        <v>5</v>
      </c>
      <c r="E1371" s="37" t="n">
        <v>10</v>
      </c>
      <c r="F1371" s="37" t="n">
        <v>5</v>
      </c>
      <c r="G1371" s="37" t="s">
        <v>192</v>
      </c>
      <c r="H1371" s="38" t="n">
        <v>198.784370431034</v>
      </c>
      <c r="I1371" s="38" t="n">
        <v>197.938540308112</v>
      </c>
      <c r="J1371" s="38" t="n">
        <v>201.078657803939</v>
      </c>
      <c r="K1371" s="38" t="n">
        <v>222.373528699427</v>
      </c>
      <c r="L1371" s="38" t="n">
        <v>61.0357289032322</v>
      </c>
      <c r="M1371" s="38" t="n">
        <v>96.3509028135534</v>
      </c>
      <c r="N1371" s="38" t="n">
        <v>106.646517343559</v>
      </c>
      <c r="O1371" s="38" t="n">
        <v>65.1586486949778</v>
      </c>
      <c r="P1371" s="37" t="n">
        <v>0</v>
      </c>
      <c r="Q1371" s="38" t="n">
        <v>0</v>
      </c>
      <c r="R1371" s="38" t="n">
        <v>72</v>
      </c>
      <c r="S1371" s="37" t="n">
        <v>0</v>
      </c>
    </row>
    <row r="1372" customFormat="false" ht="15" hidden="false" customHeight="false" outlineLevel="0" collapsed="false">
      <c r="A1372" s="37" t="n">
        <v>5</v>
      </c>
      <c r="B1372" s="37" t="n">
        <v>5</v>
      </c>
      <c r="C1372" s="37" t="n">
        <v>0</v>
      </c>
      <c r="D1372" s="37" t="n">
        <v>5</v>
      </c>
      <c r="E1372" s="37" t="n">
        <v>10</v>
      </c>
      <c r="F1372" s="37" t="n">
        <v>5</v>
      </c>
      <c r="G1372" s="37" t="s">
        <v>195</v>
      </c>
      <c r="H1372" s="38" t="n">
        <v>198.784370431034</v>
      </c>
      <c r="I1372" s="38" t="n">
        <v>197.978561519597</v>
      </c>
      <c r="J1372" s="38" t="n">
        <v>198.691029291703</v>
      </c>
      <c r="K1372" s="38" t="n">
        <v>216.564426052506</v>
      </c>
      <c r="L1372" s="38" t="n">
        <v>58.7417410752457</v>
      </c>
      <c r="M1372" s="38" t="n">
        <v>98.9262048124242</v>
      </c>
      <c r="N1372" s="38" t="n">
        <v>103.720897176106</v>
      </c>
      <c r="O1372" s="38" t="n">
        <v>62.8212378602872</v>
      </c>
      <c r="P1372" s="37" t="n">
        <v>0</v>
      </c>
      <c r="Q1372" s="38" t="n">
        <v>0</v>
      </c>
      <c r="R1372" s="38" t="n">
        <v>70.3281945068218</v>
      </c>
      <c r="S1372" s="37" t="n">
        <v>0</v>
      </c>
    </row>
    <row r="1373" customFormat="false" ht="15" hidden="false" customHeight="false" outlineLevel="0" collapsed="false">
      <c r="A1373" s="37" t="n">
        <v>5</v>
      </c>
      <c r="B1373" s="37" t="n">
        <v>5</v>
      </c>
      <c r="C1373" s="37" t="n">
        <v>0</v>
      </c>
      <c r="D1373" s="37" t="n">
        <v>5</v>
      </c>
      <c r="E1373" s="37" t="n">
        <v>10</v>
      </c>
      <c r="F1373" s="37" t="n">
        <v>5</v>
      </c>
      <c r="G1373" s="37" t="s">
        <v>197</v>
      </c>
      <c r="H1373" s="38" t="n">
        <v>198.784370431034</v>
      </c>
      <c r="I1373" s="38" t="n">
        <v>197.968514290279</v>
      </c>
      <c r="J1373" s="38" t="n">
        <v>202.036263722324</v>
      </c>
      <c r="K1373" s="38" t="n">
        <v>223.953830165955</v>
      </c>
      <c r="L1373" s="38" t="n">
        <v>62.7365547521553</v>
      </c>
      <c r="M1373" s="38" t="n">
        <v>105.037599631063</v>
      </c>
      <c r="N1373" s="38" t="n">
        <v>121.777485683376</v>
      </c>
      <c r="O1373" s="38" t="n">
        <v>68.160948756109</v>
      </c>
      <c r="P1373" s="37" t="n">
        <v>0</v>
      </c>
      <c r="Q1373" s="38" t="n">
        <v>0</v>
      </c>
      <c r="R1373" s="38" t="n">
        <v>72</v>
      </c>
      <c r="S1373" s="37" t="n">
        <v>1</v>
      </c>
    </row>
    <row r="1374" customFormat="false" ht="15" hidden="false" customHeight="false" outlineLevel="0" collapsed="false">
      <c r="A1374" s="37" t="n">
        <v>5</v>
      </c>
      <c r="B1374" s="37" t="n">
        <v>5</v>
      </c>
      <c r="C1374" s="37" t="n">
        <v>0</v>
      </c>
      <c r="D1374" s="37" t="n">
        <v>5</v>
      </c>
      <c r="E1374" s="37" t="n">
        <v>10</v>
      </c>
      <c r="F1374" s="37" t="n">
        <v>5</v>
      </c>
      <c r="G1374" s="37" t="s">
        <v>196</v>
      </c>
      <c r="H1374" s="38" t="n">
        <v>198.784370431034</v>
      </c>
      <c r="I1374" s="38" t="n">
        <v>197.944261616391</v>
      </c>
      <c r="J1374" s="38" t="n">
        <v>201.284021106567</v>
      </c>
      <c r="K1374" s="38" t="n">
        <v>222.808147692015</v>
      </c>
      <c r="L1374" s="38" t="n">
        <v>66.4253359998309</v>
      </c>
      <c r="M1374" s="38" t="n">
        <v>101.994830376753</v>
      </c>
      <c r="N1374" s="38" t="n">
        <v>115.065070718766</v>
      </c>
      <c r="O1374" s="38" t="n">
        <v>67.7779443650269</v>
      </c>
      <c r="P1374" s="37" t="n">
        <v>0</v>
      </c>
      <c r="Q1374" s="38" t="n">
        <v>0</v>
      </c>
      <c r="R1374" s="38" t="n">
        <v>71.0214585272092</v>
      </c>
      <c r="S1374" s="37" t="n">
        <v>0</v>
      </c>
    </row>
    <row r="1375" customFormat="false" ht="15" hidden="false" customHeight="false" outlineLevel="0" collapsed="false">
      <c r="A1375" s="37" t="n">
        <v>5</v>
      </c>
      <c r="B1375" s="37" t="n">
        <v>5</v>
      </c>
      <c r="C1375" s="37" t="n">
        <v>0</v>
      </c>
      <c r="D1375" s="37" t="n">
        <v>5</v>
      </c>
      <c r="E1375" s="37" t="n">
        <v>15</v>
      </c>
      <c r="F1375" s="37" t="n">
        <v>0</v>
      </c>
      <c r="G1375" s="37" t="s">
        <v>188</v>
      </c>
      <c r="H1375" s="38" t="n">
        <v>198.800902958003</v>
      </c>
      <c r="I1375" s="38" t="n">
        <v>198.176384284806</v>
      </c>
      <c r="J1375" s="38" t="n">
        <v>200.967454961703</v>
      </c>
      <c r="K1375" s="38" t="n">
        <v>223.494539250734</v>
      </c>
      <c r="L1375" s="38" t="n">
        <v>30.8904272591669</v>
      </c>
      <c r="M1375" s="38" t="n">
        <v>100.246998093243</v>
      </c>
      <c r="N1375" s="38" t="n">
        <v>102.750853709361</v>
      </c>
      <c r="O1375" s="38" t="n">
        <v>61.3666230871092</v>
      </c>
      <c r="P1375" s="37" t="n">
        <v>0</v>
      </c>
      <c r="Q1375" s="38" t="n">
        <v>0</v>
      </c>
      <c r="R1375" s="38" t="n">
        <v>72</v>
      </c>
      <c r="S1375" s="37" t="n">
        <v>0</v>
      </c>
    </row>
    <row r="1376" customFormat="false" ht="15" hidden="false" customHeight="false" outlineLevel="0" collapsed="false">
      <c r="A1376" s="37" t="n">
        <v>5</v>
      </c>
      <c r="B1376" s="37" t="n">
        <v>5</v>
      </c>
      <c r="C1376" s="37" t="n">
        <v>0</v>
      </c>
      <c r="D1376" s="37" t="n">
        <v>5</v>
      </c>
      <c r="E1376" s="37" t="n">
        <v>15</v>
      </c>
      <c r="F1376" s="37" t="n">
        <v>0</v>
      </c>
      <c r="G1376" s="37" t="s">
        <v>192</v>
      </c>
      <c r="H1376" s="38" t="n">
        <v>198.800902958003</v>
      </c>
      <c r="I1376" s="38" t="n">
        <v>198.131594618588</v>
      </c>
      <c r="J1376" s="38" t="n">
        <v>202.754411085699</v>
      </c>
      <c r="K1376" s="38" t="n">
        <v>225.454490329203</v>
      </c>
      <c r="L1376" s="38" t="n">
        <v>35.3533636974796</v>
      </c>
      <c r="M1376" s="38" t="n">
        <v>97.2576911810131</v>
      </c>
      <c r="N1376" s="38" t="n">
        <v>106.386192659813</v>
      </c>
      <c r="O1376" s="38" t="n">
        <v>62.0981835152029</v>
      </c>
      <c r="P1376" s="37" t="n">
        <v>0</v>
      </c>
      <c r="Q1376" s="38" t="n">
        <v>0</v>
      </c>
      <c r="R1376" s="38" t="n">
        <v>72</v>
      </c>
      <c r="S1376" s="37" t="n">
        <v>0</v>
      </c>
    </row>
    <row r="1377" customFormat="false" ht="15" hidden="false" customHeight="false" outlineLevel="0" collapsed="false">
      <c r="A1377" s="37" t="n">
        <v>5</v>
      </c>
      <c r="B1377" s="37" t="n">
        <v>5</v>
      </c>
      <c r="C1377" s="37" t="n">
        <v>0</v>
      </c>
      <c r="D1377" s="37" t="n">
        <v>5</v>
      </c>
      <c r="E1377" s="37" t="n">
        <v>15</v>
      </c>
      <c r="F1377" s="37" t="n">
        <v>0</v>
      </c>
      <c r="G1377" s="37" t="s">
        <v>195</v>
      </c>
      <c r="H1377" s="38" t="n">
        <v>198.800902958003</v>
      </c>
      <c r="I1377" s="38" t="n">
        <v>198.177882906978</v>
      </c>
      <c r="J1377" s="38" t="n">
        <v>200.195394878062</v>
      </c>
      <c r="K1377" s="38" t="n">
        <v>219.556784344789</v>
      </c>
      <c r="L1377" s="38" t="n">
        <v>32.9197958253441</v>
      </c>
      <c r="M1377" s="38" t="n">
        <v>99.8575341956302</v>
      </c>
      <c r="N1377" s="38" t="n">
        <v>101.025601812826</v>
      </c>
      <c r="O1377" s="38" t="n">
        <v>59.6507547861376</v>
      </c>
      <c r="P1377" s="37" t="n">
        <v>0</v>
      </c>
      <c r="Q1377" s="38" t="n">
        <v>0</v>
      </c>
      <c r="R1377" s="38" t="n">
        <v>70.3089034441664</v>
      </c>
      <c r="S1377" s="37" t="n">
        <v>0</v>
      </c>
    </row>
    <row r="1378" customFormat="false" ht="15" hidden="false" customHeight="false" outlineLevel="0" collapsed="false">
      <c r="A1378" s="37" t="n">
        <v>5</v>
      </c>
      <c r="B1378" s="37" t="n">
        <v>5</v>
      </c>
      <c r="C1378" s="37" t="n">
        <v>0</v>
      </c>
      <c r="D1378" s="37" t="n">
        <v>5</v>
      </c>
      <c r="E1378" s="37" t="n">
        <v>15</v>
      </c>
      <c r="F1378" s="37" t="n">
        <v>0</v>
      </c>
      <c r="G1378" s="37" t="s">
        <v>197</v>
      </c>
      <c r="H1378" s="38" t="n">
        <v>198.800902958003</v>
      </c>
      <c r="I1378" s="38" t="n">
        <v>198.1782277744</v>
      </c>
      <c r="J1378" s="38" t="n">
        <v>204.457220819039</v>
      </c>
      <c r="K1378" s="38" t="n">
        <v>228.106576538048</v>
      </c>
      <c r="L1378" s="38" t="n">
        <v>27.3444229121547</v>
      </c>
      <c r="M1378" s="38" t="n">
        <v>107.538483567833</v>
      </c>
      <c r="N1378" s="38" t="n">
        <v>117.120717913273</v>
      </c>
      <c r="O1378" s="38" t="n">
        <v>68.1923597500857</v>
      </c>
      <c r="P1378" s="37" t="n">
        <v>0</v>
      </c>
      <c r="Q1378" s="38" t="n">
        <v>0</v>
      </c>
      <c r="R1378" s="38" t="n">
        <v>72</v>
      </c>
      <c r="S1378" s="37" t="n">
        <v>1</v>
      </c>
    </row>
    <row r="1379" customFormat="false" ht="15" hidden="false" customHeight="false" outlineLevel="0" collapsed="false">
      <c r="A1379" s="37" t="n">
        <v>5</v>
      </c>
      <c r="B1379" s="37" t="n">
        <v>5</v>
      </c>
      <c r="C1379" s="37" t="n">
        <v>0</v>
      </c>
      <c r="D1379" s="37" t="n">
        <v>5</v>
      </c>
      <c r="E1379" s="37" t="n">
        <v>15</v>
      </c>
      <c r="F1379" s="37" t="n">
        <v>0</v>
      </c>
      <c r="G1379" s="37" t="s">
        <v>196</v>
      </c>
      <c r="H1379" s="38" t="n">
        <v>198.800902958003</v>
      </c>
      <c r="I1379" s="38" t="n">
        <v>198.138569216898</v>
      </c>
      <c r="J1379" s="38" t="n">
        <v>202.833134384611</v>
      </c>
      <c r="K1379" s="38" t="n">
        <v>225.781021829335</v>
      </c>
      <c r="L1379" s="38" t="n">
        <v>29.3383032170064</v>
      </c>
      <c r="M1379" s="38" t="n">
        <v>103.197820934611</v>
      </c>
      <c r="N1379" s="38" t="n">
        <v>109.7824652329</v>
      </c>
      <c r="O1379" s="38" t="n">
        <v>67.1407182589308</v>
      </c>
      <c r="P1379" s="37" t="n">
        <v>0</v>
      </c>
      <c r="Q1379" s="38" t="n">
        <v>0</v>
      </c>
      <c r="R1379" s="38" t="n">
        <v>71.0070808663745</v>
      </c>
      <c r="S1379" s="37" t="n">
        <v>0</v>
      </c>
    </row>
    <row r="1380" customFormat="false" ht="15" hidden="false" customHeight="false" outlineLevel="0" collapsed="false">
      <c r="A1380" s="37" t="n">
        <v>5</v>
      </c>
      <c r="B1380" s="37" t="n">
        <v>5</v>
      </c>
      <c r="C1380" s="37" t="n">
        <v>0</v>
      </c>
      <c r="D1380" s="37" t="n">
        <v>10</v>
      </c>
      <c r="E1380" s="37" t="n">
        <v>0</v>
      </c>
      <c r="F1380" s="37" t="n">
        <v>10</v>
      </c>
      <c r="G1380" s="37" t="s">
        <v>188</v>
      </c>
      <c r="H1380" s="38" t="n">
        <v>198.967228427763</v>
      </c>
      <c r="I1380" s="38" t="n">
        <v>198.356743675755</v>
      </c>
      <c r="J1380" s="38" t="n">
        <v>196.859456821717</v>
      </c>
      <c r="K1380" s="38" t="n">
        <v>210.105873414799</v>
      </c>
      <c r="L1380" s="38" t="n">
        <v>86.0813343329843</v>
      </c>
      <c r="M1380" s="38" t="n">
        <v>97.569496124408</v>
      </c>
      <c r="N1380" s="38" t="n">
        <v>95.8008436328655</v>
      </c>
      <c r="O1380" s="38" t="n">
        <v>65.4128764142418</v>
      </c>
      <c r="P1380" s="37" t="n">
        <v>0</v>
      </c>
      <c r="Q1380" s="38" t="n">
        <v>0</v>
      </c>
      <c r="R1380" s="38" t="n">
        <v>72</v>
      </c>
      <c r="S1380" s="37" t="n">
        <v>0</v>
      </c>
    </row>
    <row r="1381" customFormat="false" ht="15" hidden="false" customHeight="false" outlineLevel="0" collapsed="false">
      <c r="A1381" s="37" t="n">
        <v>5</v>
      </c>
      <c r="B1381" s="37" t="n">
        <v>5</v>
      </c>
      <c r="C1381" s="37" t="n">
        <v>0</v>
      </c>
      <c r="D1381" s="37" t="n">
        <v>10</v>
      </c>
      <c r="E1381" s="37" t="n">
        <v>0</v>
      </c>
      <c r="F1381" s="37" t="n">
        <v>10</v>
      </c>
      <c r="G1381" s="37" t="s">
        <v>192</v>
      </c>
      <c r="H1381" s="38" t="n">
        <v>198.967228427763</v>
      </c>
      <c r="I1381" s="38" t="n">
        <v>198.304533576814</v>
      </c>
      <c r="J1381" s="38" t="n">
        <v>198.839651655131</v>
      </c>
      <c r="K1381" s="38" t="n">
        <v>212.25876571042</v>
      </c>
      <c r="L1381" s="38" t="n">
        <v>91.1888869751529</v>
      </c>
      <c r="M1381" s="38" t="n">
        <v>94.5625342909724</v>
      </c>
      <c r="N1381" s="38" t="n">
        <v>95.932858335856</v>
      </c>
      <c r="O1381" s="38" t="n">
        <v>65.4766891028147</v>
      </c>
      <c r="P1381" s="37" t="n">
        <v>0</v>
      </c>
      <c r="Q1381" s="38" t="n">
        <v>0</v>
      </c>
      <c r="R1381" s="38" t="n">
        <v>72</v>
      </c>
      <c r="S1381" s="37" t="n">
        <v>0</v>
      </c>
    </row>
    <row r="1382" customFormat="false" ht="15" hidden="false" customHeight="false" outlineLevel="0" collapsed="false">
      <c r="A1382" s="37" t="n">
        <v>5</v>
      </c>
      <c r="B1382" s="37" t="n">
        <v>5</v>
      </c>
      <c r="C1382" s="37" t="n">
        <v>0</v>
      </c>
      <c r="D1382" s="37" t="n">
        <v>10</v>
      </c>
      <c r="E1382" s="37" t="n">
        <v>0</v>
      </c>
      <c r="F1382" s="37" t="n">
        <v>10</v>
      </c>
      <c r="G1382" s="37" t="s">
        <v>195</v>
      </c>
      <c r="H1382" s="38" t="n">
        <v>198.967228427763</v>
      </c>
      <c r="I1382" s="38" t="n">
        <v>198.38850569575</v>
      </c>
      <c r="J1382" s="38" t="n">
        <v>196.955559731224</v>
      </c>
      <c r="K1382" s="38" t="n">
        <v>210.198502585531</v>
      </c>
      <c r="L1382" s="38" t="n">
        <v>96.9485025855307</v>
      </c>
      <c r="M1382" s="38" t="n">
        <v>98.4254183552519</v>
      </c>
      <c r="N1382" s="38" t="n">
        <v>97.7728832175157</v>
      </c>
      <c r="O1382" s="38" t="n">
        <v>64.1896037019533</v>
      </c>
      <c r="P1382" s="37" t="n">
        <v>0</v>
      </c>
      <c r="Q1382" s="38" t="n">
        <v>0</v>
      </c>
      <c r="R1382" s="38" t="n">
        <v>67.2948246204207</v>
      </c>
      <c r="S1382" s="37" t="n">
        <v>0</v>
      </c>
    </row>
    <row r="1383" customFormat="false" ht="15" hidden="false" customHeight="false" outlineLevel="0" collapsed="false">
      <c r="A1383" s="37" t="n">
        <v>5</v>
      </c>
      <c r="B1383" s="37" t="n">
        <v>5</v>
      </c>
      <c r="C1383" s="37" t="n">
        <v>0</v>
      </c>
      <c r="D1383" s="37" t="n">
        <v>10</v>
      </c>
      <c r="E1383" s="37" t="n">
        <v>0</v>
      </c>
      <c r="F1383" s="37" t="n">
        <v>10</v>
      </c>
      <c r="G1383" s="37" t="s">
        <v>197</v>
      </c>
      <c r="H1383" s="38" t="n">
        <v>198.967228427763</v>
      </c>
      <c r="I1383" s="38" t="n">
        <v>198.303753614707</v>
      </c>
      <c r="J1383" s="38" t="n">
        <v>198.100729627525</v>
      </c>
      <c r="K1383" s="38" t="n">
        <v>211.333030042141</v>
      </c>
      <c r="L1383" s="38" t="n">
        <v>89.0787997420156</v>
      </c>
      <c r="M1383" s="38" t="n">
        <v>97.2313339344441</v>
      </c>
      <c r="N1383" s="38" t="n">
        <v>92.6324198730823</v>
      </c>
      <c r="O1383" s="38" t="n">
        <v>62.661357469134</v>
      </c>
      <c r="P1383" s="37" t="n">
        <v>0</v>
      </c>
      <c r="Q1383" s="38" t="n">
        <v>0</v>
      </c>
      <c r="R1383" s="38" t="n">
        <v>72</v>
      </c>
      <c r="S1383" s="37" t="n">
        <v>0</v>
      </c>
    </row>
    <row r="1384" customFormat="false" ht="15" hidden="false" customHeight="false" outlineLevel="0" collapsed="false">
      <c r="A1384" s="37" t="n">
        <v>5</v>
      </c>
      <c r="B1384" s="37" t="n">
        <v>5</v>
      </c>
      <c r="C1384" s="37" t="n">
        <v>0</v>
      </c>
      <c r="D1384" s="37" t="n">
        <v>10</v>
      </c>
      <c r="E1384" s="37" t="n">
        <v>0</v>
      </c>
      <c r="F1384" s="37" t="n">
        <v>10</v>
      </c>
      <c r="G1384" s="37" t="s">
        <v>196</v>
      </c>
      <c r="H1384" s="38" t="n">
        <v>198.967228427763</v>
      </c>
      <c r="I1384" s="38" t="n">
        <v>198.305475573941</v>
      </c>
      <c r="J1384" s="38" t="n">
        <v>191.637545856566</v>
      </c>
      <c r="K1384" s="38" t="n">
        <v>213.897912280757</v>
      </c>
      <c r="L1384" s="38" t="n">
        <v>100.342356725201</v>
      </c>
      <c r="M1384" s="38" t="n">
        <v>99.5132000640534</v>
      </c>
      <c r="N1384" s="38" t="n">
        <v>100.538915456436</v>
      </c>
      <c r="O1384" s="38" t="n">
        <v>64.8970132627024</v>
      </c>
      <c r="P1384" s="37" t="n">
        <v>0</v>
      </c>
      <c r="Q1384" s="38" t="n">
        <v>0</v>
      </c>
      <c r="R1384" s="38" t="n">
        <v>70.604</v>
      </c>
      <c r="S1384" s="37" t="n">
        <v>1</v>
      </c>
    </row>
    <row r="1385" customFormat="false" ht="15" hidden="false" customHeight="false" outlineLevel="0" collapsed="false">
      <c r="A1385" s="37" t="n">
        <v>5</v>
      </c>
      <c r="B1385" s="37" t="n">
        <v>5</v>
      </c>
      <c r="C1385" s="37" t="n">
        <v>0</v>
      </c>
      <c r="D1385" s="37" t="n">
        <v>10</v>
      </c>
      <c r="E1385" s="37" t="n">
        <v>5</v>
      </c>
      <c r="F1385" s="37" t="n">
        <v>5</v>
      </c>
      <c r="G1385" s="37" t="s">
        <v>188</v>
      </c>
      <c r="H1385" s="38" t="n">
        <v>198.977354737417</v>
      </c>
      <c r="I1385" s="38" t="n">
        <v>198.589327974539</v>
      </c>
      <c r="J1385" s="38" t="n">
        <v>200.32406413471</v>
      </c>
      <c r="K1385" s="38" t="n">
        <v>215.768162901944</v>
      </c>
      <c r="L1385" s="38" t="n">
        <v>51.9847991876339</v>
      </c>
      <c r="M1385" s="38" t="n">
        <v>98.8092569109438</v>
      </c>
      <c r="N1385" s="38" t="n">
        <v>104.064767955921</v>
      </c>
      <c r="O1385" s="38" t="n">
        <v>65.563694662306</v>
      </c>
      <c r="P1385" s="37" t="n">
        <v>0</v>
      </c>
      <c r="Q1385" s="38" t="n">
        <v>0</v>
      </c>
      <c r="R1385" s="38" t="n">
        <v>72</v>
      </c>
      <c r="S1385" s="37" t="n">
        <v>0</v>
      </c>
    </row>
    <row r="1386" customFormat="false" ht="15" hidden="false" customHeight="false" outlineLevel="0" collapsed="false">
      <c r="A1386" s="37" t="n">
        <v>5</v>
      </c>
      <c r="B1386" s="37" t="n">
        <v>5</v>
      </c>
      <c r="C1386" s="37" t="n">
        <v>0</v>
      </c>
      <c r="D1386" s="37" t="n">
        <v>10</v>
      </c>
      <c r="E1386" s="37" t="n">
        <v>5</v>
      </c>
      <c r="F1386" s="37" t="n">
        <v>5</v>
      </c>
      <c r="G1386" s="37" t="s">
        <v>192</v>
      </c>
      <c r="H1386" s="38" t="n">
        <v>198.977354737417</v>
      </c>
      <c r="I1386" s="38" t="n">
        <v>198.537374415774</v>
      </c>
      <c r="J1386" s="38" t="n">
        <v>202.067100521444</v>
      </c>
      <c r="K1386" s="38" t="n">
        <v>217.647775086396</v>
      </c>
      <c r="L1386" s="38" t="n">
        <v>56.5546604275872</v>
      </c>
      <c r="M1386" s="38" t="n">
        <v>95.7985354171245</v>
      </c>
      <c r="N1386" s="38" t="n">
        <v>103.710674705638</v>
      </c>
      <c r="O1386" s="38" t="n">
        <v>65.6535390916004</v>
      </c>
      <c r="P1386" s="37" t="n">
        <v>0</v>
      </c>
      <c r="Q1386" s="38" t="n">
        <v>0</v>
      </c>
      <c r="R1386" s="38" t="n">
        <v>72</v>
      </c>
      <c r="S1386" s="37" t="n">
        <v>0</v>
      </c>
    </row>
    <row r="1387" customFormat="false" ht="15" hidden="false" customHeight="false" outlineLevel="0" collapsed="false">
      <c r="A1387" s="37" t="n">
        <v>5</v>
      </c>
      <c r="B1387" s="37" t="n">
        <v>5</v>
      </c>
      <c r="C1387" s="37" t="n">
        <v>0</v>
      </c>
      <c r="D1387" s="37" t="n">
        <v>10</v>
      </c>
      <c r="E1387" s="37" t="n">
        <v>5</v>
      </c>
      <c r="F1387" s="37" t="n">
        <v>5</v>
      </c>
      <c r="G1387" s="37" t="s">
        <v>195</v>
      </c>
      <c r="H1387" s="38" t="n">
        <v>198.977354737417</v>
      </c>
      <c r="I1387" s="38" t="n">
        <v>198.631823367824</v>
      </c>
      <c r="J1387" s="38" t="n">
        <v>200.25149954498</v>
      </c>
      <c r="K1387" s="38" t="n">
        <v>215.798456883947</v>
      </c>
      <c r="L1387" s="38" t="n">
        <v>62.5484568839466</v>
      </c>
      <c r="M1387" s="38" t="n">
        <v>99.6701565020472</v>
      </c>
      <c r="N1387" s="38" t="n">
        <v>105.721483983785</v>
      </c>
      <c r="O1387" s="38" t="n">
        <v>64.6651411059427</v>
      </c>
      <c r="P1387" s="37" t="n">
        <v>0</v>
      </c>
      <c r="Q1387" s="38" t="n">
        <v>0</v>
      </c>
      <c r="R1387" s="38" t="n">
        <v>67.2738126323968</v>
      </c>
      <c r="S1387" s="37" t="n">
        <v>0</v>
      </c>
    </row>
    <row r="1388" customFormat="false" ht="15" hidden="false" customHeight="false" outlineLevel="0" collapsed="false">
      <c r="A1388" s="37" t="n">
        <v>5</v>
      </c>
      <c r="B1388" s="37" t="n">
        <v>5</v>
      </c>
      <c r="C1388" s="37" t="n">
        <v>0</v>
      </c>
      <c r="D1388" s="37" t="n">
        <v>10</v>
      </c>
      <c r="E1388" s="37" t="n">
        <v>5</v>
      </c>
      <c r="F1388" s="37" t="n">
        <v>5</v>
      </c>
      <c r="G1388" s="37" t="s">
        <v>197</v>
      </c>
      <c r="H1388" s="38" t="n">
        <v>198.977354737417</v>
      </c>
      <c r="I1388" s="38" t="n">
        <v>198.547924965566</v>
      </c>
      <c r="J1388" s="38" t="n">
        <v>202.047810113473</v>
      </c>
      <c r="K1388" s="38" t="n">
        <v>217.821478267362</v>
      </c>
      <c r="L1388" s="38" t="n">
        <v>56.1070421885576</v>
      </c>
      <c r="M1388" s="38" t="n">
        <v>101.823507717131</v>
      </c>
      <c r="N1388" s="38" t="n">
        <v>110.233771531995</v>
      </c>
      <c r="O1388" s="38" t="n">
        <v>67.1372020035713</v>
      </c>
      <c r="P1388" s="37" t="n">
        <v>0</v>
      </c>
      <c r="Q1388" s="38" t="n">
        <v>0</v>
      </c>
      <c r="R1388" s="38" t="n">
        <v>72</v>
      </c>
      <c r="S1388" s="37" t="n">
        <v>0</v>
      </c>
    </row>
    <row r="1389" customFormat="false" ht="15" hidden="false" customHeight="false" outlineLevel="0" collapsed="false">
      <c r="A1389" s="37" t="n">
        <v>5</v>
      </c>
      <c r="B1389" s="37" t="n">
        <v>5</v>
      </c>
      <c r="C1389" s="37" t="n">
        <v>0</v>
      </c>
      <c r="D1389" s="37" t="n">
        <v>10</v>
      </c>
      <c r="E1389" s="37" t="n">
        <v>5</v>
      </c>
      <c r="F1389" s="37" t="n">
        <v>5</v>
      </c>
      <c r="G1389" s="37" t="s">
        <v>196</v>
      </c>
      <c r="H1389" s="38" t="n">
        <v>198.977354737417</v>
      </c>
      <c r="I1389" s="38" t="n">
        <v>198.541383074917</v>
      </c>
      <c r="J1389" s="38" t="n">
        <v>202.313118885622</v>
      </c>
      <c r="K1389" s="38" t="n">
        <v>218.09568468278</v>
      </c>
      <c r="L1389" s="38" t="n">
        <v>61.9667957938912</v>
      </c>
      <c r="M1389" s="38" t="n">
        <v>101.393456803285</v>
      </c>
      <c r="N1389" s="38" t="n">
        <v>111.638508428787</v>
      </c>
      <c r="O1389" s="38" t="n">
        <v>67.6503268753644</v>
      </c>
      <c r="P1389" s="37" t="n">
        <v>0</v>
      </c>
      <c r="Q1389" s="38" t="n">
        <v>0</v>
      </c>
      <c r="R1389" s="38" t="n">
        <v>71.0824</v>
      </c>
      <c r="S1389" s="37" t="n">
        <v>1</v>
      </c>
    </row>
    <row r="1390" customFormat="false" ht="15" hidden="false" customHeight="false" outlineLevel="0" collapsed="false">
      <c r="A1390" s="37" t="n">
        <v>5</v>
      </c>
      <c r="B1390" s="37" t="n">
        <v>5</v>
      </c>
      <c r="C1390" s="37" t="n">
        <v>0</v>
      </c>
      <c r="D1390" s="37" t="n">
        <v>10</v>
      </c>
      <c r="E1390" s="37" t="n">
        <v>10</v>
      </c>
      <c r="F1390" s="37" t="n">
        <v>0</v>
      </c>
      <c r="G1390" s="37" t="s">
        <v>188</v>
      </c>
      <c r="H1390" s="38" t="n">
        <v>198.993095443285</v>
      </c>
      <c r="I1390" s="38" t="n">
        <v>198.866225712011</v>
      </c>
      <c r="J1390" s="38" t="n">
        <v>203.02894623031</v>
      </c>
      <c r="K1390" s="38" t="n">
        <v>220.582909242371</v>
      </c>
      <c r="L1390" s="38" t="n">
        <v>28.2770978670394</v>
      </c>
      <c r="M1390" s="38" t="n">
        <v>100.031964307856</v>
      </c>
      <c r="N1390" s="38" t="n">
        <v>99.7284457625533</v>
      </c>
      <c r="O1390" s="38" t="n">
        <v>62.70553198625</v>
      </c>
      <c r="P1390" s="37" t="n">
        <v>0</v>
      </c>
      <c r="Q1390" s="38" t="n">
        <v>0</v>
      </c>
      <c r="R1390" s="38" t="n">
        <v>72</v>
      </c>
      <c r="S1390" s="37" t="n">
        <v>0</v>
      </c>
    </row>
    <row r="1391" customFormat="false" ht="15" hidden="false" customHeight="false" outlineLevel="0" collapsed="false">
      <c r="A1391" s="37" t="n">
        <v>5</v>
      </c>
      <c r="B1391" s="37" t="n">
        <v>5</v>
      </c>
      <c r="C1391" s="37" t="n">
        <v>0</v>
      </c>
      <c r="D1391" s="37" t="n">
        <v>10</v>
      </c>
      <c r="E1391" s="37" t="n">
        <v>10</v>
      </c>
      <c r="F1391" s="37" t="n">
        <v>0</v>
      </c>
      <c r="G1391" s="37" t="s">
        <v>192</v>
      </c>
      <c r="H1391" s="38" t="n">
        <v>198.993095443285</v>
      </c>
      <c r="I1391" s="38" t="n">
        <v>198.814859139819</v>
      </c>
      <c r="J1391" s="38" t="n">
        <v>204.710983023942</v>
      </c>
      <c r="K1391" s="38" t="n">
        <v>222.369536649148</v>
      </c>
      <c r="L1391" s="38" t="n">
        <v>32.5084385947486</v>
      </c>
      <c r="M1391" s="38" t="n">
        <v>97.0224072944609</v>
      </c>
      <c r="N1391" s="38" t="n">
        <v>103.062607983806</v>
      </c>
      <c r="O1391" s="38" t="n">
        <v>63.0359671831801</v>
      </c>
      <c r="P1391" s="37" t="n">
        <v>0</v>
      </c>
      <c r="Q1391" s="38" t="n">
        <v>0</v>
      </c>
      <c r="R1391" s="38" t="n">
        <v>72</v>
      </c>
      <c r="S1391" s="37" t="n">
        <v>0</v>
      </c>
    </row>
    <row r="1392" customFormat="false" ht="15" hidden="false" customHeight="false" outlineLevel="0" collapsed="false">
      <c r="A1392" s="37" t="n">
        <v>5</v>
      </c>
      <c r="B1392" s="37" t="n">
        <v>5</v>
      </c>
      <c r="C1392" s="37" t="n">
        <v>0</v>
      </c>
      <c r="D1392" s="37" t="n">
        <v>10</v>
      </c>
      <c r="E1392" s="37" t="n">
        <v>10</v>
      </c>
      <c r="F1392" s="37" t="n">
        <v>0</v>
      </c>
      <c r="G1392" s="37" t="s">
        <v>195</v>
      </c>
      <c r="H1392" s="38" t="n">
        <v>198.993095443285</v>
      </c>
      <c r="I1392" s="38" t="n">
        <v>198.91948750921</v>
      </c>
      <c r="J1392" s="38" t="n">
        <v>203.043048667504</v>
      </c>
      <c r="K1392" s="38" t="n">
        <v>220.704014899797</v>
      </c>
      <c r="L1392" s="38" t="n">
        <v>27.4540148997971</v>
      </c>
      <c r="M1392" s="38" t="n">
        <v>100.904982890764</v>
      </c>
      <c r="N1392" s="38" t="n">
        <v>101.344308181773</v>
      </c>
      <c r="O1392" s="38" t="n">
        <v>64.8541435330808</v>
      </c>
      <c r="P1392" s="37" t="n">
        <v>0</v>
      </c>
      <c r="Q1392" s="38" t="n">
        <v>0</v>
      </c>
      <c r="R1392" s="38" t="n">
        <v>67.258449438773</v>
      </c>
      <c r="S1392" s="37" t="n">
        <v>0</v>
      </c>
    </row>
    <row r="1393" customFormat="false" ht="15" hidden="false" customHeight="false" outlineLevel="0" collapsed="false">
      <c r="A1393" s="37" t="n">
        <v>5</v>
      </c>
      <c r="B1393" s="37" t="n">
        <v>5</v>
      </c>
      <c r="C1393" s="37" t="n">
        <v>0</v>
      </c>
      <c r="D1393" s="37" t="n">
        <v>10</v>
      </c>
      <c r="E1393" s="37" t="n">
        <v>10</v>
      </c>
      <c r="F1393" s="37" t="n">
        <v>0</v>
      </c>
      <c r="G1393" s="37" t="s">
        <v>197</v>
      </c>
      <c r="H1393" s="38" t="n">
        <v>198.993095443285</v>
      </c>
      <c r="I1393" s="38" t="n">
        <v>198.846599412879</v>
      </c>
      <c r="J1393" s="38" t="n">
        <v>205.769481791139</v>
      </c>
      <c r="K1393" s="38" t="n">
        <v>224.007760858466</v>
      </c>
      <c r="L1393" s="38" t="n">
        <v>37.9852375162357</v>
      </c>
      <c r="M1393" s="38" t="n">
        <v>105.675690354768</v>
      </c>
      <c r="N1393" s="38" t="n">
        <v>123.050985288609</v>
      </c>
      <c r="O1393" s="38" t="n">
        <v>66.5382885231604</v>
      </c>
      <c r="P1393" s="37" t="n">
        <v>0</v>
      </c>
      <c r="Q1393" s="38" t="n">
        <v>0</v>
      </c>
      <c r="R1393" s="38" t="n">
        <v>72</v>
      </c>
      <c r="S1393" s="37" t="n">
        <v>1</v>
      </c>
    </row>
    <row r="1394" customFormat="false" ht="15" hidden="false" customHeight="false" outlineLevel="0" collapsed="false">
      <c r="A1394" s="37" t="n">
        <v>5</v>
      </c>
      <c r="B1394" s="37" t="n">
        <v>5</v>
      </c>
      <c r="C1394" s="37" t="n">
        <v>0</v>
      </c>
      <c r="D1394" s="37" t="n">
        <v>10</v>
      </c>
      <c r="E1394" s="37" t="n">
        <v>10</v>
      </c>
      <c r="F1394" s="37" t="n">
        <v>0</v>
      </c>
      <c r="G1394" s="37" t="s">
        <v>196</v>
      </c>
      <c r="H1394" s="38" t="n">
        <v>198.993095443285</v>
      </c>
      <c r="I1394" s="38" t="n">
        <v>198.821065616893</v>
      </c>
      <c r="J1394" s="38" t="n">
        <v>204.936361785192</v>
      </c>
      <c r="K1394" s="38" t="n">
        <v>222.842067714529</v>
      </c>
      <c r="L1394" s="38" t="n">
        <v>37.2687343811959</v>
      </c>
      <c r="M1394" s="38" t="n">
        <v>103.112005252207</v>
      </c>
      <c r="N1394" s="38" t="n">
        <v>116.502059054163</v>
      </c>
      <c r="O1394" s="38" t="n">
        <v>65.5071586266244</v>
      </c>
      <c r="P1394" s="37" t="n">
        <v>0</v>
      </c>
      <c r="Q1394" s="38" t="n">
        <v>0</v>
      </c>
      <c r="R1394" s="38" t="n">
        <v>71.0824</v>
      </c>
      <c r="S1394" s="37" t="n">
        <v>0</v>
      </c>
    </row>
    <row r="1395" customFormat="false" ht="15" hidden="false" customHeight="false" outlineLevel="0" collapsed="false">
      <c r="A1395" s="37" t="n">
        <v>5</v>
      </c>
      <c r="B1395" s="37" t="n">
        <v>5</v>
      </c>
      <c r="C1395" s="37" t="n">
        <v>0</v>
      </c>
      <c r="D1395" s="37" t="n">
        <v>15</v>
      </c>
      <c r="E1395" s="37" t="n">
        <v>0</v>
      </c>
      <c r="F1395" s="37" t="n">
        <v>5</v>
      </c>
      <c r="G1395" s="37" t="s">
        <v>188</v>
      </c>
      <c r="H1395" s="38" t="n">
        <v>199.120978069549</v>
      </c>
      <c r="I1395" s="38" t="n">
        <v>199.000450846869</v>
      </c>
      <c r="J1395" s="38" t="n">
        <v>199.42963251986</v>
      </c>
      <c r="K1395" s="38" t="n">
        <v>207.80936309986</v>
      </c>
      <c r="L1395" s="38" t="n">
        <v>44.2085488504073</v>
      </c>
      <c r="M1395" s="38" t="n">
        <v>97.8726642304706</v>
      </c>
      <c r="N1395" s="38" t="n">
        <v>97.5463705439917</v>
      </c>
      <c r="O1395" s="38" t="n">
        <v>64.4457587423385</v>
      </c>
      <c r="P1395" s="37" t="n">
        <v>0</v>
      </c>
      <c r="Q1395" s="38" t="n">
        <v>0</v>
      </c>
      <c r="R1395" s="38" t="n">
        <v>72</v>
      </c>
      <c r="S1395" s="37" t="n">
        <v>0</v>
      </c>
    </row>
    <row r="1396" customFormat="false" ht="15" hidden="false" customHeight="false" outlineLevel="0" collapsed="false">
      <c r="A1396" s="37" t="n">
        <v>5</v>
      </c>
      <c r="B1396" s="37" t="n">
        <v>5</v>
      </c>
      <c r="C1396" s="37" t="n">
        <v>0</v>
      </c>
      <c r="D1396" s="37" t="n">
        <v>15</v>
      </c>
      <c r="E1396" s="37" t="n">
        <v>0</v>
      </c>
      <c r="F1396" s="37" t="n">
        <v>5</v>
      </c>
      <c r="G1396" s="37" t="s">
        <v>192</v>
      </c>
      <c r="H1396" s="38" t="n">
        <v>199.120978069549</v>
      </c>
      <c r="I1396" s="38" t="n">
        <v>198.943947040905</v>
      </c>
      <c r="J1396" s="38" t="n">
        <v>201.238071778869</v>
      </c>
      <c r="K1396" s="38" t="n">
        <v>209.728159081613</v>
      </c>
      <c r="L1396" s="38" t="n">
        <v>48.8625394174161</v>
      </c>
      <c r="M1396" s="38" t="n">
        <v>94.8526777224185</v>
      </c>
      <c r="N1396" s="38" t="n">
        <v>97.4112650107153</v>
      </c>
      <c r="O1396" s="38" t="n">
        <v>64.3318843344027</v>
      </c>
      <c r="P1396" s="37" t="n">
        <v>0</v>
      </c>
      <c r="Q1396" s="38" t="n">
        <v>0</v>
      </c>
      <c r="R1396" s="38" t="n">
        <v>72</v>
      </c>
      <c r="S1396" s="37" t="n">
        <v>0</v>
      </c>
    </row>
    <row r="1397" customFormat="false" ht="15" hidden="false" customHeight="false" outlineLevel="0" collapsed="false">
      <c r="A1397" s="37" t="n">
        <v>5</v>
      </c>
      <c r="B1397" s="37" t="n">
        <v>5</v>
      </c>
      <c r="C1397" s="37" t="n">
        <v>0</v>
      </c>
      <c r="D1397" s="37" t="n">
        <v>15</v>
      </c>
      <c r="E1397" s="37" t="n">
        <v>0</v>
      </c>
      <c r="F1397" s="37" t="n">
        <v>5</v>
      </c>
      <c r="G1397" s="37" t="s">
        <v>195</v>
      </c>
      <c r="H1397" s="38" t="n">
        <v>199.120978069549</v>
      </c>
      <c r="I1397" s="38" t="n">
        <v>199.084974121164</v>
      </c>
      <c r="J1397" s="38" t="n">
        <v>200.428174101034</v>
      </c>
      <c r="K1397" s="38" t="n">
        <v>209.377347854701</v>
      </c>
      <c r="L1397" s="38" t="n">
        <v>56.1273478547005</v>
      </c>
      <c r="M1397" s="38" t="n">
        <v>99.6433636636647</v>
      </c>
      <c r="N1397" s="38" t="n">
        <v>101.071494492198</v>
      </c>
      <c r="O1397" s="38" t="n">
        <v>63.9333470430701</v>
      </c>
      <c r="P1397" s="37" t="n">
        <v>0</v>
      </c>
      <c r="Q1397" s="38" t="n">
        <v>0</v>
      </c>
      <c r="R1397" s="38" t="n">
        <v>67.36</v>
      </c>
      <c r="S1397" s="37" t="n">
        <v>0</v>
      </c>
    </row>
    <row r="1398" customFormat="false" ht="15" hidden="false" customHeight="false" outlineLevel="0" collapsed="false">
      <c r="A1398" s="37" t="n">
        <v>5</v>
      </c>
      <c r="B1398" s="37" t="n">
        <v>5</v>
      </c>
      <c r="C1398" s="37" t="n">
        <v>0</v>
      </c>
      <c r="D1398" s="37" t="n">
        <v>15</v>
      </c>
      <c r="E1398" s="37" t="n">
        <v>0</v>
      </c>
      <c r="F1398" s="37" t="n">
        <v>5</v>
      </c>
      <c r="G1398" s="37" t="s">
        <v>197</v>
      </c>
      <c r="H1398" s="38" t="n">
        <v>199.120978069549</v>
      </c>
      <c r="I1398" s="38" t="n">
        <v>198.943293156149</v>
      </c>
      <c r="J1398" s="38" t="n">
        <v>200.525131265877</v>
      </c>
      <c r="K1398" s="38" t="n">
        <v>208.842544850941</v>
      </c>
      <c r="L1398" s="38" t="n">
        <v>46.7661850543249</v>
      </c>
      <c r="M1398" s="38" t="n">
        <v>97.5385013529845</v>
      </c>
      <c r="N1398" s="38" t="n">
        <v>94.253671363846</v>
      </c>
      <c r="O1398" s="38" t="n">
        <v>61.7135035835184</v>
      </c>
      <c r="P1398" s="37" t="n">
        <v>0</v>
      </c>
      <c r="Q1398" s="38" t="n">
        <v>0</v>
      </c>
      <c r="R1398" s="38" t="n">
        <v>72</v>
      </c>
      <c r="S1398" s="37" t="n">
        <v>0</v>
      </c>
    </row>
    <row r="1399" customFormat="false" ht="15" hidden="false" customHeight="false" outlineLevel="0" collapsed="false">
      <c r="A1399" s="37" t="n">
        <v>5</v>
      </c>
      <c r="B1399" s="37" t="n">
        <v>5</v>
      </c>
      <c r="C1399" s="37" t="n">
        <v>0</v>
      </c>
      <c r="D1399" s="37" t="n">
        <v>15</v>
      </c>
      <c r="E1399" s="37" t="n">
        <v>0</v>
      </c>
      <c r="F1399" s="37" t="n">
        <v>5</v>
      </c>
      <c r="G1399" s="37" t="s">
        <v>196</v>
      </c>
      <c r="H1399" s="38" t="n">
        <v>199.120978069549</v>
      </c>
      <c r="I1399" s="38" t="n">
        <v>198.944950394794</v>
      </c>
      <c r="J1399" s="38" t="n">
        <v>193.918030175398</v>
      </c>
      <c r="K1399" s="38" t="n">
        <v>211.194982643285</v>
      </c>
      <c r="L1399" s="38" t="n">
        <v>57.6394270877297</v>
      </c>
      <c r="M1399" s="38" t="n">
        <v>100.116411312029</v>
      </c>
      <c r="N1399" s="38" t="n">
        <v>101.835889040643</v>
      </c>
      <c r="O1399" s="38" t="n">
        <v>63.6622617015996</v>
      </c>
      <c r="P1399" s="37" t="n">
        <v>0</v>
      </c>
      <c r="Q1399" s="38" t="n">
        <v>0</v>
      </c>
      <c r="R1399" s="38" t="n">
        <v>70.604</v>
      </c>
      <c r="S1399" s="37" t="n">
        <v>1</v>
      </c>
    </row>
    <row r="1400" customFormat="false" ht="15" hidden="false" customHeight="false" outlineLevel="0" collapsed="false">
      <c r="A1400" s="37" t="n">
        <v>5</v>
      </c>
      <c r="B1400" s="37" t="n">
        <v>5</v>
      </c>
      <c r="C1400" s="37" t="n">
        <v>0</v>
      </c>
      <c r="D1400" s="37" t="n">
        <v>15</v>
      </c>
      <c r="E1400" s="37" t="n">
        <v>5</v>
      </c>
      <c r="F1400" s="37" t="n">
        <v>0</v>
      </c>
      <c r="G1400" s="37" t="s">
        <v>188</v>
      </c>
      <c r="H1400" s="38" t="n">
        <v>199.128431341299</v>
      </c>
      <c r="I1400" s="38" t="n">
        <v>199.22551896135</v>
      </c>
      <c r="J1400" s="38" t="n">
        <v>202.779178622738</v>
      </c>
      <c r="K1400" s="38" t="n">
        <v>213.241158471841</v>
      </c>
      <c r="L1400" s="38" t="n">
        <v>24.9883706799934</v>
      </c>
      <c r="M1400" s="38" t="n">
        <v>99.0933987134194</v>
      </c>
      <c r="N1400" s="38" t="n">
        <v>91.9679360583483</v>
      </c>
      <c r="O1400" s="38" t="n">
        <v>61.9538800355919</v>
      </c>
      <c r="P1400" s="37" t="n">
        <v>0</v>
      </c>
      <c r="Q1400" s="38" t="n">
        <v>0.011629320006616</v>
      </c>
      <c r="R1400" s="38" t="n">
        <v>72</v>
      </c>
      <c r="S1400" s="37" t="n">
        <v>0</v>
      </c>
    </row>
    <row r="1401" customFormat="false" ht="15" hidden="false" customHeight="false" outlineLevel="0" collapsed="false">
      <c r="A1401" s="37" t="n">
        <v>5</v>
      </c>
      <c r="B1401" s="37" t="n">
        <v>5</v>
      </c>
      <c r="C1401" s="37" t="n">
        <v>0</v>
      </c>
      <c r="D1401" s="37" t="n">
        <v>15</v>
      </c>
      <c r="E1401" s="37" t="n">
        <v>5</v>
      </c>
      <c r="F1401" s="37" t="n">
        <v>0</v>
      </c>
      <c r="G1401" s="37" t="s">
        <v>192</v>
      </c>
      <c r="H1401" s="38" t="n">
        <v>199.128431341299</v>
      </c>
      <c r="I1401" s="38" t="n">
        <v>199.169112303106</v>
      </c>
      <c r="J1401" s="38" t="n">
        <v>204.49993945819</v>
      </c>
      <c r="K1401" s="38" t="n">
        <v>215.016664229559</v>
      </c>
      <c r="L1401" s="38" t="n">
        <v>25.3725513272785</v>
      </c>
      <c r="M1401" s="38" t="n">
        <v>96.0689863634029</v>
      </c>
      <c r="N1401" s="38" t="n">
        <v>92.1405609791253</v>
      </c>
      <c r="O1401" s="38" t="n">
        <v>61.9683330218171</v>
      </c>
      <c r="P1401" s="37" t="n">
        <v>0</v>
      </c>
      <c r="Q1401" s="38" t="n">
        <v>0</v>
      </c>
      <c r="R1401" s="38" t="n">
        <v>72</v>
      </c>
      <c r="S1401" s="37" t="n">
        <v>0</v>
      </c>
    </row>
    <row r="1402" customFormat="false" ht="15" hidden="false" customHeight="false" outlineLevel="0" collapsed="false">
      <c r="A1402" s="37" t="n">
        <v>5</v>
      </c>
      <c r="B1402" s="37" t="n">
        <v>5</v>
      </c>
      <c r="C1402" s="37" t="n">
        <v>0</v>
      </c>
      <c r="D1402" s="37" t="n">
        <v>15</v>
      </c>
      <c r="E1402" s="37" t="n">
        <v>5</v>
      </c>
      <c r="F1402" s="37" t="n">
        <v>0</v>
      </c>
      <c r="G1402" s="37" t="s">
        <v>195</v>
      </c>
      <c r="H1402" s="38" t="n">
        <v>199.128431341299</v>
      </c>
      <c r="I1402" s="38" t="n">
        <v>199.323771578779</v>
      </c>
      <c r="J1402" s="38" t="n">
        <v>203.891543563422</v>
      </c>
      <c r="K1402" s="38" t="n">
        <v>215.026988769715</v>
      </c>
      <c r="L1402" s="38" t="n">
        <v>33.0269887697151</v>
      </c>
      <c r="M1402" s="38" t="n">
        <v>100.85660722052</v>
      </c>
      <c r="N1402" s="38" t="n">
        <v>103.110163625957</v>
      </c>
      <c r="O1402" s="38" t="n">
        <v>62.0895286410437</v>
      </c>
      <c r="P1402" s="37" t="n">
        <v>0</v>
      </c>
      <c r="Q1402" s="38" t="n">
        <v>0</v>
      </c>
      <c r="R1402" s="38" t="n">
        <v>67.36</v>
      </c>
      <c r="S1402" s="37" t="n">
        <v>0</v>
      </c>
    </row>
    <row r="1403" customFormat="false" ht="15" hidden="false" customHeight="false" outlineLevel="0" collapsed="false">
      <c r="A1403" s="37" t="n">
        <v>5</v>
      </c>
      <c r="B1403" s="37" t="n">
        <v>5</v>
      </c>
      <c r="C1403" s="37" t="n">
        <v>0</v>
      </c>
      <c r="D1403" s="37" t="n">
        <v>15</v>
      </c>
      <c r="E1403" s="37" t="n">
        <v>5</v>
      </c>
      <c r="F1403" s="37" t="n">
        <v>0</v>
      </c>
      <c r="G1403" s="37" t="s">
        <v>197</v>
      </c>
      <c r="H1403" s="38" t="n">
        <v>199.128431341299</v>
      </c>
      <c r="I1403" s="38" t="n">
        <v>199.180624150051</v>
      </c>
      <c r="J1403" s="38" t="n">
        <v>204.537487922047</v>
      </c>
      <c r="K1403" s="38" t="n">
        <v>215.245602204374</v>
      </c>
      <c r="L1403" s="38" t="n">
        <v>28.7009839143708</v>
      </c>
      <c r="M1403" s="38" t="n">
        <v>102.087937617808</v>
      </c>
      <c r="N1403" s="38" t="n">
        <v>101.487042765435</v>
      </c>
      <c r="O1403" s="38" t="n">
        <v>63.6966674559026</v>
      </c>
      <c r="P1403" s="37" t="n">
        <v>0</v>
      </c>
      <c r="Q1403" s="38" t="n">
        <v>0</v>
      </c>
      <c r="R1403" s="38" t="n">
        <v>72</v>
      </c>
      <c r="S1403" s="37" t="n">
        <v>0</v>
      </c>
    </row>
    <row r="1404" customFormat="false" ht="15" hidden="false" customHeight="false" outlineLevel="0" collapsed="false">
      <c r="A1404" s="37" t="n">
        <v>5</v>
      </c>
      <c r="B1404" s="37" t="n">
        <v>5</v>
      </c>
      <c r="C1404" s="37" t="n">
        <v>0</v>
      </c>
      <c r="D1404" s="37" t="n">
        <v>15</v>
      </c>
      <c r="E1404" s="37" t="n">
        <v>5</v>
      </c>
      <c r="F1404" s="37" t="n">
        <v>0</v>
      </c>
      <c r="G1404" s="37" t="s">
        <v>196</v>
      </c>
      <c r="H1404" s="38" t="n">
        <v>199.128431341299</v>
      </c>
      <c r="I1404" s="38" t="n">
        <v>199.173583363293</v>
      </c>
      <c r="J1404" s="38" t="n">
        <v>204.673603810426</v>
      </c>
      <c r="K1404" s="38" t="n">
        <v>215.385927593668</v>
      </c>
      <c r="L1404" s="38" t="n">
        <v>29.8125942603341</v>
      </c>
      <c r="M1404" s="38" t="n">
        <v>101.964192267456</v>
      </c>
      <c r="N1404" s="38" t="n">
        <v>103.88212671249</v>
      </c>
      <c r="O1404" s="38" t="n">
        <v>63.8290833012827</v>
      </c>
      <c r="P1404" s="37" t="n">
        <v>0</v>
      </c>
      <c r="Q1404" s="38" t="n">
        <v>0</v>
      </c>
      <c r="R1404" s="38" t="n">
        <v>71.0824</v>
      </c>
      <c r="S1404" s="37" t="n">
        <v>1</v>
      </c>
    </row>
    <row r="1405" customFormat="false" ht="15" hidden="false" customHeight="false" outlineLevel="0" collapsed="false">
      <c r="A1405" s="37" t="n">
        <v>5</v>
      </c>
      <c r="B1405" s="37" t="n">
        <v>5</v>
      </c>
      <c r="C1405" s="37" t="n">
        <v>0</v>
      </c>
      <c r="D1405" s="37" t="n">
        <v>20</v>
      </c>
      <c r="E1405" s="37" t="n">
        <v>0</v>
      </c>
      <c r="F1405" s="37" t="n">
        <v>0</v>
      </c>
      <c r="G1405" s="37" t="s">
        <v>188</v>
      </c>
      <c r="H1405" s="38" t="n">
        <v>199.279789708482</v>
      </c>
      <c r="I1405" s="38" t="n">
        <v>199.618438972896</v>
      </c>
      <c r="J1405" s="38" t="n">
        <v>201.566909752893</v>
      </c>
      <c r="K1405" s="38" t="n">
        <v>204.920812917405</v>
      </c>
      <c r="L1405" s="38" t="n">
        <v>24.9674234063157</v>
      </c>
      <c r="M1405" s="38" t="n">
        <v>98.1220374500063</v>
      </c>
      <c r="N1405" s="38" t="n">
        <v>85.1663433896662</v>
      </c>
      <c r="O1405" s="38" t="n">
        <v>61.0082577336013</v>
      </c>
      <c r="P1405" s="37" t="n">
        <v>0</v>
      </c>
      <c r="Q1405" s="38" t="n">
        <v>0.0325765936843538</v>
      </c>
      <c r="R1405" s="38" t="n">
        <v>72</v>
      </c>
      <c r="S1405" s="37" t="n">
        <v>0</v>
      </c>
    </row>
    <row r="1406" customFormat="false" ht="15" hidden="false" customHeight="false" outlineLevel="0" collapsed="false">
      <c r="A1406" s="37" t="n">
        <v>5</v>
      </c>
      <c r="B1406" s="37" t="n">
        <v>5</v>
      </c>
      <c r="C1406" s="37" t="n">
        <v>0</v>
      </c>
      <c r="D1406" s="37" t="n">
        <v>20</v>
      </c>
      <c r="E1406" s="37" t="n">
        <v>0</v>
      </c>
      <c r="F1406" s="37" t="n">
        <v>0</v>
      </c>
      <c r="G1406" s="37" t="s">
        <v>192</v>
      </c>
      <c r="H1406" s="38" t="n">
        <v>199.279789708482</v>
      </c>
      <c r="I1406" s="38" t="n">
        <v>199.557689676664</v>
      </c>
      <c r="J1406" s="38" t="n">
        <v>203.305045172112</v>
      </c>
      <c r="K1406" s="38" t="n">
        <v>206.52089673888</v>
      </c>
      <c r="L1406" s="38" t="n">
        <v>24.9565925467608</v>
      </c>
      <c r="M1406" s="38" t="n">
        <v>95.0893209207847</v>
      </c>
      <c r="N1406" s="38" t="n">
        <v>84.9834883060267</v>
      </c>
      <c r="O1406" s="38" t="n">
        <v>60.7408257250781</v>
      </c>
      <c r="P1406" s="37" t="n">
        <v>0</v>
      </c>
      <c r="Q1406" s="38" t="n">
        <v>0.0434074532391797</v>
      </c>
      <c r="R1406" s="38" t="n">
        <v>72</v>
      </c>
      <c r="S1406" s="37" t="n">
        <v>0</v>
      </c>
    </row>
    <row r="1407" customFormat="false" ht="15" hidden="false" customHeight="false" outlineLevel="0" collapsed="false">
      <c r="A1407" s="37" t="n">
        <v>5</v>
      </c>
      <c r="B1407" s="37" t="n">
        <v>5</v>
      </c>
      <c r="C1407" s="37" t="n">
        <v>0</v>
      </c>
      <c r="D1407" s="37" t="n">
        <v>20</v>
      </c>
      <c r="E1407" s="37" t="n">
        <v>0</v>
      </c>
      <c r="F1407" s="37" t="n">
        <v>0</v>
      </c>
      <c r="G1407" s="37" t="s">
        <v>195</v>
      </c>
      <c r="H1407" s="38" t="n">
        <v>199.279789708482</v>
      </c>
      <c r="I1407" s="38" t="n">
        <v>199.766880491806</v>
      </c>
      <c r="J1407" s="38" t="n">
        <v>203.352089639772</v>
      </c>
      <c r="K1407" s="38" t="n">
        <v>207.540790277902</v>
      </c>
      <c r="L1407" s="38" t="n">
        <v>25.5407902779021</v>
      </c>
      <c r="M1407" s="38" t="n">
        <v>100.823284097117</v>
      </c>
      <c r="N1407" s="38" t="n">
        <v>90.6160006620155</v>
      </c>
      <c r="O1407" s="38" t="n">
        <v>60.9764573803776</v>
      </c>
      <c r="P1407" s="37" t="n">
        <v>0</v>
      </c>
      <c r="Q1407" s="38" t="n">
        <v>0</v>
      </c>
      <c r="R1407" s="38" t="n">
        <v>67.36</v>
      </c>
      <c r="S1407" s="37" t="n">
        <v>1</v>
      </c>
    </row>
    <row r="1408" customFormat="false" ht="15" hidden="false" customHeight="false" outlineLevel="0" collapsed="false">
      <c r="A1408" s="37" t="n">
        <v>5</v>
      </c>
      <c r="B1408" s="37" t="n">
        <v>5</v>
      </c>
      <c r="C1408" s="37" t="n">
        <v>0</v>
      </c>
      <c r="D1408" s="37" t="n">
        <v>20</v>
      </c>
      <c r="E1408" s="37" t="n">
        <v>0</v>
      </c>
      <c r="F1408" s="37" t="n">
        <v>0</v>
      </c>
      <c r="G1408" s="37" t="s">
        <v>197</v>
      </c>
      <c r="H1408" s="38" t="n">
        <v>199.279789708482</v>
      </c>
      <c r="I1408" s="38" t="n">
        <v>199.557189365119</v>
      </c>
      <c r="J1408" s="38" t="n">
        <v>202.642743571562</v>
      </c>
      <c r="K1408" s="38" t="n">
        <v>205.664002004337</v>
      </c>
      <c r="L1408" s="38" t="n">
        <v>24.9688857362407</v>
      </c>
      <c r="M1408" s="38" t="n">
        <v>97.792634616794</v>
      </c>
      <c r="N1408" s="38" t="n">
        <v>81.6376633923015</v>
      </c>
      <c r="O1408" s="38" t="n">
        <v>58.2245228322851</v>
      </c>
      <c r="P1408" s="37" t="n">
        <v>0</v>
      </c>
      <c r="Q1408" s="38" t="n">
        <v>0.0311142637592923</v>
      </c>
      <c r="R1408" s="38" t="n">
        <v>72</v>
      </c>
      <c r="S1408" s="37" t="n">
        <v>0</v>
      </c>
    </row>
    <row r="1409" customFormat="false" ht="15" hidden="false" customHeight="false" outlineLevel="0" collapsed="false">
      <c r="A1409" s="37" t="n">
        <v>5</v>
      </c>
      <c r="B1409" s="37" t="n">
        <v>5</v>
      </c>
      <c r="C1409" s="37" t="n">
        <v>0</v>
      </c>
      <c r="D1409" s="37" t="n">
        <v>20</v>
      </c>
      <c r="E1409" s="37" t="n">
        <v>0</v>
      </c>
      <c r="F1409" s="37" t="n">
        <v>0</v>
      </c>
      <c r="G1409" s="37" t="s">
        <v>196</v>
      </c>
      <c r="H1409" s="38" t="n">
        <v>199.279789708482</v>
      </c>
      <c r="I1409" s="38" t="n">
        <v>199.558742340615</v>
      </c>
      <c r="J1409" s="38" t="n">
        <v>195.927246782489</v>
      </c>
      <c r="K1409" s="38" t="n">
        <v>207.860370216488</v>
      </c>
      <c r="L1409" s="38" t="n">
        <v>24.9993027070151</v>
      </c>
      <c r="M1409" s="38" t="n">
        <v>100.661204428972</v>
      </c>
      <c r="N1409" s="38" t="n">
        <v>89.4971996691291</v>
      </c>
      <c r="O1409" s="38" t="n">
        <v>59.7228825384949</v>
      </c>
      <c r="P1409" s="37" t="n">
        <v>0</v>
      </c>
      <c r="Q1409" s="38" t="n">
        <v>0.000697292984881415</v>
      </c>
      <c r="R1409" s="38" t="n">
        <v>70.604</v>
      </c>
      <c r="S1409" s="37" t="n">
        <v>0</v>
      </c>
    </row>
    <row r="1410" customFormat="false" ht="15" hidden="false" customHeight="false" outlineLevel="0" collapsed="false">
      <c r="A1410" s="37" t="n">
        <v>5</v>
      </c>
      <c r="B1410" s="37" t="n">
        <v>5</v>
      </c>
      <c r="C1410" s="37" t="n">
        <v>5</v>
      </c>
      <c r="D1410" s="37" t="n">
        <v>0</v>
      </c>
      <c r="E1410" s="37" t="n">
        <v>0</v>
      </c>
      <c r="F1410" s="37" t="n">
        <v>15</v>
      </c>
      <c r="G1410" s="37" t="s">
        <v>188</v>
      </c>
      <c r="H1410" s="38" t="n">
        <v>198.69829772401</v>
      </c>
      <c r="I1410" s="38" t="n">
        <v>198.505052452882</v>
      </c>
      <c r="J1410" s="38" t="n">
        <v>207.770048414293</v>
      </c>
      <c r="K1410" s="38" t="n">
        <v>243.180338555069</v>
      </c>
      <c r="L1410" s="38" t="n">
        <v>159.255478724883</v>
      </c>
      <c r="M1410" s="38" t="n">
        <v>101.62321966817</v>
      </c>
      <c r="N1410" s="38" t="n">
        <v>123.882478336481</v>
      </c>
      <c r="O1410" s="38" t="n">
        <v>71.2327088223883</v>
      </c>
      <c r="P1410" s="37" t="n">
        <v>0</v>
      </c>
      <c r="Q1410" s="38" t="n">
        <v>0</v>
      </c>
      <c r="R1410" s="38" t="n">
        <v>70.5</v>
      </c>
      <c r="S1410" s="37" t="n">
        <v>1</v>
      </c>
    </row>
    <row r="1411" customFormat="false" ht="15" hidden="false" customHeight="false" outlineLevel="0" collapsed="false">
      <c r="A1411" s="37" t="n">
        <v>5</v>
      </c>
      <c r="B1411" s="37" t="n">
        <v>5</v>
      </c>
      <c r="C1411" s="37" t="n">
        <v>5</v>
      </c>
      <c r="D1411" s="37" t="n">
        <v>0</v>
      </c>
      <c r="E1411" s="37" t="n">
        <v>0</v>
      </c>
      <c r="F1411" s="37" t="n">
        <v>15</v>
      </c>
      <c r="G1411" s="37" t="s">
        <v>192</v>
      </c>
      <c r="H1411" s="38" t="n">
        <v>198.69829772401</v>
      </c>
      <c r="I1411" s="38" t="n">
        <v>198.422901366383</v>
      </c>
      <c r="J1411" s="38" t="n">
        <v>208.23913032274</v>
      </c>
      <c r="K1411" s="38" t="n">
        <v>243.113311677352</v>
      </c>
      <c r="L1411" s="38" t="n">
        <v>161.899014705048</v>
      </c>
      <c r="M1411" s="38" t="n">
        <v>98.5366085759071</v>
      </c>
      <c r="N1411" s="38" t="n">
        <v>121.448024875558</v>
      </c>
      <c r="O1411" s="38" t="n">
        <v>70.2533727170991</v>
      </c>
      <c r="P1411" s="37" t="n">
        <v>0</v>
      </c>
      <c r="Q1411" s="38" t="n">
        <v>0</v>
      </c>
      <c r="R1411" s="38" t="n">
        <v>70.5</v>
      </c>
      <c r="S1411" s="37" t="n">
        <v>0</v>
      </c>
    </row>
    <row r="1412" customFormat="false" ht="15" hidden="false" customHeight="false" outlineLevel="0" collapsed="false">
      <c r="A1412" s="37" t="n">
        <v>5</v>
      </c>
      <c r="B1412" s="37" t="n">
        <v>5</v>
      </c>
      <c r="C1412" s="37" t="n">
        <v>5</v>
      </c>
      <c r="D1412" s="37" t="n">
        <v>0</v>
      </c>
      <c r="E1412" s="37" t="n">
        <v>0</v>
      </c>
      <c r="F1412" s="37" t="n">
        <v>15</v>
      </c>
      <c r="G1412" s="37" t="s">
        <v>195</v>
      </c>
      <c r="H1412" s="38" t="n">
        <v>198.69829772401</v>
      </c>
      <c r="I1412" s="38" t="n">
        <v>198.424449741575</v>
      </c>
      <c r="J1412" s="38" t="n">
        <v>203.24146570015</v>
      </c>
      <c r="K1412" s="38" t="n">
        <v>233.282222535793</v>
      </c>
      <c r="L1412" s="38" t="n">
        <v>154.432281469281</v>
      </c>
      <c r="M1412" s="38" t="n">
        <v>99.4083325803214</v>
      </c>
      <c r="N1412" s="38" t="n">
        <v>110.40107368244</v>
      </c>
      <c r="O1412" s="38" t="n">
        <v>64.1872891413985</v>
      </c>
      <c r="P1412" s="37" t="n">
        <v>0</v>
      </c>
      <c r="Q1412" s="38" t="n">
        <v>0</v>
      </c>
      <c r="R1412" s="38" t="n">
        <v>68.5200176800463</v>
      </c>
      <c r="S1412" s="37" t="n">
        <v>0</v>
      </c>
    </row>
    <row r="1413" customFormat="false" ht="15" hidden="false" customHeight="false" outlineLevel="0" collapsed="false">
      <c r="A1413" s="37" t="n">
        <v>5</v>
      </c>
      <c r="B1413" s="37" t="n">
        <v>5</v>
      </c>
      <c r="C1413" s="37" t="n">
        <v>5</v>
      </c>
      <c r="D1413" s="37" t="n">
        <v>0</v>
      </c>
      <c r="E1413" s="37" t="n">
        <v>0</v>
      </c>
      <c r="F1413" s="37" t="n">
        <v>15</v>
      </c>
      <c r="G1413" s="37" t="s">
        <v>197</v>
      </c>
      <c r="H1413" s="38" t="n">
        <v>198.69829772401</v>
      </c>
      <c r="I1413" s="38" t="n">
        <v>198.414839252793</v>
      </c>
      <c r="J1413" s="38" t="n">
        <v>206.891049703992</v>
      </c>
      <c r="K1413" s="38" t="n">
        <v>241.376221015677</v>
      </c>
      <c r="L1413" s="38" t="n">
        <v>158.78475273172</v>
      </c>
      <c r="M1413" s="38" t="n">
        <v>98.8782302525932</v>
      </c>
      <c r="N1413" s="38" t="n">
        <v>111.458672168183</v>
      </c>
      <c r="O1413" s="38" t="n">
        <v>65.7291530153772</v>
      </c>
      <c r="P1413" s="37" t="n">
        <v>0</v>
      </c>
      <c r="Q1413" s="38" t="n">
        <v>0</v>
      </c>
      <c r="R1413" s="38" t="n">
        <v>70.5</v>
      </c>
      <c r="S1413" s="37" t="n">
        <v>0</v>
      </c>
    </row>
    <row r="1414" customFormat="false" ht="15" hidden="false" customHeight="false" outlineLevel="0" collapsed="false">
      <c r="A1414" s="37" t="n">
        <v>5</v>
      </c>
      <c r="B1414" s="37" t="n">
        <v>5</v>
      </c>
      <c r="C1414" s="37" t="n">
        <v>5</v>
      </c>
      <c r="D1414" s="37" t="n">
        <v>0</v>
      </c>
      <c r="E1414" s="37" t="n">
        <v>0</v>
      </c>
      <c r="F1414" s="37" t="n">
        <v>15</v>
      </c>
      <c r="G1414" s="37" t="s">
        <v>196</v>
      </c>
      <c r="H1414" s="38" t="n">
        <v>198.69829772401</v>
      </c>
      <c r="I1414" s="38" t="n">
        <v>198.424757808931</v>
      </c>
      <c r="J1414" s="38" t="n">
        <v>207.749055556446</v>
      </c>
      <c r="K1414" s="38" t="n">
        <v>242.71086680988</v>
      </c>
      <c r="L1414" s="38" t="n">
        <v>166.316295749365</v>
      </c>
      <c r="M1414" s="38" t="n">
        <v>100.976313926921</v>
      </c>
      <c r="N1414" s="38" t="n">
        <v>120.843363112636</v>
      </c>
      <c r="O1414" s="38" t="n">
        <v>70.3257216865253</v>
      </c>
      <c r="P1414" s="37" t="n">
        <v>0</v>
      </c>
      <c r="Q1414" s="38" t="n">
        <v>0</v>
      </c>
      <c r="R1414" s="38" t="n">
        <v>69.5186362788095</v>
      </c>
      <c r="S1414" s="37" t="n">
        <v>0</v>
      </c>
    </row>
    <row r="1415" customFormat="false" ht="15" hidden="false" customHeight="false" outlineLevel="0" collapsed="false">
      <c r="A1415" s="37" t="n">
        <v>5</v>
      </c>
      <c r="B1415" s="37" t="n">
        <v>5</v>
      </c>
      <c r="C1415" s="37" t="n">
        <v>5</v>
      </c>
      <c r="D1415" s="37" t="n">
        <v>0</v>
      </c>
      <c r="E1415" s="37" t="n">
        <v>5</v>
      </c>
      <c r="F1415" s="37" t="n">
        <v>10</v>
      </c>
      <c r="G1415" s="37" t="s">
        <v>188</v>
      </c>
      <c r="H1415" s="38" t="n">
        <v>198.711274269235</v>
      </c>
      <c r="I1415" s="38" t="n">
        <v>198.620383273067</v>
      </c>
      <c r="J1415" s="38" t="n">
        <v>209.801994855476</v>
      </c>
      <c r="K1415" s="38" t="n">
        <v>246.093983335627</v>
      </c>
      <c r="L1415" s="38" t="n">
        <v>122.314425955534</v>
      </c>
      <c r="M1415" s="38" t="n">
        <v>102.509236517753</v>
      </c>
      <c r="N1415" s="38" t="n">
        <v>129.280702006533</v>
      </c>
      <c r="O1415" s="38" t="n">
        <v>70.9785373463524</v>
      </c>
      <c r="P1415" s="37" t="n">
        <v>0</v>
      </c>
      <c r="Q1415" s="38" t="n">
        <v>0</v>
      </c>
      <c r="R1415" s="38" t="n">
        <v>70.5</v>
      </c>
      <c r="S1415" s="37" t="n">
        <v>1</v>
      </c>
    </row>
    <row r="1416" customFormat="false" ht="15" hidden="false" customHeight="false" outlineLevel="0" collapsed="false">
      <c r="A1416" s="37" t="n">
        <v>5</v>
      </c>
      <c r="B1416" s="37" t="n">
        <v>5</v>
      </c>
      <c r="C1416" s="37" t="n">
        <v>5</v>
      </c>
      <c r="D1416" s="37" t="n">
        <v>0</v>
      </c>
      <c r="E1416" s="37" t="n">
        <v>5</v>
      </c>
      <c r="F1416" s="37" t="n">
        <v>10</v>
      </c>
      <c r="G1416" s="37" t="s">
        <v>192</v>
      </c>
      <c r="H1416" s="38" t="n">
        <v>198.711274269235</v>
      </c>
      <c r="I1416" s="38" t="n">
        <v>198.541735256836</v>
      </c>
      <c r="J1416" s="38" t="n">
        <v>210.145780230131</v>
      </c>
      <c r="K1416" s="38" t="n">
        <v>245.915598875832</v>
      </c>
      <c r="L1416" s="38" t="n">
        <v>124.653001613022</v>
      </c>
      <c r="M1416" s="38" t="n">
        <v>99.4298557347525</v>
      </c>
      <c r="N1416" s="38" t="n">
        <v>126.53836732498</v>
      </c>
      <c r="O1416" s="38" t="n">
        <v>70.1149395849043</v>
      </c>
      <c r="P1416" s="37" t="n">
        <v>0</v>
      </c>
      <c r="Q1416" s="38" t="n">
        <v>0</v>
      </c>
      <c r="R1416" s="38" t="n">
        <v>70.5</v>
      </c>
      <c r="S1416" s="37" t="n">
        <v>0</v>
      </c>
    </row>
    <row r="1417" customFormat="false" ht="15" hidden="false" customHeight="false" outlineLevel="0" collapsed="false">
      <c r="A1417" s="37" t="n">
        <v>5</v>
      </c>
      <c r="B1417" s="37" t="n">
        <v>5</v>
      </c>
      <c r="C1417" s="37" t="n">
        <v>5</v>
      </c>
      <c r="D1417" s="37" t="n">
        <v>0</v>
      </c>
      <c r="E1417" s="37" t="n">
        <v>5</v>
      </c>
      <c r="F1417" s="37" t="n">
        <v>10</v>
      </c>
      <c r="G1417" s="37" t="s">
        <v>195</v>
      </c>
      <c r="H1417" s="38" t="n">
        <v>198.711274269235</v>
      </c>
      <c r="I1417" s="38" t="n">
        <v>198.545735734637</v>
      </c>
      <c r="J1417" s="38" t="n">
        <v>204.909996904572</v>
      </c>
      <c r="K1417" s="38" t="n">
        <v>235.840019411696</v>
      </c>
      <c r="L1417" s="38" t="n">
        <v>116.865278699008</v>
      </c>
      <c r="M1417" s="38" t="n">
        <v>100.374127771834</v>
      </c>
      <c r="N1417" s="38" t="n">
        <v>115.371488740206</v>
      </c>
      <c r="O1417" s="38" t="n">
        <v>63.994378874235</v>
      </c>
      <c r="P1417" s="37" t="n">
        <v>0</v>
      </c>
      <c r="Q1417" s="38" t="n">
        <v>0</v>
      </c>
      <c r="R1417" s="38" t="n">
        <v>68.4825777861935</v>
      </c>
      <c r="S1417" s="37" t="n">
        <v>0</v>
      </c>
    </row>
    <row r="1418" customFormat="false" ht="15" hidden="false" customHeight="false" outlineLevel="0" collapsed="false">
      <c r="A1418" s="37" t="n">
        <v>5</v>
      </c>
      <c r="B1418" s="37" t="n">
        <v>5</v>
      </c>
      <c r="C1418" s="37" t="n">
        <v>5</v>
      </c>
      <c r="D1418" s="37" t="n">
        <v>0</v>
      </c>
      <c r="E1418" s="37" t="n">
        <v>5</v>
      </c>
      <c r="F1418" s="37" t="n">
        <v>10</v>
      </c>
      <c r="G1418" s="37" t="s">
        <v>197</v>
      </c>
      <c r="H1418" s="38" t="n">
        <v>198.711274269235</v>
      </c>
      <c r="I1418" s="38" t="n">
        <v>198.545056470973</v>
      </c>
      <c r="J1418" s="38" t="n">
        <v>209.520276995866</v>
      </c>
      <c r="K1418" s="38" t="n">
        <v>245.266604028616</v>
      </c>
      <c r="L1418" s="38" t="n">
        <v>123.187720218353</v>
      </c>
      <c r="M1418" s="38" t="n">
        <v>103.15924527632</v>
      </c>
      <c r="N1418" s="38" t="n">
        <v>126.117974392682</v>
      </c>
      <c r="O1418" s="38" t="n">
        <v>69.6783697185989</v>
      </c>
      <c r="P1418" s="37" t="n">
        <v>0</v>
      </c>
      <c r="Q1418" s="38" t="n">
        <v>0</v>
      </c>
      <c r="R1418" s="38" t="n">
        <v>70.5</v>
      </c>
      <c r="S1418" s="37" t="n">
        <v>0</v>
      </c>
    </row>
    <row r="1419" customFormat="false" ht="15" hidden="false" customHeight="false" outlineLevel="0" collapsed="false">
      <c r="A1419" s="37" t="n">
        <v>5</v>
      </c>
      <c r="B1419" s="37" t="n">
        <v>5</v>
      </c>
      <c r="C1419" s="37" t="n">
        <v>5</v>
      </c>
      <c r="D1419" s="37" t="n">
        <v>0</v>
      </c>
      <c r="E1419" s="37" t="n">
        <v>5</v>
      </c>
      <c r="F1419" s="37" t="n">
        <v>10</v>
      </c>
      <c r="G1419" s="37" t="s">
        <v>196</v>
      </c>
      <c r="H1419" s="38" t="n">
        <v>198.711274269235</v>
      </c>
      <c r="I1419" s="38" t="n">
        <v>198.546211570092</v>
      </c>
      <c r="J1419" s="38" t="n">
        <v>209.456707065887</v>
      </c>
      <c r="K1419" s="38" t="n">
        <v>245.325825765843</v>
      </c>
      <c r="L1419" s="38" t="n">
        <v>128.471281436017</v>
      </c>
      <c r="M1419" s="38" t="n">
        <v>102.579335984906</v>
      </c>
      <c r="N1419" s="38" t="n">
        <v>127.37195305751</v>
      </c>
      <c r="O1419" s="38" t="n">
        <v>71.1574279919939</v>
      </c>
      <c r="P1419" s="37" t="n">
        <v>0</v>
      </c>
      <c r="Q1419" s="38" t="n">
        <v>0</v>
      </c>
      <c r="R1419" s="38" t="n">
        <v>69.4082426941749</v>
      </c>
      <c r="S1419" s="37" t="n">
        <v>0</v>
      </c>
    </row>
    <row r="1420" customFormat="false" ht="15" hidden="false" customHeight="false" outlineLevel="0" collapsed="false">
      <c r="A1420" s="37" t="n">
        <v>5</v>
      </c>
      <c r="B1420" s="37" t="n">
        <v>5</v>
      </c>
      <c r="C1420" s="37" t="n">
        <v>5</v>
      </c>
      <c r="D1420" s="37" t="n">
        <v>0</v>
      </c>
      <c r="E1420" s="37" t="n">
        <v>10</v>
      </c>
      <c r="F1420" s="37" t="n">
        <v>5</v>
      </c>
      <c r="G1420" s="37" t="s">
        <v>188</v>
      </c>
      <c r="H1420" s="38" t="n">
        <v>198.723230854441</v>
      </c>
      <c r="I1420" s="38" t="n">
        <v>198.754276257353</v>
      </c>
      <c r="J1420" s="38" t="n">
        <v>211.291430292567</v>
      </c>
      <c r="K1420" s="38" t="n">
        <v>248.348456385314</v>
      </c>
      <c r="L1420" s="38" t="n">
        <v>84.6997548965537</v>
      </c>
      <c r="M1420" s="38" t="n">
        <v>103.330845351731</v>
      </c>
      <c r="N1420" s="38" t="n">
        <v>133.341237739848</v>
      </c>
      <c r="O1420" s="38" t="n">
        <v>70.2444325565791</v>
      </c>
      <c r="P1420" s="37" t="n">
        <v>0</v>
      </c>
      <c r="Q1420" s="38" t="n">
        <v>0</v>
      </c>
      <c r="R1420" s="38" t="n">
        <v>70.5</v>
      </c>
      <c r="S1420" s="37" t="n">
        <v>0</v>
      </c>
    </row>
    <row r="1421" customFormat="false" ht="15" hidden="false" customHeight="false" outlineLevel="0" collapsed="false">
      <c r="A1421" s="37" t="n">
        <v>5</v>
      </c>
      <c r="B1421" s="37" t="n">
        <v>5</v>
      </c>
      <c r="C1421" s="37" t="n">
        <v>5</v>
      </c>
      <c r="D1421" s="37" t="n">
        <v>0</v>
      </c>
      <c r="E1421" s="37" t="n">
        <v>10</v>
      </c>
      <c r="F1421" s="37" t="n">
        <v>5</v>
      </c>
      <c r="G1421" s="37" t="s">
        <v>192</v>
      </c>
      <c r="H1421" s="38" t="n">
        <v>198.723230854441</v>
      </c>
      <c r="I1421" s="38" t="n">
        <v>198.680904976359</v>
      </c>
      <c r="J1421" s="38" t="n">
        <v>211.631868358218</v>
      </c>
      <c r="K1421" s="38" t="n">
        <v>248.245129675373</v>
      </c>
      <c r="L1421" s="38" t="n">
        <v>86.9470580886699</v>
      </c>
      <c r="M1421" s="38" t="n">
        <v>100.264098855388</v>
      </c>
      <c r="N1421" s="38" t="n">
        <v>130.512719710581</v>
      </c>
      <c r="O1421" s="38" t="n">
        <v>69.4584207155882</v>
      </c>
      <c r="P1421" s="37" t="n">
        <v>0</v>
      </c>
      <c r="Q1421" s="38" t="n">
        <v>0</v>
      </c>
      <c r="R1421" s="38" t="n">
        <v>70.5</v>
      </c>
      <c r="S1421" s="37" t="n">
        <v>0</v>
      </c>
    </row>
    <row r="1422" customFormat="false" ht="15" hidden="false" customHeight="false" outlineLevel="0" collapsed="false">
      <c r="A1422" s="37" t="n">
        <v>5</v>
      </c>
      <c r="B1422" s="37" t="n">
        <v>5</v>
      </c>
      <c r="C1422" s="37" t="n">
        <v>5</v>
      </c>
      <c r="D1422" s="37" t="n">
        <v>0</v>
      </c>
      <c r="E1422" s="37" t="n">
        <v>10</v>
      </c>
      <c r="F1422" s="37" t="n">
        <v>5</v>
      </c>
      <c r="G1422" s="37" t="s">
        <v>195</v>
      </c>
      <c r="H1422" s="38" t="n">
        <v>198.723230854441</v>
      </c>
      <c r="I1422" s="38" t="n">
        <v>198.684672837049</v>
      </c>
      <c r="J1422" s="38" t="n">
        <v>206.177687199711</v>
      </c>
      <c r="K1422" s="38" t="n">
        <v>237.908779900796</v>
      </c>
      <c r="L1422" s="38" t="n">
        <v>78.8558614478957</v>
      </c>
      <c r="M1422" s="38" t="n">
        <v>101.258470791824</v>
      </c>
      <c r="N1422" s="38" t="n">
        <v>119.166589010823</v>
      </c>
      <c r="O1422" s="38" t="n">
        <v>63.4779926384778</v>
      </c>
      <c r="P1422" s="37" t="n">
        <v>0</v>
      </c>
      <c r="Q1422" s="38" t="n">
        <v>0</v>
      </c>
      <c r="R1422" s="38" t="n">
        <v>68.45912446413</v>
      </c>
      <c r="S1422" s="37" t="n">
        <v>0</v>
      </c>
    </row>
    <row r="1423" customFormat="false" ht="15" hidden="false" customHeight="false" outlineLevel="0" collapsed="false">
      <c r="A1423" s="37" t="n">
        <v>5</v>
      </c>
      <c r="B1423" s="37" t="n">
        <v>5</v>
      </c>
      <c r="C1423" s="37" t="n">
        <v>5</v>
      </c>
      <c r="D1423" s="37" t="n">
        <v>0</v>
      </c>
      <c r="E1423" s="37" t="n">
        <v>10</v>
      </c>
      <c r="F1423" s="37" t="n">
        <v>5</v>
      </c>
      <c r="G1423" s="37" t="s">
        <v>197</v>
      </c>
      <c r="H1423" s="38" t="n">
        <v>198.723230854441</v>
      </c>
      <c r="I1423" s="38" t="n">
        <v>198.704319770216</v>
      </c>
      <c r="J1423" s="38" t="n">
        <v>212.009089951467</v>
      </c>
      <c r="K1423" s="38" t="n">
        <v>249.043449214077</v>
      </c>
      <c r="L1423" s="38" t="n">
        <v>87.620772337771</v>
      </c>
      <c r="M1423" s="38" t="n">
        <v>106.611759078728</v>
      </c>
      <c r="N1423" s="38" t="n">
        <v>138.412756877949</v>
      </c>
      <c r="O1423" s="38" t="n">
        <v>71.037200337824</v>
      </c>
      <c r="P1423" s="37" t="n">
        <v>0</v>
      </c>
      <c r="Q1423" s="38" t="n">
        <v>0</v>
      </c>
      <c r="R1423" s="38" t="n">
        <v>70.5</v>
      </c>
      <c r="S1423" s="37" t="n">
        <v>1</v>
      </c>
    </row>
    <row r="1424" customFormat="false" ht="15" hidden="false" customHeight="false" outlineLevel="0" collapsed="false">
      <c r="A1424" s="37" t="n">
        <v>5</v>
      </c>
      <c r="B1424" s="37" t="n">
        <v>5</v>
      </c>
      <c r="C1424" s="37" t="n">
        <v>5</v>
      </c>
      <c r="D1424" s="37" t="n">
        <v>0</v>
      </c>
      <c r="E1424" s="37" t="n">
        <v>10</v>
      </c>
      <c r="F1424" s="37" t="n">
        <v>5</v>
      </c>
      <c r="G1424" s="37" t="s">
        <v>196</v>
      </c>
      <c r="H1424" s="38" t="n">
        <v>198.723230854441</v>
      </c>
      <c r="I1424" s="38" t="n">
        <v>198.687795097288</v>
      </c>
      <c r="J1424" s="38" t="n">
        <v>210.888019770397</v>
      </c>
      <c r="K1424" s="38" t="n">
        <v>247.659217913796</v>
      </c>
      <c r="L1424" s="38" t="n">
        <v>90.7378942507616</v>
      </c>
      <c r="M1424" s="38" t="n">
        <v>103.954870519812</v>
      </c>
      <c r="N1424" s="38" t="n">
        <v>132.573854544778</v>
      </c>
      <c r="O1424" s="38" t="n">
        <v>71.0306022916941</v>
      </c>
      <c r="P1424" s="37" t="n">
        <v>0</v>
      </c>
      <c r="Q1424" s="38" t="n">
        <v>0</v>
      </c>
      <c r="R1424" s="38" t="n">
        <v>69.392215654205</v>
      </c>
      <c r="S1424" s="37" t="n">
        <v>0</v>
      </c>
    </row>
    <row r="1425" customFormat="false" ht="15" hidden="false" customHeight="false" outlineLevel="0" collapsed="false">
      <c r="A1425" s="37" t="n">
        <v>5</v>
      </c>
      <c r="B1425" s="37" t="n">
        <v>5</v>
      </c>
      <c r="C1425" s="37" t="n">
        <v>5</v>
      </c>
      <c r="D1425" s="37" t="n">
        <v>0</v>
      </c>
      <c r="E1425" s="37" t="n">
        <v>15</v>
      </c>
      <c r="F1425" s="37" t="n">
        <v>0</v>
      </c>
      <c r="G1425" s="37" t="s">
        <v>188</v>
      </c>
      <c r="H1425" s="38" t="n">
        <v>198.729251391798</v>
      </c>
      <c r="I1425" s="38" t="n">
        <v>198.783348204599</v>
      </c>
      <c r="J1425" s="38" t="n">
        <v>211.86717219335</v>
      </c>
      <c r="K1425" s="38" t="n">
        <v>248.971717694485</v>
      </c>
      <c r="L1425" s="38" t="n">
        <v>45.4109425756703</v>
      </c>
      <c r="M1425" s="38" t="n">
        <v>103.759078582335</v>
      </c>
      <c r="N1425" s="38" t="n">
        <v>135.479082909637</v>
      </c>
      <c r="O1425" s="38" t="n">
        <v>69.1487127007813</v>
      </c>
      <c r="P1425" s="37" t="n">
        <v>0</v>
      </c>
      <c r="Q1425" s="38" t="n">
        <v>0</v>
      </c>
      <c r="R1425" s="38" t="n">
        <v>70.5</v>
      </c>
      <c r="S1425" s="37" t="n">
        <v>0</v>
      </c>
    </row>
    <row r="1426" customFormat="false" ht="15" hidden="false" customHeight="false" outlineLevel="0" collapsed="false">
      <c r="A1426" s="37" t="n">
        <v>5</v>
      </c>
      <c r="B1426" s="37" t="n">
        <v>5</v>
      </c>
      <c r="C1426" s="37" t="n">
        <v>5</v>
      </c>
      <c r="D1426" s="37" t="n">
        <v>0</v>
      </c>
      <c r="E1426" s="37" t="n">
        <v>15</v>
      </c>
      <c r="F1426" s="37" t="n">
        <v>0</v>
      </c>
      <c r="G1426" s="37" t="s">
        <v>192</v>
      </c>
      <c r="H1426" s="38" t="n">
        <v>198.729251391798</v>
      </c>
      <c r="I1426" s="38" t="n">
        <v>198.714047780738</v>
      </c>
      <c r="J1426" s="38" t="n">
        <v>212.064006223387</v>
      </c>
      <c r="K1426" s="38" t="n">
        <v>248.771224624856</v>
      </c>
      <c r="L1426" s="38" t="n">
        <v>47.4314570424912</v>
      </c>
      <c r="M1426" s="38" t="n">
        <v>100.697162825022</v>
      </c>
      <c r="N1426" s="38" t="n">
        <v>132.247529578267</v>
      </c>
      <c r="O1426" s="38" t="n">
        <v>68.3519897736837</v>
      </c>
      <c r="P1426" s="37" t="n">
        <v>0</v>
      </c>
      <c r="Q1426" s="38" t="n">
        <v>0</v>
      </c>
      <c r="R1426" s="38" t="n">
        <v>70.5</v>
      </c>
      <c r="S1426" s="37" t="n">
        <v>0</v>
      </c>
    </row>
    <row r="1427" customFormat="false" ht="15" hidden="false" customHeight="false" outlineLevel="0" collapsed="false">
      <c r="A1427" s="37" t="n">
        <v>5</v>
      </c>
      <c r="B1427" s="37" t="n">
        <v>5</v>
      </c>
      <c r="C1427" s="37" t="n">
        <v>5</v>
      </c>
      <c r="D1427" s="37" t="n">
        <v>0</v>
      </c>
      <c r="E1427" s="37" t="n">
        <v>15</v>
      </c>
      <c r="F1427" s="37" t="n">
        <v>0</v>
      </c>
      <c r="G1427" s="37" t="s">
        <v>195</v>
      </c>
      <c r="H1427" s="38" t="n">
        <v>198.729251391798</v>
      </c>
      <c r="I1427" s="38" t="n">
        <v>198.720809034479</v>
      </c>
      <c r="J1427" s="38" t="n">
        <v>206.633589991806</v>
      </c>
      <c r="K1427" s="38" t="n">
        <v>238.462643778778</v>
      </c>
      <c r="L1427" s="38" t="n">
        <v>39.3369418940086</v>
      </c>
      <c r="M1427" s="38" t="n">
        <v>101.764255035169</v>
      </c>
      <c r="N1427" s="38" t="n">
        <v>120.555372252756</v>
      </c>
      <c r="O1427" s="38" t="n">
        <v>62.5656301405724</v>
      </c>
      <c r="P1427" s="37" t="n">
        <v>0</v>
      </c>
      <c r="Q1427" s="38" t="n">
        <v>0</v>
      </c>
      <c r="R1427" s="38" t="n">
        <v>68.4372894345693</v>
      </c>
      <c r="S1427" s="37" t="n">
        <v>0</v>
      </c>
    </row>
    <row r="1428" customFormat="false" ht="15" hidden="false" customHeight="false" outlineLevel="0" collapsed="false">
      <c r="A1428" s="37" t="n">
        <v>5</v>
      </c>
      <c r="B1428" s="37" t="n">
        <v>5</v>
      </c>
      <c r="C1428" s="37" t="n">
        <v>5</v>
      </c>
      <c r="D1428" s="37" t="n">
        <v>0</v>
      </c>
      <c r="E1428" s="37" t="n">
        <v>15</v>
      </c>
      <c r="F1428" s="37" t="n">
        <v>0</v>
      </c>
      <c r="G1428" s="37" t="s">
        <v>197</v>
      </c>
      <c r="H1428" s="38" t="n">
        <v>198.729251391798</v>
      </c>
      <c r="I1428" s="38" t="n">
        <v>198.754573824732</v>
      </c>
      <c r="J1428" s="38" t="n">
        <v>213.222140818929</v>
      </c>
      <c r="K1428" s="38" t="n">
        <v>250.680905400188</v>
      </c>
      <c r="L1428" s="38" t="n">
        <v>49.6652216618292</v>
      </c>
      <c r="M1428" s="38" t="n">
        <v>108.59544937667</v>
      </c>
      <c r="N1428" s="38" t="n">
        <v>143.409171150522</v>
      </c>
      <c r="O1428" s="38" t="n">
        <v>70.6732011599553</v>
      </c>
      <c r="P1428" s="37" t="n">
        <v>0</v>
      </c>
      <c r="Q1428" s="38" t="n">
        <v>0</v>
      </c>
      <c r="R1428" s="38" t="n">
        <v>70.5</v>
      </c>
      <c r="S1428" s="37" t="n">
        <v>1</v>
      </c>
    </row>
    <row r="1429" customFormat="false" ht="15" hidden="false" customHeight="false" outlineLevel="0" collapsed="false">
      <c r="A1429" s="37" t="n">
        <v>5</v>
      </c>
      <c r="B1429" s="37" t="n">
        <v>5</v>
      </c>
      <c r="C1429" s="37" t="n">
        <v>5</v>
      </c>
      <c r="D1429" s="37" t="n">
        <v>0</v>
      </c>
      <c r="E1429" s="37" t="n">
        <v>15</v>
      </c>
      <c r="F1429" s="37" t="n">
        <v>0</v>
      </c>
      <c r="G1429" s="37" t="s">
        <v>196</v>
      </c>
      <c r="H1429" s="38" t="n">
        <v>198.729251391798</v>
      </c>
      <c r="I1429" s="38" t="n">
        <v>198.726131968524</v>
      </c>
      <c r="J1429" s="38" t="n">
        <v>211.469782054099</v>
      </c>
      <c r="K1429" s="38" t="n">
        <v>248.447430285692</v>
      </c>
      <c r="L1429" s="38" t="n">
        <v>51.457779282528</v>
      </c>
      <c r="M1429" s="38" t="n">
        <v>104.734753850929</v>
      </c>
      <c r="N1429" s="38" t="n">
        <v>135.024330143928</v>
      </c>
      <c r="O1429" s="38" t="n">
        <v>70.0570717582352</v>
      </c>
      <c r="P1429" s="37" t="n">
        <v>0</v>
      </c>
      <c r="Q1429" s="38" t="n">
        <v>0</v>
      </c>
      <c r="R1429" s="38" t="n">
        <v>69.3758170925741</v>
      </c>
      <c r="S1429" s="37" t="n">
        <v>0</v>
      </c>
    </row>
    <row r="1430" customFormat="false" ht="15" hidden="false" customHeight="false" outlineLevel="0" collapsed="false">
      <c r="A1430" s="37" t="n">
        <v>5</v>
      </c>
      <c r="B1430" s="37" t="n">
        <v>5</v>
      </c>
      <c r="C1430" s="37" t="n">
        <v>5</v>
      </c>
      <c r="D1430" s="37" t="n">
        <v>5</v>
      </c>
      <c r="E1430" s="37" t="n">
        <v>0</v>
      </c>
      <c r="F1430" s="37" t="n">
        <v>10</v>
      </c>
      <c r="G1430" s="37" t="s">
        <v>188</v>
      </c>
      <c r="H1430" s="38" t="n">
        <v>198.895873379079</v>
      </c>
      <c r="I1430" s="38" t="n">
        <v>199.909101320779</v>
      </c>
      <c r="J1430" s="38" t="n">
        <v>217.868010244333</v>
      </c>
      <c r="K1430" s="38" t="n">
        <v>248.643883640651</v>
      </c>
      <c r="L1430" s="38" t="n">
        <v>125.737096711694</v>
      </c>
      <c r="M1430" s="38" t="n">
        <v>103.33540795926</v>
      </c>
      <c r="N1430" s="38" t="n">
        <v>134.729743388892</v>
      </c>
      <c r="O1430" s="38" t="n">
        <v>78.599551153554</v>
      </c>
      <c r="P1430" s="37" t="n">
        <v>0</v>
      </c>
      <c r="Q1430" s="38" t="n">
        <v>0</v>
      </c>
      <c r="R1430" s="38" t="n">
        <v>72</v>
      </c>
      <c r="S1430" s="37" t="n">
        <v>1</v>
      </c>
    </row>
    <row r="1431" customFormat="false" ht="15" hidden="false" customHeight="false" outlineLevel="0" collapsed="false">
      <c r="A1431" s="37" t="n">
        <v>5</v>
      </c>
      <c r="B1431" s="37" t="n">
        <v>5</v>
      </c>
      <c r="C1431" s="37" t="n">
        <v>5</v>
      </c>
      <c r="D1431" s="37" t="n">
        <v>5</v>
      </c>
      <c r="E1431" s="37" t="n">
        <v>0</v>
      </c>
      <c r="F1431" s="37" t="n">
        <v>10</v>
      </c>
      <c r="G1431" s="37" t="s">
        <v>192</v>
      </c>
      <c r="H1431" s="38" t="n">
        <v>198.895873379079</v>
      </c>
      <c r="I1431" s="38" t="n">
        <v>199.815204412742</v>
      </c>
      <c r="J1431" s="38" t="n">
        <v>217.50421339847</v>
      </c>
      <c r="K1431" s="38" t="n">
        <v>247.472050530901</v>
      </c>
      <c r="L1431" s="38" t="n">
        <v>126.653059180983</v>
      </c>
      <c r="M1431" s="38" t="n">
        <v>100.211508456182</v>
      </c>
      <c r="N1431" s="38" t="n">
        <v>131.030256045377</v>
      </c>
      <c r="O1431" s="38" t="n">
        <v>76.9675219707163</v>
      </c>
      <c r="P1431" s="37" t="n">
        <v>0</v>
      </c>
      <c r="Q1431" s="38" t="n">
        <v>0</v>
      </c>
      <c r="R1431" s="38" t="n">
        <v>72</v>
      </c>
      <c r="S1431" s="37" t="n">
        <v>0</v>
      </c>
    </row>
    <row r="1432" customFormat="false" ht="15" hidden="false" customHeight="false" outlineLevel="0" collapsed="false">
      <c r="A1432" s="37" t="n">
        <v>5</v>
      </c>
      <c r="B1432" s="37" t="n">
        <v>5</v>
      </c>
      <c r="C1432" s="37" t="n">
        <v>5</v>
      </c>
      <c r="D1432" s="37" t="n">
        <v>5</v>
      </c>
      <c r="E1432" s="37" t="n">
        <v>0</v>
      </c>
      <c r="F1432" s="37" t="n">
        <v>10</v>
      </c>
      <c r="G1432" s="37" t="s">
        <v>195</v>
      </c>
      <c r="H1432" s="38" t="n">
        <v>198.895873379079</v>
      </c>
      <c r="I1432" s="38" t="n">
        <v>199.88759973979</v>
      </c>
      <c r="J1432" s="38" t="n">
        <v>215.933759450745</v>
      </c>
      <c r="K1432" s="38" t="n">
        <v>243.125090920969</v>
      </c>
      <c r="L1432" s="38" t="n">
        <v>125.72260278475</v>
      </c>
      <c r="M1432" s="38" t="n">
        <v>102.84126595518</v>
      </c>
      <c r="N1432" s="38" t="n">
        <v>129.364896626603</v>
      </c>
      <c r="O1432" s="38" t="n">
        <v>74.9366657484587</v>
      </c>
      <c r="P1432" s="37" t="n">
        <v>0</v>
      </c>
      <c r="Q1432" s="38" t="n">
        <v>0</v>
      </c>
      <c r="R1432" s="38" t="n">
        <v>70.4542535591344</v>
      </c>
      <c r="S1432" s="37" t="n">
        <v>0</v>
      </c>
    </row>
    <row r="1433" customFormat="false" ht="15" hidden="false" customHeight="false" outlineLevel="0" collapsed="false">
      <c r="A1433" s="37" t="n">
        <v>5</v>
      </c>
      <c r="B1433" s="37" t="n">
        <v>5</v>
      </c>
      <c r="C1433" s="37" t="n">
        <v>5</v>
      </c>
      <c r="D1433" s="37" t="n">
        <v>5</v>
      </c>
      <c r="E1433" s="37" t="n">
        <v>0</v>
      </c>
      <c r="F1433" s="37" t="n">
        <v>10</v>
      </c>
      <c r="G1433" s="37" t="s">
        <v>197</v>
      </c>
      <c r="H1433" s="38" t="n">
        <v>198.895873379079</v>
      </c>
      <c r="I1433" s="38" t="n">
        <v>199.804808459955</v>
      </c>
      <c r="J1433" s="38" t="n">
        <v>216.078687962177</v>
      </c>
      <c r="K1433" s="38" t="n">
        <v>245.612461856789</v>
      </c>
      <c r="L1433" s="38" t="n">
        <v>123.270551944807</v>
      </c>
      <c r="M1433" s="38" t="n">
        <v>100.64752973034</v>
      </c>
      <c r="N1433" s="38" t="n">
        <v>121.210314488787</v>
      </c>
      <c r="O1433" s="38" t="n">
        <v>72.6519064698539</v>
      </c>
      <c r="P1433" s="37" t="n">
        <v>0</v>
      </c>
      <c r="Q1433" s="38" t="n">
        <v>0</v>
      </c>
      <c r="R1433" s="38" t="n">
        <v>72</v>
      </c>
      <c r="S1433" s="37" t="n">
        <v>0</v>
      </c>
    </row>
    <row r="1434" customFormat="false" ht="15" hidden="false" customHeight="false" outlineLevel="0" collapsed="false">
      <c r="A1434" s="37" t="n">
        <v>5</v>
      </c>
      <c r="B1434" s="37" t="n">
        <v>5</v>
      </c>
      <c r="C1434" s="37" t="n">
        <v>5</v>
      </c>
      <c r="D1434" s="37" t="n">
        <v>5</v>
      </c>
      <c r="E1434" s="37" t="n">
        <v>0</v>
      </c>
      <c r="F1434" s="37" t="n">
        <v>10</v>
      </c>
      <c r="G1434" s="37" t="s">
        <v>196</v>
      </c>
      <c r="H1434" s="38" t="n">
        <v>198.895873379079</v>
      </c>
      <c r="I1434" s="38" t="n">
        <v>199.81700701646</v>
      </c>
      <c r="J1434" s="38" t="n">
        <v>216.998898273043</v>
      </c>
      <c r="K1434" s="38" t="n">
        <v>247.010647140137</v>
      </c>
      <c r="L1434" s="38" t="n">
        <v>130.62730032447</v>
      </c>
      <c r="M1434" s="38" t="n">
        <v>103.310551420213</v>
      </c>
      <c r="N1434" s="38" t="n">
        <v>131.880906836785</v>
      </c>
      <c r="O1434" s="38" t="n">
        <v>77.1300686036052</v>
      </c>
      <c r="P1434" s="37" t="n">
        <v>0</v>
      </c>
      <c r="Q1434" s="38" t="n">
        <v>0</v>
      </c>
      <c r="R1434" s="38" t="n">
        <v>71.0213300975734</v>
      </c>
      <c r="S1434" s="37" t="n">
        <v>0</v>
      </c>
    </row>
    <row r="1435" customFormat="false" ht="15" hidden="false" customHeight="false" outlineLevel="0" collapsed="false">
      <c r="A1435" s="37" t="n">
        <v>5</v>
      </c>
      <c r="B1435" s="37" t="n">
        <v>5</v>
      </c>
      <c r="C1435" s="37" t="n">
        <v>5</v>
      </c>
      <c r="D1435" s="37" t="n">
        <v>5</v>
      </c>
      <c r="E1435" s="37" t="n">
        <v>5</v>
      </c>
      <c r="F1435" s="37" t="n">
        <v>5</v>
      </c>
      <c r="G1435" s="37" t="s">
        <v>188</v>
      </c>
      <c r="H1435" s="38" t="n">
        <v>198.873484697473</v>
      </c>
      <c r="I1435" s="38" t="n">
        <v>199.778344953214</v>
      </c>
      <c r="J1435" s="38" t="n">
        <v>218.798980354757</v>
      </c>
      <c r="K1435" s="38" t="n">
        <v>248.863464793798</v>
      </c>
      <c r="L1435" s="38" t="n">
        <v>85.9679576969904</v>
      </c>
      <c r="M1435" s="38" t="n">
        <v>103.623060856529</v>
      </c>
      <c r="N1435" s="38" t="n">
        <v>138.599547404281</v>
      </c>
      <c r="O1435" s="38" t="n">
        <v>77.4039977952584</v>
      </c>
      <c r="P1435" s="37" t="n">
        <v>0</v>
      </c>
      <c r="Q1435" s="38" t="n">
        <v>0</v>
      </c>
      <c r="R1435" s="38" t="n">
        <v>72</v>
      </c>
      <c r="S1435" s="37" t="n">
        <v>1</v>
      </c>
    </row>
    <row r="1436" customFormat="false" ht="15" hidden="false" customHeight="false" outlineLevel="0" collapsed="false">
      <c r="A1436" s="37" t="n">
        <v>5</v>
      </c>
      <c r="B1436" s="37" t="n">
        <v>5</v>
      </c>
      <c r="C1436" s="37" t="n">
        <v>5</v>
      </c>
      <c r="D1436" s="37" t="n">
        <v>5</v>
      </c>
      <c r="E1436" s="37" t="n">
        <v>5</v>
      </c>
      <c r="F1436" s="37" t="n">
        <v>5</v>
      </c>
      <c r="G1436" s="37" t="s">
        <v>192</v>
      </c>
      <c r="H1436" s="38" t="n">
        <v>198.873484697473</v>
      </c>
      <c r="I1436" s="38" t="n">
        <v>199.694607514292</v>
      </c>
      <c r="J1436" s="38" t="n">
        <v>218.46134050495</v>
      </c>
      <c r="K1436" s="38" t="n">
        <v>247.84031130386</v>
      </c>
      <c r="L1436" s="38" t="n">
        <v>86.9285109631337</v>
      </c>
      <c r="M1436" s="38" t="n">
        <v>100.519513584615</v>
      </c>
      <c r="N1436" s="38" t="n">
        <v>134.785673776337</v>
      </c>
      <c r="O1436" s="38" t="n">
        <v>75.8530411656584</v>
      </c>
      <c r="P1436" s="37" t="n">
        <v>0</v>
      </c>
      <c r="Q1436" s="38" t="n">
        <v>0</v>
      </c>
      <c r="R1436" s="38" t="n">
        <v>72</v>
      </c>
      <c r="S1436" s="37" t="n">
        <v>0</v>
      </c>
    </row>
    <row r="1437" customFormat="false" ht="15" hidden="false" customHeight="false" outlineLevel="0" collapsed="false">
      <c r="A1437" s="37" t="n">
        <v>5</v>
      </c>
      <c r="B1437" s="37" t="n">
        <v>5</v>
      </c>
      <c r="C1437" s="37" t="n">
        <v>5</v>
      </c>
      <c r="D1437" s="37" t="n">
        <v>5</v>
      </c>
      <c r="E1437" s="37" t="n">
        <v>5</v>
      </c>
      <c r="F1437" s="37" t="n">
        <v>5</v>
      </c>
      <c r="G1437" s="37" t="s">
        <v>195</v>
      </c>
      <c r="H1437" s="38" t="n">
        <v>198.873484697473</v>
      </c>
      <c r="I1437" s="38" t="n">
        <v>199.768826294478</v>
      </c>
      <c r="J1437" s="38" t="n">
        <v>216.705773868811</v>
      </c>
      <c r="K1437" s="38" t="n">
        <v>243.229791230747</v>
      </c>
      <c r="L1437" s="38" t="n">
        <v>85.6400633887618</v>
      </c>
      <c r="M1437" s="38" t="n">
        <v>103.184037406234</v>
      </c>
      <c r="N1437" s="38" t="n">
        <v>132.968101809308</v>
      </c>
      <c r="O1437" s="38" t="n">
        <v>73.9428324827285</v>
      </c>
      <c r="P1437" s="37" t="n">
        <v>0</v>
      </c>
      <c r="Q1437" s="38" t="n">
        <v>0</v>
      </c>
      <c r="R1437" s="38" t="n">
        <v>70.3980816474044</v>
      </c>
      <c r="S1437" s="37" t="n">
        <v>0</v>
      </c>
    </row>
    <row r="1438" customFormat="false" ht="15" hidden="false" customHeight="false" outlineLevel="0" collapsed="false">
      <c r="A1438" s="37" t="n">
        <v>5</v>
      </c>
      <c r="B1438" s="37" t="n">
        <v>5</v>
      </c>
      <c r="C1438" s="37" t="n">
        <v>5</v>
      </c>
      <c r="D1438" s="37" t="n">
        <v>5</v>
      </c>
      <c r="E1438" s="37" t="n">
        <v>5</v>
      </c>
      <c r="F1438" s="37" t="n">
        <v>5</v>
      </c>
      <c r="G1438" s="37" t="s">
        <v>197</v>
      </c>
      <c r="H1438" s="38" t="n">
        <v>198.873484697473</v>
      </c>
      <c r="I1438" s="38" t="n">
        <v>199.69693244403</v>
      </c>
      <c r="J1438" s="38" t="n">
        <v>217.785370123656</v>
      </c>
      <c r="K1438" s="38" t="n">
        <v>247.110939060657</v>
      </c>
      <c r="L1438" s="38" t="n">
        <v>85.2388726032551</v>
      </c>
      <c r="M1438" s="38" t="n">
        <v>104.296093902659</v>
      </c>
      <c r="N1438" s="38" t="n">
        <v>134.439901523455</v>
      </c>
      <c r="O1438" s="38" t="n">
        <v>75.6957379695419</v>
      </c>
      <c r="P1438" s="37" t="n">
        <v>0</v>
      </c>
      <c r="Q1438" s="38" t="n">
        <v>0</v>
      </c>
      <c r="R1438" s="38" t="n">
        <v>72</v>
      </c>
      <c r="S1438" s="37" t="n">
        <v>0</v>
      </c>
    </row>
    <row r="1439" customFormat="false" ht="15" hidden="false" customHeight="false" outlineLevel="0" collapsed="false">
      <c r="A1439" s="37" t="n">
        <v>5</v>
      </c>
      <c r="B1439" s="37" t="n">
        <v>5</v>
      </c>
      <c r="C1439" s="37" t="n">
        <v>5</v>
      </c>
      <c r="D1439" s="37" t="n">
        <v>5</v>
      </c>
      <c r="E1439" s="37" t="n">
        <v>5</v>
      </c>
      <c r="F1439" s="37" t="n">
        <v>5</v>
      </c>
      <c r="G1439" s="37" t="s">
        <v>196</v>
      </c>
      <c r="H1439" s="38" t="n">
        <v>198.873484697473</v>
      </c>
      <c r="I1439" s="38" t="n">
        <v>199.699671462705</v>
      </c>
      <c r="J1439" s="38" t="n">
        <v>217.710618178291</v>
      </c>
      <c r="K1439" s="38" t="n">
        <v>247.148287273325</v>
      </c>
      <c r="L1439" s="38" t="n">
        <v>90.2861537139915</v>
      </c>
      <c r="M1439" s="38" t="n">
        <v>104.308438059608</v>
      </c>
      <c r="N1439" s="38" t="n">
        <v>136.926385965759</v>
      </c>
      <c r="O1439" s="38" t="n">
        <v>76.8318848277076</v>
      </c>
      <c r="P1439" s="37" t="n">
        <v>0</v>
      </c>
      <c r="Q1439" s="38" t="n">
        <v>0</v>
      </c>
      <c r="R1439" s="38" t="n">
        <v>70.9064212790934</v>
      </c>
      <c r="S1439" s="37" t="n">
        <v>0</v>
      </c>
    </row>
    <row r="1440" customFormat="false" ht="15" hidden="false" customHeight="false" outlineLevel="0" collapsed="false">
      <c r="A1440" s="37" t="n">
        <v>5</v>
      </c>
      <c r="B1440" s="37" t="n">
        <v>5</v>
      </c>
      <c r="C1440" s="37" t="n">
        <v>5</v>
      </c>
      <c r="D1440" s="37" t="n">
        <v>5</v>
      </c>
      <c r="E1440" s="37" t="n">
        <v>10</v>
      </c>
      <c r="F1440" s="37" t="n">
        <v>0</v>
      </c>
      <c r="G1440" s="37" t="s">
        <v>188</v>
      </c>
      <c r="H1440" s="38" t="n">
        <v>198.868207462248</v>
      </c>
      <c r="I1440" s="38" t="n">
        <v>199.810721692516</v>
      </c>
      <c r="J1440" s="38" t="n">
        <v>219.930353944199</v>
      </c>
      <c r="K1440" s="38" t="n">
        <v>250.154973119957</v>
      </c>
      <c r="L1440" s="38" t="n">
        <v>47.3321390037112</v>
      </c>
      <c r="M1440" s="38" t="n">
        <v>104.181546404325</v>
      </c>
      <c r="N1440" s="38" t="n">
        <v>142.091723938538</v>
      </c>
      <c r="O1440" s="38" t="n">
        <v>76.385021516396</v>
      </c>
      <c r="P1440" s="37" t="n">
        <v>0</v>
      </c>
      <c r="Q1440" s="38" t="n">
        <v>0</v>
      </c>
      <c r="R1440" s="38" t="n">
        <v>72</v>
      </c>
      <c r="S1440" s="37" t="n">
        <v>0</v>
      </c>
    </row>
    <row r="1441" customFormat="false" ht="15" hidden="false" customHeight="false" outlineLevel="0" collapsed="false">
      <c r="A1441" s="37" t="n">
        <v>5</v>
      </c>
      <c r="B1441" s="37" t="n">
        <v>5</v>
      </c>
      <c r="C1441" s="37" t="n">
        <v>5</v>
      </c>
      <c r="D1441" s="37" t="n">
        <v>5</v>
      </c>
      <c r="E1441" s="37" t="n">
        <v>10</v>
      </c>
      <c r="F1441" s="37" t="n">
        <v>0</v>
      </c>
      <c r="G1441" s="37" t="s">
        <v>192</v>
      </c>
      <c r="H1441" s="38" t="n">
        <v>198.868207462248</v>
      </c>
      <c r="I1441" s="38" t="n">
        <v>199.729212303551</v>
      </c>
      <c r="J1441" s="38" t="n">
        <v>219.537460024996</v>
      </c>
      <c r="K1441" s="38" t="n">
        <v>249.105972561287</v>
      </c>
      <c r="L1441" s="38" t="n">
        <v>48.1336358208683</v>
      </c>
      <c r="M1441" s="38" t="n">
        <v>101.076137596912</v>
      </c>
      <c r="N1441" s="38" t="n">
        <v>138.093742007268</v>
      </c>
      <c r="O1441" s="38" t="n">
        <v>74.8795040002284</v>
      </c>
      <c r="P1441" s="37" t="n">
        <v>0</v>
      </c>
      <c r="Q1441" s="38" t="n">
        <v>0</v>
      </c>
      <c r="R1441" s="38" t="n">
        <v>72</v>
      </c>
      <c r="S1441" s="37" t="n">
        <v>0</v>
      </c>
    </row>
    <row r="1442" customFormat="false" ht="15" hidden="false" customHeight="false" outlineLevel="0" collapsed="false">
      <c r="A1442" s="37" t="n">
        <v>5</v>
      </c>
      <c r="B1442" s="37" t="n">
        <v>5</v>
      </c>
      <c r="C1442" s="37" t="n">
        <v>5</v>
      </c>
      <c r="D1442" s="37" t="n">
        <v>5</v>
      </c>
      <c r="E1442" s="37" t="n">
        <v>10</v>
      </c>
      <c r="F1442" s="37" t="n">
        <v>0</v>
      </c>
      <c r="G1442" s="37" t="s">
        <v>195</v>
      </c>
      <c r="H1442" s="38" t="n">
        <v>198.868207462248</v>
      </c>
      <c r="I1442" s="38" t="n">
        <v>199.807024757187</v>
      </c>
      <c r="J1442" s="38" t="n">
        <v>217.746732279811</v>
      </c>
      <c r="K1442" s="38" t="n">
        <v>244.443003760145</v>
      </c>
      <c r="L1442" s="38" t="n">
        <v>46.7310149440652</v>
      </c>
      <c r="M1442" s="38" t="n">
        <v>103.768312334868</v>
      </c>
      <c r="N1442" s="38" t="n">
        <v>136.353978964299</v>
      </c>
      <c r="O1442" s="38" t="n">
        <v>73.1350597541325</v>
      </c>
      <c r="P1442" s="37" t="n">
        <v>0</v>
      </c>
      <c r="Q1442" s="38" t="n">
        <v>0</v>
      </c>
      <c r="R1442" s="38" t="n">
        <v>70.3614033551762</v>
      </c>
      <c r="S1442" s="37" t="n">
        <v>0</v>
      </c>
    </row>
    <row r="1443" customFormat="false" ht="15" hidden="false" customHeight="false" outlineLevel="0" collapsed="false">
      <c r="A1443" s="37" t="n">
        <v>5</v>
      </c>
      <c r="B1443" s="37" t="n">
        <v>5</v>
      </c>
      <c r="C1443" s="37" t="n">
        <v>5</v>
      </c>
      <c r="D1443" s="37" t="n">
        <v>5</v>
      </c>
      <c r="E1443" s="37" t="n">
        <v>10</v>
      </c>
      <c r="F1443" s="37" t="n">
        <v>0</v>
      </c>
      <c r="G1443" s="37" t="s">
        <v>197</v>
      </c>
      <c r="H1443" s="38" t="n">
        <v>198.868207462248</v>
      </c>
      <c r="I1443" s="38" t="n">
        <v>199.752519270037</v>
      </c>
      <c r="J1443" s="38" t="n">
        <v>219.936651656984</v>
      </c>
      <c r="K1443" s="38" t="n">
        <v>249.899841483913</v>
      </c>
      <c r="L1443" s="38" t="n">
        <v>48.6413249486295</v>
      </c>
      <c r="M1443" s="38" t="n">
        <v>107.345062377912</v>
      </c>
      <c r="N1443" s="38" t="n">
        <v>145.939062386438</v>
      </c>
      <c r="O1443" s="38" t="n">
        <v>76.8093789978627</v>
      </c>
      <c r="P1443" s="37" t="n">
        <v>0</v>
      </c>
      <c r="Q1443" s="38" t="n">
        <v>0</v>
      </c>
      <c r="R1443" s="38" t="n">
        <v>72</v>
      </c>
      <c r="S1443" s="37" t="n">
        <v>1</v>
      </c>
    </row>
    <row r="1444" customFormat="false" ht="15" hidden="false" customHeight="false" outlineLevel="0" collapsed="false">
      <c r="A1444" s="37" t="n">
        <v>5</v>
      </c>
      <c r="B1444" s="37" t="n">
        <v>5</v>
      </c>
      <c r="C1444" s="37" t="n">
        <v>5</v>
      </c>
      <c r="D1444" s="37" t="n">
        <v>5</v>
      </c>
      <c r="E1444" s="37" t="n">
        <v>10</v>
      </c>
      <c r="F1444" s="37" t="n">
        <v>0</v>
      </c>
      <c r="G1444" s="37" t="s">
        <v>196</v>
      </c>
      <c r="H1444" s="38" t="n">
        <v>198.868207462248</v>
      </c>
      <c r="I1444" s="38" t="n">
        <v>199.741253579289</v>
      </c>
      <c r="J1444" s="38" t="n">
        <v>218.9254971823</v>
      </c>
      <c r="K1444" s="38" t="n">
        <v>248.677774707043</v>
      </c>
      <c r="L1444" s="38" t="n">
        <v>51.7461629479204</v>
      </c>
      <c r="M1444" s="38" t="n">
        <v>105.38412375128</v>
      </c>
      <c r="N1444" s="38" t="n">
        <v>141.735007499542</v>
      </c>
      <c r="O1444" s="38" t="n">
        <v>76.467825136776</v>
      </c>
      <c r="P1444" s="37" t="n">
        <v>0</v>
      </c>
      <c r="Q1444" s="38" t="n">
        <v>0</v>
      </c>
      <c r="R1444" s="38" t="n">
        <v>70.8897465111439</v>
      </c>
      <c r="S1444" s="37" t="n">
        <v>0</v>
      </c>
    </row>
    <row r="1445" customFormat="false" ht="15" hidden="false" customHeight="false" outlineLevel="0" collapsed="false">
      <c r="A1445" s="37" t="n">
        <v>5</v>
      </c>
      <c r="B1445" s="37" t="n">
        <v>5</v>
      </c>
      <c r="C1445" s="37" t="n">
        <v>5</v>
      </c>
      <c r="D1445" s="37" t="n">
        <v>10</v>
      </c>
      <c r="E1445" s="37" t="n">
        <v>0</v>
      </c>
      <c r="F1445" s="37" t="n">
        <v>5</v>
      </c>
      <c r="G1445" s="37" t="s">
        <v>188</v>
      </c>
      <c r="H1445" s="38" t="n">
        <v>199.120398063715</v>
      </c>
      <c r="I1445" s="38" t="n">
        <v>201.043835634665</v>
      </c>
      <c r="J1445" s="38" t="n">
        <v>223.70208768809</v>
      </c>
      <c r="K1445" s="38" t="n">
        <v>252.534690811145</v>
      </c>
      <c r="L1445" s="38" t="n">
        <v>90.2654683172855</v>
      </c>
      <c r="M1445" s="38" t="n">
        <v>104.537556045693</v>
      </c>
      <c r="N1445" s="38" t="n">
        <v>140.194108333443</v>
      </c>
      <c r="O1445" s="38" t="n">
        <v>79.9201930446201</v>
      </c>
      <c r="P1445" s="37" t="n">
        <v>0</v>
      </c>
      <c r="Q1445" s="38" t="n">
        <v>0</v>
      </c>
      <c r="R1445" s="38" t="n">
        <v>72</v>
      </c>
      <c r="S1445" s="37" t="n">
        <v>0</v>
      </c>
    </row>
    <row r="1446" customFormat="false" ht="15" hidden="false" customHeight="false" outlineLevel="0" collapsed="false">
      <c r="A1446" s="37" t="n">
        <v>5</v>
      </c>
      <c r="B1446" s="37" t="n">
        <v>5</v>
      </c>
      <c r="C1446" s="37" t="n">
        <v>5</v>
      </c>
      <c r="D1446" s="37" t="n">
        <v>10</v>
      </c>
      <c r="E1446" s="37" t="n">
        <v>0</v>
      </c>
      <c r="F1446" s="37" t="n">
        <v>5</v>
      </c>
      <c r="G1446" s="37" t="s">
        <v>192</v>
      </c>
      <c r="H1446" s="38" t="n">
        <v>199.120398063715</v>
      </c>
      <c r="I1446" s="38" t="n">
        <v>200.939754329658</v>
      </c>
      <c r="J1446" s="38" t="n">
        <v>231.071275624856</v>
      </c>
      <c r="K1446" s="38" t="n">
        <v>254.809010956755</v>
      </c>
      <c r="L1446" s="38" t="n">
        <v>83.3992287063563</v>
      </c>
      <c r="M1446" s="38" t="n">
        <v>101.38427305809</v>
      </c>
      <c r="N1446" s="38" t="n">
        <v>141.847011355919</v>
      </c>
      <c r="O1446" s="38" t="n">
        <v>79.8723194180338</v>
      </c>
      <c r="P1446" s="37" t="n">
        <v>0</v>
      </c>
      <c r="Q1446" s="38" t="n">
        <v>0</v>
      </c>
      <c r="R1446" s="38" t="n">
        <v>72</v>
      </c>
      <c r="S1446" s="37" t="n">
        <v>1</v>
      </c>
    </row>
    <row r="1447" customFormat="false" ht="15" hidden="false" customHeight="false" outlineLevel="0" collapsed="false">
      <c r="A1447" s="37" t="n">
        <v>5</v>
      </c>
      <c r="B1447" s="37" t="n">
        <v>5</v>
      </c>
      <c r="C1447" s="37" t="n">
        <v>5</v>
      </c>
      <c r="D1447" s="37" t="n">
        <v>10</v>
      </c>
      <c r="E1447" s="37" t="n">
        <v>0</v>
      </c>
      <c r="F1447" s="37" t="n">
        <v>5</v>
      </c>
      <c r="G1447" s="37" t="s">
        <v>195</v>
      </c>
      <c r="H1447" s="38" t="n">
        <v>199.120398063715</v>
      </c>
      <c r="I1447" s="38" t="n">
        <v>201.1022305674</v>
      </c>
      <c r="J1447" s="38" t="n">
        <v>223.497519437093</v>
      </c>
      <c r="K1447" s="38" t="n">
        <v>252.217399080288</v>
      </c>
      <c r="L1447" s="38" t="n">
        <v>98.9673990802882</v>
      </c>
      <c r="M1447" s="38" t="n">
        <v>105.386550715004</v>
      </c>
      <c r="N1447" s="38" t="n">
        <v>141.485554729728</v>
      </c>
      <c r="O1447" s="38" t="n">
        <v>78.330139470089</v>
      </c>
      <c r="P1447" s="37" t="n">
        <v>0</v>
      </c>
      <c r="Q1447" s="38" t="n">
        <v>0</v>
      </c>
      <c r="R1447" s="38" t="n">
        <v>67.5094872365439</v>
      </c>
      <c r="S1447" s="37" t="n">
        <v>0</v>
      </c>
    </row>
    <row r="1448" customFormat="false" ht="15" hidden="false" customHeight="false" outlineLevel="0" collapsed="false">
      <c r="A1448" s="37" t="n">
        <v>5</v>
      </c>
      <c r="B1448" s="37" t="n">
        <v>5</v>
      </c>
      <c r="C1448" s="37" t="n">
        <v>5</v>
      </c>
      <c r="D1448" s="37" t="n">
        <v>10</v>
      </c>
      <c r="E1448" s="37" t="n">
        <v>0</v>
      </c>
      <c r="F1448" s="37" t="n">
        <v>5</v>
      </c>
      <c r="G1448" s="37" t="s">
        <v>197</v>
      </c>
      <c r="H1448" s="38" t="n">
        <v>199.120398063715</v>
      </c>
      <c r="I1448" s="38" t="n">
        <v>200.929104794233</v>
      </c>
      <c r="J1448" s="38" t="n">
        <v>221.757332776474</v>
      </c>
      <c r="K1448" s="38" t="n">
        <v>249.220696777097</v>
      </c>
      <c r="L1448" s="38" t="n">
        <v>87.0794464518471</v>
      </c>
      <c r="M1448" s="38" t="n">
        <v>101.858453890104</v>
      </c>
      <c r="N1448" s="38" t="n">
        <v>126.762944526305</v>
      </c>
      <c r="O1448" s="38" t="n">
        <v>74.1843258494375</v>
      </c>
      <c r="P1448" s="37" t="n">
        <v>0</v>
      </c>
      <c r="Q1448" s="38" t="n">
        <v>0</v>
      </c>
      <c r="R1448" s="38" t="n">
        <v>72</v>
      </c>
      <c r="S1448" s="37" t="n">
        <v>0</v>
      </c>
    </row>
    <row r="1449" customFormat="false" ht="15" hidden="false" customHeight="false" outlineLevel="0" collapsed="false">
      <c r="A1449" s="37" t="n">
        <v>5</v>
      </c>
      <c r="B1449" s="37" t="n">
        <v>5</v>
      </c>
      <c r="C1449" s="37" t="n">
        <v>5</v>
      </c>
      <c r="D1449" s="37" t="n">
        <v>10</v>
      </c>
      <c r="E1449" s="37" t="n">
        <v>0</v>
      </c>
      <c r="F1449" s="37" t="n">
        <v>5</v>
      </c>
      <c r="G1449" s="37" t="s">
        <v>196</v>
      </c>
      <c r="H1449" s="38" t="n">
        <v>199.120398063715</v>
      </c>
      <c r="I1449" s="38" t="n">
        <v>200.941703743706</v>
      </c>
      <c r="J1449" s="38" t="n">
        <v>222.722201598563</v>
      </c>
      <c r="K1449" s="38" t="n">
        <v>250.63100876971</v>
      </c>
      <c r="L1449" s="38" t="n">
        <v>94.5021198808212</v>
      </c>
      <c r="M1449" s="38" t="n">
        <v>104.955658146274</v>
      </c>
      <c r="N1449" s="38" t="n">
        <v>138.184814480474</v>
      </c>
      <c r="O1449" s="38" t="n">
        <v>78.338182520178</v>
      </c>
      <c r="P1449" s="37" t="n">
        <v>0</v>
      </c>
      <c r="Q1449" s="38" t="n">
        <v>0</v>
      </c>
      <c r="R1449" s="38" t="n">
        <v>71.0824</v>
      </c>
      <c r="S1449" s="37" t="n">
        <v>0</v>
      </c>
    </row>
    <row r="1450" customFormat="false" ht="15" hidden="false" customHeight="false" outlineLevel="0" collapsed="false">
      <c r="A1450" s="37" t="n">
        <v>5</v>
      </c>
      <c r="B1450" s="37" t="n">
        <v>5</v>
      </c>
      <c r="C1450" s="37" t="n">
        <v>5</v>
      </c>
      <c r="D1450" s="37" t="n">
        <v>10</v>
      </c>
      <c r="E1450" s="37" t="n">
        <v>5</v>
      </c>
      <c r="F1450" s="37" t="n">
        <v>0</v>
      </c>
      <c r="G1450" s="37" t="s">
        <v>188</v>
      </c>
      <c r="H1450" s="38" t="n">
        <v>199.068964564806</v>
      </c>
      <c r="I1450" s="38" t="n">
        <v>200.753540356631</v>
      </c>
      <c r="J1450" s="38" t="n">
        <v>224.380889988038</v>
      </c>
      <c r="K1450" s="38" t="n">
        <v>251.763246500529</v>
      </c>
      <c r="L1450" s="38" t="n">
        <v>49.4676207239606</v>
      </c>
      <c r="M1450" s="38" t="n">
        <v>104.484580208595</v>
      </c>
      <c r="N1450" s="38" t="n">
        <v>143.922434928111</v>
      </c>
      <c r="O1450" s="38" t="n">
        <v>78.8172706293326</v>
      </c>
      <c r="P1450" s="37" t="n">
        <v>0</v>
      </c>
      <c r="Q1450" s="38" t="n">
        <v>0</v>
      </c>
      <c r="R1450" s="38" t="n">
        <v>72</v>
      </c>
      <c r="S1450" s="37" t="n">
        <v>1</v>
      </c>
    </row>
    <row r="1451" customFormat="false" ht="15" hidden="false" customHeight="false" outlineLevel="0" collapsed="false">
      <c r="A1451" s="37" t="n">
        <v>5</v>
      </c>
      <c r="B1451" s="37" t="n">
        <v>5</v>
      </c>
      <c r="C1451" s="37" t="n">
        <v>5</v>
      </c>
      <c r="D1451" s="37" t="n">
        <v>10</v>
      </c>
      <c r="E1451" s="37" t="n">
        <v>5</v>
      </c>
      <c r="F1451" s="37" t="n">
        <v>0</v>
      </c>
      <c r="G1451" s="37" t="s">
        <v>192</v>
      </c>
      <c r="H1451" s="38" t="n">
        <v>199.068964564806</v>
      </c>
      <c r="I1451" s="38" t="n">
        <v>200.662939293407</v>
      </c>
      <c r="J1451" s="38" t="n">
        <v>223.764265265236</v>
      </c>
      <c r="K1451" s="38" t="n">
        <v>250.308484595536</v>
      </c>
      <c r="L1451" s="38" t="n">
        <v>49.6498425444807</v>
      </c>
      <c r="M1451" s="38" t="n">
        <v>101.356802649115</v>
      </c>
      <c r="N1451" s="38" t="n">
        <v>139.836313503929</v>
      </c>
      <c r="O1451" s="38" t="n">
        <v>77.0799997631825</v>
      </c>
      <c r="P1451" s="37" t="n">
        <v>0</v>
      </c>
      <c r="Q1451" s="38" t="n">
        <v>0</v>
      </c>
      <c r="R1451" s="38" t="n">
        <v>72</v>
      </c>
      <c r="S1451" s="37" t="n">
        <v>0</v>
      </c>
    </row>
    <row r="1452" customFormat="false" ht="15" hidden="false" customHeight="false" outlineLevel="0" collapsed="false">
      <c r="A1452" s="37" t="n">
        <v>5</v>
      </c>
      <c r="B1452" s="37" t="n">
        <v>5</v>
      </c>
      <c r="C1452" s="37" t="n">
        <v>5</v>
      </c>
      <c r="D1452" s="37" t="n">
        <v>10</v>
      </c>
      <c r="E1452" s="37" t="n">
        <v>5</v>
      </c>
      <c r="F1452" s="37" t="n">
        <v>0</v>
      </c>
      <c r="G1452" s="37" t="s">
        <v>195</v>
      </c>
      <c r="H1452" s="38" t="n">
        <v>199.068964564806</v>
      </c>
      <c r="I1452" s="38" t="n">
        <v>200.82095215693</v>
      </c>
      <c r="J1452" s="38" t="n">
        <v>222.731407251129</v>
      </c>
      <c r="K1452" s="38" t="n">
        <v>250.017775854824</v>
      </c>
      <c r="L1452" s="38" t="n">
        <v>56.7677758548242</v>
      </c>
      <c r="M1452" s="38" t="n">
        <v>105.317551175606</v>
      </c>
      <c r="N1452" s="38" t="n">
        <v>142.727267433214</v>
      </c>
      <c r="O1452" s="38" t="n">
        <v>76.7564246679517</v>
      </c>
      <c r="P1452" s="37" t="n">
        <v>0</v>
      </c>
      <c r="Q1452" s="38" t="n">
        <v>0</v>
      </c>
      <c r="R1452" s="38" t="n">
        <v>67.4119573423608</v>
      </c>
      <c r="S1452" s="37" t="n">
        <v>0</v>
      </c>
    </row>
    <row r="1453" customFormat="false" ht="15" hidden="false" customHeight="false" outlineLevel="0" collapsed="false">
      <c r="A1453" s="37" t="n">
        <v>5</v>
      </c>
      <c r="B1453" s="37" t="n">
        <v>5</v>
      </c>
      <c r="C1453" s="37" t="n">
        <v>5</v>
      </c>
      <c r="D1453" s="37" t="n">
        <v>10</v>
      </c>
      <c r="E1453" s="37" t="n">
        <v>5</v>
      </c>
      <c r="F1453" s="37" t="n">
        <v>0</v>
      </c>
      <c r="G1453" s="37" t="s">
        <v>197</v>
      </c>
      <c r="H1453" s="38" t="n">
        <v>199.068964564806</v>
      </c>
      <c r="I1453" s="38" t="n">
        <v>200.666054497984</v>
      </c>
      <c r="J1453" s="38" t="n">
        <v>223.194324629058</v>
      </c>
      <c r="K1453" s="38" t="n">
        <v>249.717584632386</v>
      </c>
      <c r="L1453" s="38" t="n">
        <v>48.0296001937057</v>
      </c>
      <c r="M1453" s="38" t="n">
        <v>105.15532952826</v>
      </c>
      <c r="N1453" s="38" t="n">
        <v>139.809743523943</v>
      </c>
      <c r="O1453" s="38" t="n">
        <v>77.3179145940138</v>
      </c>
      <c r="P1453" s="37" t="n">
        <v>0</v>
      </c>
      <c r="Q1453" s="38" t="n">
        <v>0</v>
      </c>
      <c r="R1453" s="38" t="n">
        <v>72</v>
      </c>
      <c r="S1453" s="37" t="n">
        <v>0</v>
      </c>
    </row>
    <row r="1454" customFormat="false" ht="15" hidden="false" customHeight="false" outlineLevel="0" collapsed="false">
      <c r="A1454" s="37" t="n">
        <v>5</v>
      </c>
      <c r="B1454" s="37" t="n">
        <v>5</v>
      </c>
      <c r="C1454" s="37" t="n">
        <v>5</v>
      </c>
      <c r="D1454" s="37" t="n">
        <v>10</v>
      </c>
      <c r="E1454" s="37" t="n">
        <v>5</v>
      </c>
      <c r="F1454" s="37" t="n">
        <v>0</v>
      </c>
      <c r="G1454" s="37" t="s">
        <v>196</v>
      </c>
      <c r="H1454" s="38" t="n">
        <v>199.068964564806</v>
      </c>
      <c r="I1454" s="38" t="n">
        <v>200.668398193241</v>
      </c>
      <c r="J1454" s="38" t="n">
        <v>223.143424127126</v>
      </c>
      <c r="K1454" s="38" t="n">
        <v>249.754482919564</v>
      </c>
      <c r="L1454" s="38" t="n">
        <v>53.1993232285754</v>
      </c>
      <c r="M1454" s="38" t="n">
        <v>105.59147665632</v>
      </c>
      <c r="N1454" s="38" t="n">
        <v>143.081068426401</v>
      </c>
      <c r="O1454" s="38" t="n">
        <v>78.1514026772664</v>
      </c>
      <c r="P1454" s="37" t="n">
        <v>0</v>
      </c>
      <c r="Q1454" s="38" t="n">
        <v>0</v>
      </c>
      <c r="R1454" s="38" t="n">
        <v>70.980095007496</v>
      </c>
      <c r="S1454" s="37" t="n">
        <v>0</v>
      </c>
    </row>
    <row r="1455" customFormat="false" ht="15" hidden="false" customHeight="false" outlineLevel="0" collapsed="false">
      <c r="A1455" s="37" t="n">
        <v>5</v>
      </c>
      <c r="B1455" s="37" t="n">
        <v>5</v>
      </c>
      <c r="C1455" s="37" t="n">
        <v>5</v>
      </c>
      <c r="D1455" s="37" t="n">
        <v>15</v>
      </c>
      <c r="E1455" s="37" t="n">
        <v>0</v>
      </c>
      <c r="F1455" s="37" t="n">
        <v>0</v>
      </c>
      <c r="G1455" s="37" t="s">
        <v>188</v>
      </c>
      <c r="H1455" s="38" t="n">
        <v>199.26757729821</v>
      </c>
      <c r="I1455" s="38" t="n">
        <v>201.753369856736</v>
      </c>
      <c r="J1455" s="38" t="n">
        <v>227.173509312074</v>
      </c>
      <c r="K1455" s="38" t="n">
        <v>251.490836450535</v>
      </c>
      <c r="L1455" s="38" t="n">
        <v>49.6742733238731</v>
      </c>
      <c r="M1455" s="38" t="n">
        <v>104.934905872842</v>
      </c>
      <c r="N1455" s="38" t="n">
        <v>142.582702247387</v>
      </c>
      <c r="O1455" s="38" t="n">
        <v>79.243688806741</v>
      </c>
      <c r="P1455" s="37" t="n">
        <v>0</v>
      </c>
      <c r="Q1455" s="38" t="n">
        <v>0</v>
      </c>
      <c r="R1455" s="38" t="n">
        <v>72</v>
      </c>
      <c r="S1455" s="37" t="n">
        <v>0</v>
      </c>
    </row>
    <row r="1456" customFormat="false" ht="15" hidden="false" customHeight="false" outlineLevel="0" collapsed="false">
      <c r="A1456" s="37" t="n">
        <v>5</v>
      </c>
      <c r="B1456" s="37" t="n">
        <v>5</v>
      </c>
      <c r="C1456" s="37" t="n">
        <v>5</v>
      </c>
      <c r="D1456" s="37" t="n">
        <v>15</v>
      </c>
      <c r="E1456" s="37" t="n">
        <v>0</v>
      </c>
      <c r="F1456" s="37" t="n">
        <v>0</v>
      </c>
      <c r="G1456" s="37" t="s">
        <v>192</v>
      </c>
      <c r="H1456" s="38" t="n">
        <v>199.26757729821</v>
      </c>
      <c r="I1456" s="38" t="n">
        <v>201.64450273652</v>
      </c>
      <c r="J1456" s="38" t="n">
        <v>234.653308177152</v>
      </c>
      <c r="K1456" s="38" t="n">
        <v>253.791099303869</v>
      </c>
      <c r="L1456" s="38" t="n">
        <v>91.6629429975298</v>
      </c>
      <c r="M1456" s="38" t="n">
        <v>101.765383248065</v>
      </c>
      <c r="N1456" s="38" t="n">
        <v>142.895941582218</v>
      </c>
      <c r="O1456" s="38" t="n">
        <v>78.946977955175</v>
      </c>
      <c r="P1456" s="37" t="n">
        <v>0</v>
      </c>
      <c r="Q1456" s="38" t="n">
        <v>0</v>
      </c>
      <c r="R1456" s="38" t="n">
        <v>72</v>
      </c>
      <c r="S1456" s="37" t="n">
        <v>0</v>
      </c>
    </row>
    <row r="1457" customFormat="false" ht="15" hidden="false" customHeight="false" outlineLevel="0" collapsed="false">
      <c r="A1457" s="37" t="n">
        <v>5</v>
      </c>
      <c r="B1457" s="37" t="n">
        <v>5</v>
      </c>
      <c r="C1457" s="37" t="n">
        <v>5</v>
      </c>
      <c r="D1457" s="37" t="n">
        <v>15</v>
      </c>
      <c r="E1457" s="37" t="n">
        <v>0</v>
      </c>
      <c r="F1457" s="37" t="n">
        <v>0</v>
      </c>
      <c r="G1457" s="37" t="s">
        <v>195</v>
      </c>
      <c r="H1457" s="38" t="n">
        <v>199.26757729821</v>
      </c>
      <c r="I1457" s="38" t="n">
        <v>201.884608300725</v>
      </c>
      <c r="J1457" s="38" t="n">
        <v>228.364409052396</v>
      </c>
      <c r="K1457" s="38" t="n">
        <v>253.405237095362</v>
      </c>
      <c r="L1457" s="38" t="n">
        <v>60.1552370953618</v>
      </c>
      <c r="M1457" s="38" t="n">
        <v>106.710048085251</v>
      </c>
      <c r="N1457" s="38" t="n">
        <v>145.955529159229</v>
      </c>
      <c r="O1457" s="38" t="n">
        <v>78.6037618626237</v>
      </c>
      <c r="P1457" s="37" t="n">
        <v>0</v>
      </c>
      <c r="Q1457" s="38" t="n">
        <v>0</v>
      </c>
      <c r="R1457" s="38" t="n">
        <v>67.6095012128378</v>
      </c>
      <c r="S1457" s="37" t="n">
        <v>1</v>
      </c>
    </row>
    <row r="1458" customFormat="false" ht="15" hidden="false" customHeight="false" outlineLevel="0" collapsed="false">
      <c r="A1458" s="37" t="n">
        <v>5</v>
      </c>
      <c r="B1458" s="37" t="n">
        <v>5</v>
      </c>
      <c r="C1458" s="37" t="n">
        <v>5</v>
      </c>
      <c r="D1458" s="37" t="n">
        <v>15</v>
      </c>
      <c r="E1458" s="37" t="n">
        <v>0</v>
      </c>
      <c r="F1458" s="37" t="n">
        <v>0</v>
      </c>
      <c r="G1458" s="37" t="s">
        <v>197</v>
      </c>
      <c r="H1458" s="38" t="n">
        <v>199.26757729821</v>
      </c>
      <c r="I1458" s="38" t="n">
        <v>201.635022065691</v>
      </c>
      <c r="J1458" s="38" t="n">
        <v>225.07799587529</v>
      </c>
      <c r="K1458" s="38" t="n">
        <v>247.966842688743</v>
      </c>
      <c r="L1458" s="38" t="n">
        <v>45.9950512288455</v>
      </c>
      <c r="M1458" s="38" t="n">
        <v>102.298559410383</v>
      </c>
      <c r="N1458" s="38" t="n">
        <v>129.134265698568</v>
      </c>
      <c r="O1458" s="38" t="n">
        <v>73.4816390580369</v>
      </c>
      <c r="P1458" s="37" t="n">
        <v>0</v>
      </c>
      <c r="Q1458" s="38" t="n">
        <v>0</v>
      </c>
      <c r="R1458" s="38" t="n">
        <v>72</v>
      </c>
      <c r="S1458" s="37" t="n">
        <v>0</v>
      </c>
    </row>
    <row r="1459" customFormat="false" ht="15" hidden="false" customHeight="false" outlineLevel="0" collapsed="false">
      <c r="A1459" s="37" t="n">
        <v>5</v>
      </c>
      <c r="B1459" s="37" t="n">
        <v>5</v>
      </c>
      <c r="C1459" s="37" t="n">
        <v>5</v>
      </c>
      <c r="D1459" s="37" t="n">
        <v>15</v>
      </c>
      <c r="E1459" s="37" t="n">
        <v>0</v>
      </c>
      <c r="F1459" s="37" t="n">
        <v>0</v>
      </c>
      <c r="G1459" s="37" t="s">
        <v>196</v>
      </c>
      <c r="H1459" s="38" t="n">
        <v>199.26757729821</v>
      </c>
      <c r="I1459" s="38" t="n">
        <v>201.64628633838</v>
      </c>
      <c r="J1459" s="38" t="n">
        <v>225.983531785788</v>
      </c>
      <c r="K1459" s="38" t="n">
        <v>249.280486032159</v>
      </c>
      <c r="L1459" s="38" t="n">
        <v>53.15159714327</v>
      </c>
      <c r="M1459" s="38" t="n">
        <v>105.651639742396</v>
      </c>
      <c r="N1459" s="38" t="n">
        <v>140.335455123602</v>
      </c>
      <c r="O1459" s="38" t="n">
        <v>77.4308819004837</v>
      </c>
      <c r="P1459" s="37" t="n">
        <v>0</v>
      </c>
      <c r="Q1459" s="38" t="n">
        <v>0</v>
      </c>
      <c r="R1459" s="38" t="n">
        <v>71.0824</v>
      </c>
      <c r="S1459" s="37" t="n">
        <v>0</v>
      </c>
    </row>
    <row r="1460" customFormat="false" ht="15" hidden="false" customHeight="false" outlineLevel="0" collapsed="false">
      <c r="A1460" s="37" t="n">
        <v>5</v>
      </c>
      <c r="B1460" s="37" t="n">
        <v>5</v>
      </c>
      <c r="C1460" s="37" t="n">
        <v>10</v>
      </c>
      <c r="D1460" s="37" t="n">
        <v>0</v>
      </c>
      <c r="E1460" s="37" t="n">
        <v>0</v>
      </c>
      <c r="F1460" s="37" t="n">
        <v>10</v>
      </c>
      <c r="G1460" s="37" t="s">
        <v>188</v>
      </c>
      <c r="H1460" s="38" t="n">
        <v>198.929928977387</v>
      </c>
      <c r="I1460" s="38" t="n">
        <v>201.838318590425</v>
      </c>
      <c r="J1460" s="38" t="n">
        <v>223.049821928732</v>
      </c>
      <c r="K1460" s="38" t="n">
        <v>271.636996129468</v>
      </c>
      <c r="L1460" s="38" t="n">
        <v>149.180027609244</v>
      </c>
      <c r="M1460" s="38" t="n">
        <v>109.324635894448</v>
      </c>
      <c r="N1460" s="38" t="n">
        <v>144.96562553318</v>
      </c>
      <c r="O1460" s="38" t="n">
        <v>78.2506759546591</v>
      </c>
      <c r="P1460" s="37" t="n">
        <v>0</v>
      </c>
      <c r="Q1460" s="38" t="n">
        <v>0</v>
      </c>
      <c r="R1460" s="38" t="n">
        <v>70.5</v>
      </c>
      <c r="S1460" s="37" t="n">
        <v>0</v>
      </c>
    </row>
    <row r="1461" customFormat="false" ht="15" hidden="false" customHeight="false" outlineLevel="0" collapsed="false">
      <c r="A1461" s="37" t="n">
        <v>5</v>
      </c>
      <c r="B1461" s="37" t="n">
        <v>5</v>
      </c>
      <c r="C1461" s="37" t="n">
        <v>10</v>
      </c>
      <c r="D1461" s="37" t="n">
        <v>0</v>
      </c>
      <c r="E1461" s="37" t="n">
        <v>0</v>
      </c>
      <c r="F1461" s="37" t="n">
        <v>10</v>
      </c>
      <c r="G1461" s="37" t="s">
        <v>192</v>
      </c>
      <c r="H1461" s="38" t="n">
        <v>198.929928977387</v>
      </c>
      <c r="I1461" s="38" t="n">
        <v>201.691848552432</v>
      </c>
      <c r="J1461" s="38" t="n">
        <v>230.042323922897</v>
      </c>
      <c r="K1461" s="38" t="n">
        <v>273.007013573473</v>
      </c>
      <c r="L1461" s="38" t="n">
        <v>141.4689902235</v>
      </c>
      <c r="M1461" s="38" t="n">
        <v>106.057015026441</v>
      </c>
      <c r="N1461" s="38" t="n">
        <v>145.732015859802</v>
      </c>
      <c r="O1461" s="38" t="n">
        <v>77.9516475815458</v>
      </c>
      <c r="P1461" s="37" t="n">
        <v>0</v>
      </c>
      <c r="Q1461" s="38" t="n">
        <v>0</v>
      </c>
      <c r="R1461" s="38" t="n">
        <v>70.5</v>
      </c>
      <c r="S1461" s="37" t="n">
        <v>1</v>
      </c>
    </row>
    <row r="1462" customFormat="false" ht="15" hidden="false" customHeight="false" outlineLevel="0" collapsed="false">
      <c r="A1462" s="37" t="n">
        <v>5</v>
      </c>
      <c r="B1462" s="37" t="n">
        <v>5</v>
      </c>
      <c r="C1462" s="37" t="n">
        <v>10</v>
      </c>
      <c r="D1462" s="37" t="n">
        <v>0</v>
      </c>
      <c r="E1462" s="37" t="n">
        <v>0</v>
      </c>
      <c r="F1462" s="37" t="n">
        <v>10</v>
      </c>
      <c r="G1462" s="37" t="s">
        <v>195</v>
      </c>
      <c r="H1462" s="38" t="n">
        <v>198.929928977387</v>
      </c>
      <c r="I1462" s="38" t="n">
        <v>201.719279514931</v>
      </c>
      <c r="J1462" s="38" t="n">
        <v>217.176812479986</v>
      </c>
      <c r="K1462" s="38" t="n">
        <v>259.830336178919</v>
      </c>
      <c r="L1462" s="38" t="n">
        <v>141.269308757924</v>
      </c>
      <c r="M1462" s="38" t="n">
        <v>107.016058590617</v>
      </c>
      <c r="N1462" s="38" t="n">
        <v>130.627657950796</v>
      </c>
      <c r="O1462" s="38" t="n">
        <v>71.2711839211434</v>
      </c>
      <c r="P1462" s="37" t="n">
        <v>0</v>
      </c>
      <c r="Q1462" s="38" t="n">
        <v>0</v>
      </c>
      <c r="R1462" s="38" t="n">
        <v>68.6066917737014</v>
      </c>
      <c r="S1462" s="37" t="n">
        <v>0</v>
      </c>
    </row>
    <row r="1463" customFormat="false" ht="15" hidden="false" customHeight="false" outlineLevel="0" collapsed="false">
      <c r="A1463" s="37" t="n">
        <v>5</v>
      </c>
      <c r="B1463" s="37" t="n">
        <v>5</v>
      </c>
      <c r="C1463" s="37" t="n">
        <v>10</v>
      </c>
      <c r="D1463" s="37" t="n">
        <v>0</v>
      </c>
      <c r="E1463" s="37" t="n">
        <v>0</v>
      </c>
      <c r="F1463" s="37" t="n">
        <v>10</v>
      </c>
      <c r="G1463" s="37" t="s">
        <v>197</v>
      </c>
      <c r="H1463" s="38" t="n">
        <v>198.929928977387</v>
      </c>
      <c r="I1463" s="38" t="n">
        <v>201.67343234794</v>
      </c>
      <c r="J1463" s="38" t="n">
        <v>220.22580238129</v>
      </c>
      <c r="K1463" s="38" t="n">
        <v>266.745037888707</v>
      </c>
      <c r="L1463" s="38" t="n">
        <v>144.276005300655</v>
      </c>
      <c r="M1463" s="38" t="n">
        <v>104.54446878359</v>
      </c>
      <c r="N1463" s="38" t="n">
        <v>125.855660335668</v>
      </c>
      <c r="O1463" s="38" t="n">
        <v>71.265402789136</v>
      </c>
      <c r="P1463" s="37" t="n">
        <v>0</v>
      </c>
      <c r="Q1463" s="38" t="n">
        <v>0</v>
      </c>
      <c r="R1463" s="38" t="n">
        <v>70.5</v>
      </c>
      <c r="S1463" s="37" t="n">
        <v>0</v>
      </c>
    </row>
    <row r="1464" customFormat="false" ht="15" hidden="false" customHeight="false" outlineLevel="0" collapsed="false">
      <c r="A1464" s="37" t="n">
        <v>5</v>
      </c>
      <c r="B1464" s="37" t="n">
        <v>5</v>
      </c>
      <c r="C1464" s="37" t="n">
        <v>10</v>
      </c>
      <c r="D1464" s="37" t="n">
        <v>0</v>
      </c>
      <c r="E1464" s="37" t="n">
        <v>0</v>
      </c>
      <c r="F1464" s="37" t="n">
        <v>10</v>
      </c>
      <c r="G1464" s="37" t="s">
        <v>196</v>
      </c>
      <c r="H1464" s="38" t="n">
        <v>198.929928977387</v>
      </c>
      <c r="I1464" s="38" t="n">
        <v>201.692959510767</v>
      </c>
      <c r="J1464" s="38" t="n">
        <v>220.977931025669</v>
      </c>
      <c r="K1464" s="38" t="n">
        <v>267.97554370671</v>
      </c>
      <c r="L1464" s="38" t="n">
        <v>151.476371276237</v>
      </c>
      <c r="M1464" s="38" t="n">
        <v>107.371797342025</v>
      </c>
      <c r="N1464" s="38" t="n">
        <v>136.657323920233</v>
      </c>
      <c r="O1464" s="38" t="n">
        <v>76.6419329614548</v>
      </c>
      <c r="P1464" s="37" t="n">
        <v>0</v>
      </c>
      <c r="Q1464" s="38" t="n">
        <v>0</v>
      </c>
      <c r="R1464" s="38" t="n">
        <v>69.4935319500199</v>
      </c>
      <c r="S1464" s="37" t="n">
        <v>0</v>
      </c>
    </row>
    <row r="1465" customFormat="false" ht="15" hidden="false" customHeight="false" outlineLevel="0" collapsed="false">
      <c r="A1465" s="37" t="n">
        <v>5</v>
      </c>
      <c r="B1465" s="37" t="n">
        <v>5</v>
      </c>
      <c r="C1465" s="37" t="n">
        <v>10</v>
      </c>
      <c r="D1465" s="37" t="n">
        <v>0</v>
      </c>
      <c r="E1465" s="37" t="n">
        <v>5</v>
      </c>
      <c r="F1465" s="37" t="n">
        <v>5</v>
      </c>
      <c r="G1465" s="37" t="s">
        <v>188</v>
      </c>
      <c r="H1465" s="38" t="n">
        <v>198.914074996832</v>
      </c>
      <c r="I1465" s="38" t="n">
        <v>201.643962843774</v>
      </c>
      <c r="J1465" s="38" t="n">
        <v>224.195270203735</v>
      </c>
      <c r="K1465" s="38" t="n">
        <v>272.16755435735</v>
      </c>
      <c r="L1465" s="38" t="n">
        <v>109.805576583094</v>
      </c>
      <c r="M1465" s="38" t="n">
        <v>109.392892901623</v>
      </c>
      <c r="N1465" s="38" t="n">
        <v>148.916343186485</v>
      </c>
      <c r="O1465" s="38" t="n">
        <v>77.3002568710367</v>
      </c>
      <c r="P1465" s="37" t="n">
        <v>0</v>
      </c>
      <c r="Q1465" s="38" t="n">
        <v>0</v>
      </c>
      <c r="R1465" s="38" t="n">
        <v>70.5</v>
      </c>
      <c r="S1465" s="37" t="n">
        <v>0</v>
      </c>
    </row>
    <row r="1466" customFormat="false" ht="15" hidden="false" customHeight="false" outlineLevel="0" collapsed="false">
      <c r="A1466" s="37" t="n">
        <v>5</v>
      </c>
      <c r="B1466" s="37" t="n">
        <v>5</v>
      </c>
      <c r="C1466" s="37" t="n">
        <v>10</v>
      </c>
      <c r="D1466" s="37" t="n">
        <v>0</v>
      </c>
      <c r="E1466" s="37" t="n">
        <v>5</v>
      </c>
      <c r="F1466" s="37" t="n">
        <v>5</v>
      </c>
      <c r="G1466" s="37" t="s">
        <v>192</v>
      </c>
      <c r="H1466" s="38" t="n">
        <v>198.914074996832</v>
      </c>
      <c r="I1466" s="38" t="n">
        <v>201.512092156708</v>
      </c>
      <c r="J1466" s="38" t="n">
        <v>231.040805097428</v>
      </c>
      <c r="K1466" s="38" t="n">
        <v>273.479129285101</v>
      </c>
      <c r="L1466" s="38" t="n">
        <v>101.714057742306</v>
      </c>
      <c r="M1466" s="38" t="n">
        <v>106.157977074392</v>
      </c>
      <c r="N1466" s="38" t="n">
        <v>149.135692019749</v>
      </c>
      <c r="O1466" s="38" t="n">
        <v>77.0260163851199</v>
      </c>
      <c r="P1466" s="37" t="n">
        <v>0</v>
      </c>
      <c r="Q1466" s="38" t="n">
        <v>0</v>
      </c>
      <c r="R1466" s="38" t="n">
        <v>70.5</v>
      </c>
      <c r="S1466" s="37" t="n">
        <v>1</v>
      </c>
    </row>
    <row r="1467" customFormat="false" ht="15" hidden="false" customHeight="false" outlineLevel="0" collapsed="false">
      <c r="A1467" s="37" t="n">
        <v>5</v>
      </c>
      <c r="B1467" s="37" t="n">
        <v>5</v>
      </c>
      <c r="C1467" s="37" t="n">
        <v>10</v>
      </c>
      <c r="D1467" s="37" t="n">
        <v>0</v>
      </c>
      <c r="E1467" s="37" t="n">
        <v>5</v>
      </c>
      <c r="F1467" s="37" t="n">
        <v>5</v>
      </c>
      <c r="G1467" s="37" t="s">
        <v>195</v>
      </c>
      <c r="H1467" s="38" t="n">
        <v>198.914074996832</v>
      </c>
      <c r="I1467" s="38" t="n">
        <v>201.53646084094</v>
      </c>
      <c r="J1467" s="38" t="n">
        <v>217.996162862081</v>
      </c>
      <c r="K1467" s="38" t="n">
        <v>260.046531115342</v>
      </c>
      <c r="L1467" s="38" t="n">
        <v>101.359109623317</v>
      </c>
      <c r="M1467" s="38" t="n">
        <v>107.206566269695</v>
      </c>
      <c r="N1467" s="38" t="n">
        <v>134.145090946843</v>
      </c>
      <c r="O1467" s="38" t="n">
        <v>70.444537071237</v>
      </c>
      <c r="P1467" s="37" t="n">
        <v>0</v>
      </c>
      <c r="Q1467" s="38" t="n">
        <v>0</v>
      </c>
      <c r="R1467" s="38" t="n">
        <v>68.5687735523926</v>
      </c>
      <c r="S1467" s="37" t="n">
        <v>0</v>
      </c>
    </row>
    <row r="1468" customFormat="false" ht="15" hidden="false" customHeight="false" outlineLevel="0" collapsed="false">
      <c r="A1468" s="37" t="n">
        <v>5</v>
      </c>
      <c r="B1468" s="37" t="n">
        <v>5</v>
      </c>
      <c r="C1468" s="37" t="n">
        <v>10</v>
      </c>
      <c r="D1468" s="37" t="n">
        <v>0</v>
      </c>
      <c r="E1468" s="37" t="n">
        <v>5</v>
      </c>
      <c r="F1468" s="37" t="n">
        <v>5</v>
      </c>
      <c r="G1468" s="37" t="s">
        <v>197</v>
      </c>
      <c r="H1468" s="38" t="n">
        <v>198.914074996832</v>
      </c>
      <c r="I1468" s="38" t="n">
        <v>201.501473460049</v>
      </c>
      <c r="J1468" s="38" t="n">
        <v>221.938354069297</v>
      </c>
      <c r="K1468" s="38" t="n">
        <v>268.243804885316</v>
      </c>
      <c r="L1468" s="38" t="n">
        <v>106.232459653765</v>
      </c>
      <c r="M1468" s="38" t="n">
        <v>108.0420961826</v>
      </c>
      <c r="N1468" s="38" t="n">
        <v>138.801737450161</v>
      </c>
      <c r="O1468" s="38" t="n">
        <v>74.3727132161627</v>
      </c>
      <c r="P1468" s="37" t="n">
        <v>0</v>
      </c>
      <c r="Q1468" s="38" t="n">
        <v>0</v>
      </c>
      <c r="R1468" s="38" t="n">
        <v>70.5</v>
      </c>
      <c r="S1468" s="37" t="n">
        <v>0</v>
      </c>
    </row>
    <row r="1469" customFormat="false" ht="15" hidden="false" customHeight="false" outlineLevel="0" collapsed="false">
      <c r="A1469" s="37" t="n">
        <v>5</v>
      </c>
      <c r="B1469" s="37" t="n">
        <v>5</v>
      </c>
      <c r="C1469" s="37" t="n">
        <v>10</v>
      </c>
      <c r="D1469" s="37" t="n">
        <v>0</v>
      </c>
      <c r="E1469" s="37" t="n">
        <v>5</v>
      </c>
      <c r="F1469" s="37" t="n">
        <v>5</v>
      </c>
      <c r="G1469" s="37" t="s">
        <v>196</v>
      </c>
      <c r="H1469" s="38" t="n">
        <v>198.914074996832</v>
      </c>
      <c r="I1469" s="38" t="n">
        <v>201.517384511933</v>
      </c>
      <c r="J1469" s="38" t="n">
        <v>221.993918598852</v>
      </c>
      <c r="K1469" s="38" t="n">
        <v>268.528008894735</v>
      </c>
      <c r="L1469" s="38" t="n">
        <v>111.563343888424</v>
      </c>
      <c r="M1469" s="38" t="n">
        <v>108.24834681654</v>
      </c>
      <c r="N1469" s="38" t="n">
        <v>142.188361864361</v>
      </c>
      <c r="O1469" s="38" t="n">
        <v>76.3470078132843</v>
      </c>
      <c r="P1469" s="37" t="n">
        <v>0</v>
      </c>
      <c r="Q1469" s="38" t="n">
        <v>0</v>
      </c>
      <c r="R1469" s="38" t="n">
        <v>69.3818137318188</v>
      </c>
      <c r="S1469" s="37" t="n">
        <v>0</v>
      </c>
    </row>
    <row r="1470" customFormat="false" ht="15" hidden="false" customHeight="false" outlineLevel="0" collapsed="false">
      <c r="A1470" s="37" t="n">
        <v>5</v>
      </c>
      <c r="B1470" s="37" t="n">
        <v>5</v>
      </c>
      <c r="C1470" s="37" t="n">
        <v>10</v>
      </c>
      <c r="D1470" s="37" t="n">
        <v>0</v>
      </c>
      <c r="E1470" s="37" t="n">
        <v>10</v>
      </c>
      <c r="F1470" s="37" t="n">
        <v>0</v>
      </c>
      <c r="G1470" s="37" t="s">
        <v>188</v>
      </c>
      <c r="H1470" s="38" t="n">
        <v>198.910514871044</v>
      </c>
      <c r="I1470" s="38" t="n">
        <v>201.594076817409</v>
      </c>
      <c r="J1470" s="38" t="n">
        <v>225.275999341448</v>
      </c>
      <c r="K1470" s="38" t="n">
        <v>273.212957007486</v>
      </c>
      <c r="L1470" s="38" t="n">
        <v>70.9605936780092</v>
      </c>
      <c r="M1470" s="38" t="n">
        <v>109.697241637833</v>
      </c>
      <c r="N1470" s="38" t="n">
        <v>152.211591027226</v>
      </c>
      <c r="O1470" s="38" t="n">
        <v>76.3807259835768</v>
      </c>
      <c r="P1470" s="37" t="n">
        <v>0</v>
      </c>
      <c r="Q1470" s="38" t="n">
        <v>0</v>
      </c>
      <c r="R1470" s="38" t="n">
        <v>70.5</v>
      </c>
      <c r="S1470" s="37" t="n">
        <v>1</v>
      </c>
    </row>
    <row r="1471" customFormat="false" ht="15" hidden="false" customHeight="false" outlineLevel="0" collapsed="false">
      <c r="A1471" s="37" t="n">
        <v>5</v>
      </c>
      <c r="B1471" s="37" t="n">
        <v>5</v>
      </c>
      <c r="C1471" s="37" t="n">
        <v>10</v>
      </c>
      <c r="D1471" s="37" t="n">
        <v>0</v>
      </c>
      <c r="E1471" s="37" t="n">
        <v>10</v>
      </c>
      <c r="F1471" s="37" t="n">
        <v>0</v>
      </c>
      <c r="G1471" s="37" t="s">
        <v>192</v>
      </c>
      <c r="H1471" s="38" t="n">
        <v>198.910514871044</v>
      </c>
      <c r="I1471" s="38" t="n">
        <v>201.468716578588</v>
      </c>
      <c r="J1471" s="38" t="n">
        <v>231.921576608043</v>
      </c>
      <c r="K1471" s="38" t="n">
        <v>274.353399723274</v>
      </c>
      <c r="L1471" s="38" t="n">
        <v>62.4276780268697</v>
      </c>
      <c r="M1471" s="38" t="n">
        <v>106.471265570537</v>
      </c>
      <c r="N1471" s="38" t="n">
        <v>151.785746764231</v>
      </c>
      <c r="O1471" s="38" t="n">
        <v>76.0458828090082</v>
      </c>
      <c r="P1471" s="37" t="n">
        <v>0</v>
      </c>
      <c r="Q1471" s="38" t="n">
        <v>0</v>
      </c>
      <c r="R1471" s="38" t="n">
        <v>70.5</v>
      </c>
      <c r="S1471" s="37" t="n">
        <v>0</v>
      </c>
    </row>
    <row r="1472" customFormat="false" ht="15" hidden="false" customHeight="false" outlineLevel="0" collapsed="false">
      <c r="A1472" s="37" t="n">
        <v>5</v>
      </c>
      <c r="B1472" s="37" t="n">
        <v>5</v>
      </c>
      <c r="C1472" s="37" t="n">
        <v>10</v>
      </c>
      <c r="D1472" s="37" t="n">
        <v>0</v>
      </c>
      <c r="E1472" s="37" t="n">
        <v>10</v>
      </c>
      <c r="F1472" s="37" t="n">
        <v>0</v>
      </c>
      <c r="G1472" s="37" t="s">
        <v>195</v>
      </c>
      <c r="H1472" s="38" t="n">
        <v>198.910514871044</v>
      </c>
      <c r="I1472" s="38" t="n">
        <v>201.497200044452</v>
      </c>
      <c r="J1472" s="38" t="n">
        <v>218.779973807686</v>
      </c>
      <c r="K1472" s="38" t="n">
        <v>260.871594000548</v>
      </c>
      <c r="L1472" s="38" t="n">
        <v>62.1086281908549</v>
      </c>
      <c r="M1472" s="38" t="n">
        <v>107.606189068097</v>
      </c>
      <c r="N1472" s="38" t="n">
        <v>136.911509869082</v>
      </c>
      <c r="O1472" s="38" t="n">
        <v>69.5510298250176</v>
      </c>
      <c r="P1472" s="37" t="n">
        <v>0</v>
      </c>
      <c r="Q1472" s="38" t="n">
        <v>0</v>
      </c>
      <c r="R1472" s="38" t="n">
        <v>68.5461102570919</v>
      </c>
      <c r="S1472" s="37" t="n">
        <v>0</v>
      </c>
    </row>
    <row r="1473" customFormat="false" ht="15" hidden="false" customHeight="false" outlineLevel="0" collapsed="false">
      <c r="A1473" s="37" t="n">
        <v>5</v>
      </c>
      <c r="B1473" s="37" t="n">
        <v>5</v>
      </c>
      <c r="C1473" s="37" t="n">
        <v>10</v>
      </c>
      <c r="D1473" s="37" t="n">
        <v>0</v>
      </c>
      <c r="E1473" s="37" t="n">
        <v>10</v>
      </c>
      <c r="F1473" s="37" t="n">
        <v>0</v>
      </c>
      <c r="G1473" s="37" t="s">
        <v>197</v>
      </c>
      <c r="H1473" s="38" t="n">
        <v>198.910514871044</v>
      </c>
      <c r="I1473" s="38" t="n">
        <v>201.482026235837</v>
      </c>
      <c r="J1473" s="38" t="n">
        <v>223.948530039589</v>
      </c>
      <c r="K1473" s="38" t="n">
        <v>270.719610297063</v>
      </c>
      <c r="L1473" s="38" t="n">
        <v>69.3066594659232</v>
      </c>
      <c r="M1473" s="38" t="n">
        <v>110.92311520444</v>
      </c>
      <c r="N1473" s="38" t="n">
        <v>149.765068598727</v>
      </c>
      <c r="O1473" s="38" t="n">
        <v>75.6577406483428</v>
      </c>
      <c r="P1473" s="37" t="n">
        <v>0</v>
      </c>
      <c r="Q1473" s="38" t="n">
        <v>0</v>
      </c>
      <c r="R1473" s="38" t="n">
        <v>70.5</v>
      </c>
      <c r="S1473" s="37" t="n">
        <v>0</v>
      </c>
    </row>
    <row r="1474" customFormat="false" ht="15" hidden="false" customHeight="false" outlineLevel="0" collapsed="false">
      <c r="A1474" s="37" t="n">
        <v>5</v>
      </c>
      <c r="B1474" s="37" t="n">
        <v>5</v>
      </c>
      <c r="C1474" s="37" t="n">
        <v>10</v>
      </c>
      <c r="D1474" s="37" t="n">
        <v>0</v>
      </c>
      <c r="E1474" s="37" t="n">
        <v>10</v>
      </c>
      <c r="F1474" s="37" t="n">
        <v>0</v>
      </c>
      <c r="G1474" s="37" t="s">
        <v>196</v>
      </c>
      <c r="H1474" s="38" t="n">
        <v>198.910514871044</v>
      </c>
      <c r="I1474" s="38" t="n">
        <v>201.481264429629</v>
      </c>
      <c r="J1474" s="38" t="n">
        <v>223.028172571166</v>
      </c>
      <c r="K1474" s="38" t="n">
        <v>269.681699878678</v>
      </c>
      <c r="L1474" s="38" t="n">
        <v>72.6460528134986</v>
      </c>
      <c r="M1474" s="38" t="n">
        <v>109.146971666448</v>
      </c>
      <c r="N1474" s="38" t="n">
        <v>146.609256878428</v>
      </c>
      <c r="O1474" s="38" t="n">
        <v>75.8045308573133</v>
      </c>
      <c r="P1474" s="37" t="n">
        <v>0</v>
      </c>
      <c r="Q1474" s="38" t="n">
        <v>0</v>
      </c>
      <c r="R1474" s="38" t="n">
        <v>69.3647780376903</v>
      </c>
      <c r="S1474" s="37" t="n">
        <v>0</v>
      </c>
    </row>
    <row r="1475" customFormat="false" ht="15" hidden="false" customHeight="false" outlineLevel="0" collapsed="false">
      <c r="A1475" s="37" t="n">
        <v>5</v>
      </c>
      <c r="B1475" s="37" t="n">
        <v>5</v>
      </c>
      <c r="C1475" s="37" t="n">
        <v>10</v>
      </c>
      <c r="D1475" s="37" t="n">
        <v>5</v>
      </c>
      <c r="E1475" s="37" t="n">
        <v>0</v>
      </c>
      <c r="F1475" s="37" t="n">
        <v>5</v>
      </c>
      <c r="G1475" s="37" t="s">
        <v>188</v>
      </c>
      <c r="H1475" s="38" t="n">
        <v>199.128572845772</v>
      </c>
      <c r="I1475" s="38" t="n">
        <v>203.387698117078</v>
      </c>
      <c r="J1475" s="38" t="n">
        <v>233.279031178247</v>
      </c>
      <c r="K1475" s="38" t="n">
        <v>277.907730517558</v>
      </c>
      <c r="L1475" s="38" t="n">
        <v>116.589321947266</v>
      </c>
      <c r="M1475" s="38" t="n">
        <v>111.180551299825</v>
      </c>
      <c r="N1475" s="38" t="n">
        <v>153.553249269879</v>
      </c>
      <c r="O1475" s="38" t="n">
        <v>83.1839555936037</v>
      </c>
      <c r="P1475" s="37" t="n">
        <v>0</v>
      </c>
      <c r="Q1475" s="38" t="n">
        <v>0</v>
      </c>
      <c r="R1475" s="38" t="n">
        <v>72</v>
      </c>
      <c r="S1475" s="37" t="n">
        <v>0</v>
      </c>
    </row>
    <row r="1476" customFormat="false" ht="15" hidden="false" customHeight="false" outlineLevel="0" collapsed="false">
      <c r="A1476" s="37" t="n">
        <v>5</v>
      </c>
      <c r="B1476" s="37" t="n">
        <v>5</v>
      </c>
      <c r="C1476" s="37" t="n">
        <v>10</v>
      </c>
      <c r="D1476" s="37" t="n">
        <v>5</v>
      </c>
      <c r="E1476" s="37" t="n">
        <v>0</v>
      </c>
      <c r="F1476" s="37" t="n">
        <v>5</v>
      </c>
      <c r="G1476" s="37" t="s">
        <v>192</v>
      </c>
      <c r="H1476" s="38" t="n">
        <v>199.128572845772</v>
      </c>
      <c r="I1476" s="38" t="n">
        <v>203.228446259319</v>
      </c>
      <c r="J1476" s="38" t="n">
        <v>239.879068000394</v>
      </c>
      <c r="K1476" s="38" t="n">
        <v>278.603573215155</v>
      </c>
      <c r="L1476" s="38" t="n">
        <v>108.269318986366</v>
      </c>
      <c r="M1476" s="38" t="n">
        <v>107.87273020494</v>
      </c>
      <c r="N1476" s="38" t="n">
        <v>153.800537435989</v>
      </c>
      <c r="O1476" s="38" t="n">
        <v>81.9721057875043</v>
      </c>
      <c r="P1476" s="37" t="n">
        <v>0</v>
      </c>
      <c r="Q1476" s="38" t="n">
        <v>0</v>
      </c>
      <c r="R1476" s="38" t="n">
        <v>72</v>
      </c>
      <c r="S1476" s="37" t="n">
        <v>1</v>
      </c>
    </row>
    <row r="1477" customFormat="false" ht="15" hidden="false" customHeight="false" outlineLevel="0" collapsed="false">
      <c r="A1477" s="37" t="n">
        <v>5</v>
      </c>
      <c r="B1477" s="37" t="n">
        <v>5</v>
      </c>
      <c r="C1477" s="37" t="n">
        <v>10</v>
      </c>
      <c r="D1477" s="37" t="n">
        <v>5</v>
      </c>
      <c r="E1477" s="37" t="n">
        <v>0</v>
      </c>
      <c r="F1477" s="37" t="n">
        <v>5</v>
      </c>
      <c r="G1477" s="37" t="s">
        <v>195</v>
      </c>
      <c r="H1477" s="38" t="n">
        <v>199.128572845772</v>
      </c>
      <c r="I1477" s="38" t="n">
        <v>203.367482129004</v>
      </c>
      <c r="J1477" s="38" t="n">
        <v>230.707099063378</v>
      </c>
      <c r="K1477" s="38" t="n">
        <v>271.490825402524</v>
      </c>
      <c r="L1477" s="38" t="n">
        <v>114.38450415519</v>
      </c>
      <c r="M1477" s="38" t="n">
        <v>110.645570598716</v>
      </c>
      <c r="N1477" s="38" t="n">
        <v>147.888748185341</v>
      </c>
      <c r="O1477" s="38" t="n">
        <v>79.5451764309811</v>
      </c>
      <c r="P1477" s="37" t="n">
        <v>0</v>
      </c>
      <c r="Q1477" s="38" t="n">
        <v>0</v>
      </c>
      <c r="R1477" s="38" t="n">
        <v>70.5431036257997</v>
      </c>
      <c r="S1477" s="37" t="n">
        <v>0</v>
      </c>
    </row>
    <row r="1478" customFormat="false" ht="15" hidden="false" customHeight="false" outlineLevel="0" collapsed="false">
      <c r="A1478" s="37" t="n">
        <v>5</v>
      </c>
      <c r="B1478" s="37" t="n">
        <v>5</v>
      </c>
      <c r="C1478" s="37" t="n">
        <v>10</v>
      </c>
      <c r="D1478" s="37" t="n">
        <v>5</v>
      </c>
      <c r="E1478" s="37" t="n">
        <v>0</v>
      </c>
      <c r="F1478" s="37" t="n">
        <v>5</v>
      </c>
      <c r="G1478" s="37" t="s">
        <v>197</v>
      </c>
      <c r="H1478" s="38" t="n">
        <v>199.128572845772</v>
      </c>
      <c r="I1478" s="38" t="n">
        <v>203.205492630304</v>
      </c>
      <c r="J1478" s="38" t="n">
        <v>229.73708683161</v>
      </c>
      <c r="K1478" s="38" t="n">
        <v>271.972518590798</v>
      </c>
      <c r="L1478" s="38" t="n">
        <v>109.741428628927</v>
      </c>
      <c r="M1478" s="38" t="n">
        <v>106.54806216806</v>
      </c>
      <c r="N1478" s="38" t="n">
        <v>133.942388729712</v>
      </c>
      <c r="O1478" s="38" t="n">
        <v>75.8674696622111</v>
      </c>
      <c r="P1478" s="37" t="n">
        <v>0</v>
      </c>
      <c r="Q1478" s="38" t="n">
        <v>0</v>
      </c>
      <c r="R1478" s="38" t="n">
        <v>72</v>
      </c>
      <c r="S1478" s="37" t="n">
        <v>0</v>
      </c>
    </row>
    <row r="1479" customFormat="false" ht="15" hidden="false" customHeight="false" outlineLevel="0" collapsed="false">
      <c r="A1479" s="37" t="n">
        <v>5</v>
      </c>
      <c r="B1479" s="37" t="n">
        <v>5</v>
      </c>
      <c r="C1479" s="37" t="n">
        <v>10</v>
      </c>
      <c r="D1479" s="37" t="n">
        <v>5</v>
      </c>
      <c r="E1479" s="37" t="n">
        <v>0</v>
      </c>
      <c r="F1479" s="37" t="n">
        <v>5</v>
      </c>
      <c r="G1479" s="37" t="s">
        <v>196</v>
      </c>
      <c r="H1479" s="38" t="n">
        <v>199.128572845772</v>
      </c>
      <c r="I1479" s="38" t="n">
        <v>203.228678635857</v>
      </c>
      <c r="J1479" s="38" t="n">
        <v>230.55502540098</v>
      </c>
      <c r="K1479" s="38" t="n">
        <v>273.270260040383</v>
      </c>
      <c r="L1479" s="38" t="n">
        <v>116.786395418008</v>
      </c>
      <c r="M1479" s="38" t="n">
        <v>109.876672926624</v>
      </c>
      <c r="N1479" s="38" t="n">
        <v>145.956089006562</v>
      </c>
      <c r="O1479" s="38" t="n">
        <v>80.9702772751571</v>
      </c>
      <c r="P1479" s="37" t="n">
        <v>0</v>
      </c>
      <c r="Q1479" s="38" t="n">
        <v>0</v>
      </c>
      <c r="R1479" s="38" t="n">
        <v>70.9972058239635</v>
      </c>
      <c r="S1479" s="37" t="n">
        <v>0</v>
      </c>
    </row>
    <row r="1480" customFormat="false" ht="15" hidden="false" customHeight="false" outlineLevel="0" collapsed="false">
      <c r="A1480" s="37" t="n">
        <v>5</v>
      </c>
      <c r="B1480" s="37" t="n">
        <v>5</v>
      </c>
      <c r="C1480" s="37" t="n">
        <v>10</v>
      </c>
      <c r="D1480" s="37" t="n">
        <v>5</v>
      </c>
      <c r="E1480" s="37" t="n">
        <v>5</v>
      </c>
      <c r="F1480" s="37" t="n">
        <v>0</v>
      </c>
      <c r="G1480" s="37" t="s">
        <v>188</v>
      </c>
      <c r="H1480" s="38" t="n">
        <v>199.063809607068</v>
      </c>
      <c r="I1480" s="38" t="n">
        <v>202.795602187307</v>
      </c>
      <c r="J1480" s="38" t="n">
        <v>233.390946152069</v>
      </c>
      <c r="K1480" s="38" t="n">
        <v>275.343090327431</v>
      </c>
      <c r="L1480" s="38" t="n">
        <v>73.9747302118604</v>
      </c>
      <c r="M1480" s="38" t="n">
        <v>110.330109470776</v>
      </c>
      <c r="N1480" s="38" t="n">
        <v>156.384815061533</v>
      </c>
      <c r="O1480" s="38" t="n">
        <v>81.630898787091</v>
      </c>
      <c r="P1480" s="37" t="n">
        <v>0</v>
      </c>
      <c r="Q1480" s="38" t="n">
        <v>0</v>
      </c>
      <c r="R1480" s="38" t="n">
        <v>72</v>
      </c>
      <c r="S1480" s="37" t="n">
        <v>1</v>
      </c>
    </row>
    <row r="1481" customFormat="false" ht="15" hidden="false" customHeight="false" outlineLevel="0" collapsed="false">
      <c r="A1481" s="37" t="n">
        <v>5</v>
      </c>
      <c r="B1481" s="37" t="n">
        <v>5</v>
      </c>
      <c r="C1481" s="37" t="n">
        <v>10</v>
      </c>
      <c r="D1481" s="37" t="n">
        <v>5</v>
      </c>
      <c r="E1481" s="37" t="n">
        <v>5</v>
      </c>
      <c r="F1481" s="37" t="n">
        <v>0</v>
      </c>
      <c r="G1481" s="37" t="s">
        <v>192</v>
      </c>
      <c r="H1481" s="38" t="n">
        <v>199.063809607068</v>
      </c>
      <c r="I1481" s="38" t="n">
        <v>202.654944632637</v>
      </c>
      <c r="J1481" s="38" t="n">
        <v>239.81654640879</v>
      </c>
      <c r="K1481" s="38" t="n">
        <v>275.937118981058</v>
      </c>
      <c r="L1481" s="38" t="n">
        <v>65.1316500454191</v>
      </c>
      <c r="M1481" s="38" t="n">
        <v>107.055081066885</v>
      </c>
      <c r="N1481" s="38" t="n">
        <v>156.034899057288</v>
      </c>
      <c r="O1481" s="38" t="n">
        <v>80.4390256923203</v>
      </c>
      <c r="P1481" s="37" t="n">
        <v>0</v>
      </c>
      <c r="Q1481" s="38" t="n">
        <v>0</v>
      </c>
      <c r="R1481" s="38" t="n">
        <v>72</v>
      </c>
      <c r="S1481" s="37" t="n">
        <v>0</v>
      </c>
    </row>
    <row r="1482" customFormat="false" ht="15" hidden="false" customHeight="false" outlineLevel="0" collapsed="false">
      <c r="A1482" s="37" t="n">
        <v>5</v>
      </c>
      <c r="B1482" s="37" t="n">
        <v>5</v>
      </c>
      <c r="C1482" s="37" t="n">
        <v>10</v>
      </c>
      <c r="D1482" s="37" t="n">
        <v>5</v>
      </c>
      <c r="E1482" s="37" t="n">
        <v>5</v>
      </c>
      <c r="F1482" s="37" t="n">
        <v>0</v>
      </c>
      <c r="G1482" s="37" t="s">
        <v>195</v>
      </c>
      <c r="H1482" s="38" t="n">
        <v>199.063809607068</v>
      </c>
      <c r="I1482" s="38" t="n">
        <v>202.787063980648</v>
      </c>
      <c r="J1482" s="38" t="n">
        <v>230.655306246963</v>
      </c>
      <c r="K1482" s="38" t="n">
        <v>268.788631074029</v>
      </c>
      <c r="L1482" s="38" t="n">
        <v>71.4870267764838</v>
      </c>
      <c r="M1482" s="38" t="n">
        <v>109.856406610061</v>
      </c>
      <c r="N1482" s="38" t="n">
        <v>150.490673133343</v>
      </c>
      <c r="O1482" s="38" t="n">
        <v>78.079407299212</v>
      </c>
      <c r="P1482" s="37" t="n">
        <v>0</v>
      </c>
      <c r="Q1482" s="38" t="n">
        <v>0</v>
      </c>
      <c r="R1482" s="38" t="n">
        <v>70.4845187107364</v>
      </c>
      <c r="S1482" s="37" t="n">
        <v>0</v>
      </c>
    </row>
    <row r="1483" customFormat="false" ht="15" hidden="false" customHeight="false" outlineLevel="0" collapsed="false">
      <c r="A1483" s="37" t="n">
        <v>5</v>
      </c>
      <c r="B1483" s="37" t="n">
        <v>5</v>
      </c>
      <c r="C1483" s="37" t="n">
        <v>10</v>
      </c>
      <c r="D1483" s="37" t="n">
        <v>5</v>
      </c>
      <c r="E1483" s="37" t="n">
        <v>5</v>
      </c>
      <c r="F1483" s="37" t="n">
        <v>0</v>
      </c>
      <c r="G1483" s="37" t="s">
        <v>197</v>
      </c>
      <c r="H1483" s="38" t="n">
        <v>199.063809607068</v>
      </c>
      <c r="I1483" s="38" t="n">
        <v>202.64069677599</v>
      </c>
      <c r="J1483" s="38" t="n">
        <v>230.351274576176</v>
      </c>
      <c r="K1483" s="38" t="n">
        <v>270.295035393496</v>
      </c>
      <c r="L1483" s="38" t="n">
        <v>68.4674179564075</v>
      </c>
      <c r="M1483" s="38" t="n">
        <v>109.092364368671</v>
      </c>
      <c r="N1483" s="38" t="n">
        <v>145.576220621158</v>
      </c>
      <c r="O1483" s="38" t="n">
        <v>78.263896528618</v>
      </c>
      <c r="P1483" s="37" t="n">
        <v>0</v>
      </c>
      <c r="Q1483" s="38" t="n">
        <v>0</v>
      </c>
      <c r="R1483" s="38" t="n">
        <v>72</v>
      </c>
      <c r="S1483" s="37" t="n">
        <v>0</v>
      </c>
    </row>
    <row r="1484" customFormat="false" ht="15" hidden="false" customHeight="false" outlineLevel="0" collapsed="false">
      <c r="A1484" s="37" t="n">
        <v>5</v>
      </c>
      <c r="B1484" s="37" t="n">
        <v>5</v>
      </c>
      <c r="C1484" s="37" t="n">
        <v>10</v>
      </c>
      <c r="D1484" s="37" t="n">
        <v>5</v>
      </c>
      <c r="E1484" s="37" t="n">
        <v>5</v>
      </c>
      <c r="F1484" s="37" t="n">
        <v>0</v>
      </c>
      <c r="G1484" s="37" t="s">
        <v>196</v>
      </c>
      <c r="H1484" s="38" t="n">
        <v>199.063809607068</v>
      </c>
      <c r="I1484" s="38" t="n">
        <v>202.662233555086</v>
      </c>
      <c r="J1484" s="38" t="n">
        <v>230.448394621002</v>
      </c>
      <c r="K1484" s="38" t="n">
        <v>270.685505876824</v>
      </c>
      <c r="L1484" s="38" t="n">
        <v>73.7106294714552</v>
      </c>
      <c r="M1484" s="38" t="n">
        <v>109.829513080208</v>
      </c>
      <c r="N1484" s="38" t="n">
        <v>150.100064520968</v>
      </c>
      <c r="O1484" s="38" t="n">
        <v>79.9671021459188</v>
      </c>
      <c r="P1484" s="37" t="n">
        <v>0</v>
      </c>
      <c r="Q1484" s="38" t="n">
        <v>0</v>
      </c>
      <c r="R1484" s="38" t="n">
        <v>70.8793629960449</v>
      </c>
      <c r="S1484" s="37" t="n">
        <v>0</v>
      </c>
    </row>
    <row r="1485" customFormat="false" ht="15" hidden="false" customHeight="false" outlineLevel="0" collapsed="false">
      <c r="A1485" s="37" t="n">
        <v>5</v>
      </c>
      <c r="B1485" s="37" t="n">
        <v>5</v>
      </c>
      <c r="C1485" s="37" t="n">
        <v>10</v>
      </c>
      <c r="D1485" s="37" t="n">
        <v>10</v>
      </c>
      <c r="E1485" s="37" t="n">
        <v>0</v>
      </c>
      <c r="F1485" s="37" t="n">
        <v>0</v>
      </c>
      <c r="G1485" s="37" t="s">
        <v>188</v>
      </c>
      <c r="H1485" s="38" t="n">
        <v>199.329477838781</v>
      </c>
      <c r="I1485" s="38" t="n">
        <v>204.557818165428</v>
      </c>
      <c r="J1485" s="38" t="n">
        <v>239.35711400945</v>
      </c>
      <c r="K1485" s="38" t="n">
        <v>282.500846770109</v>
      </c>
      <c r="L1485" s="38" t="n">
        <v>81.8383528383088</v>
      </c>
      <c r="M1485" s="38" t="n">
        <v>112.36160341418</v>
      </c>
      <c r="N1485" s="38" t="n">
        <v>158.700080065217</v>
      </c>
      <c r="O1485" s="38" t="n">
        <v>84.4431220400332</v>
      </c>
      <c r="P1485" s="37" t="n">
        <v>0</v>
      </c>
      <c r="Q1485" s="38" t="n">
        <v>0</v>
      </c>
      <c r="R1485" s="38" t="n">
        <v>72</v>
      </c>
      <c r="S1485" s="37" t="n">
        <v>0</v>
      </c>
    </row>
    <row r="1486" customFormat="false" ht="15" hidden="false" customHeight="false" outlineLevel="0" collapsed="false">
      <c r="A1486" s="37" t="n">
        <v>5</v>
      </c>
      <c r="B1486" s="37" t="n">
        <v>5</v>
      </c>
      <c r="C1486" s="37" t="n">
        <v>10</v>
      </c>
      <c r="D1486" s="37" t="n">
        <v>10</v>
      </c>
      <c r="E1486" s="37" t="n">
        <v>0</v>
      </c>
      <c r="F1486" s="37" t="n">
        <v>0</v>
      </c>
      <c r="G1486" s="37" t="s">
        <v>192</v>
      </c>
      <c r="H1486" s="38" t="n">
        <v>199.329477838781</v>
      </c>
      <c r="I1486" s="38" t="n">
        <v>204.387602488308</v>
      </c>
      <c r="J1486" s="38" t="n">
        <v>245.648479180293</v>
      </c>
      <c r="K1486" s="38" t="n">
        <v>282.702473483534</v>
      </c>
      <c r="L1486" s="38" t="n">
        <v>73.2122731570075</v>
      </c>
      <c r="M1486" s="38" t="n">
        <v>109.020327193452</v>
      </c>
      <c r="N1486" s="38" t="n">
        <v>158.688583494612</v>
      </c>
      <c r="O1486" s="38" t="n">
        <v>82.8559860107862</v>
      </c>
      <c r="P1486" s="37" t="n">
        <v>0</v>
      </c>
      <c r="Q1486" s="38" t="n">
        <v>0</v>
      </c>
      <c r="R1486" s="38" t="n">
        <v>72</v>
      </c>
      <c r="S1486" s="37" t="n">
        <v>0</v>
      </c>
    </row>
    <row r="1487" customFormat="false" ht="15" hidden="false" customHeight="false" outlineLevel="0" collapsed="false">
      <c r="A1487" s="37" t="n">
        <v>5</v>
      </c>
      <c r="B1487" s="37" t="n">
        <v>5</v>
      </c>
      <c r="C1487" s="37" t="n">
        <v>10</v>
      </c>
      <c r="D1487" s="37" t="n">
        <v>10</v>
      </c>
      <c r="E1487" s="37" t="n">
        <v>0</v>
      </c>
      <c r="F1487" s="37" t="n">
        <v>0</v>
      </c>
      <c r="G1487" s="37" t="s">
        <v>195</v>
      </c>
      <c r="H1487" s="38" t="n">
        <v>199.329477838781</v>
      </c>
      <c r="I1487" s="38" t="n">
        <v>204.641686384777</v>
      </c>
      <c r="J1487" s="38" t="n">
        <v>238.335061581396</v>
      </c>
      <c r="K1487" s="38" t="n">
        <v>281.142044099809</v>
      </c>
      <c r="L1487" s="38" t="n">
        <v>87.8920440998091</v>
      </c>
      <c r="M1487" s="38" t="n">
        <v>113.176483850161</v>
      </c>
      <c r="N1487" s="38" t="n">
        <v>158.909185536393</v>
      </c>
      <c r="O1487" s="38" t="n">
        <v>82.8094052864551</v>
      </c>
      <c r="P1487" s="37" t="n">
        <v>0</v>
      </c>
      <c r="Q1487" s="38" t="n">
        <v>0</v>
      </c>
      <c r="R1487" s="38" t="n">
        <v>67.6671932045525</v>
      </c>
      <c r="S1487" s="37" t="n">
        <v>1</v>
      </c>
    </row>
    <row r="1488" customFormat="false" ht="15" hidden="false" customHeight="false" outlineLevel="0" collapsed="false">
      <c r="A1488" s="37" t="n">
        <v>5</v>
      </c>
      <c r="B1488" s="37" t="n">
        <v>5</v>
      </c>
      <c r="C1488" s="37" t="n">
        <v>10</v>
      </c>
      <c r="D1488" s="37" t="n">
        <v>10</v>
      </c>
      <c r="E1488" s="37" t="n">
        <v>0</v>
      </c>
      <c r="F1488" s="37" t="n">
        <v>0</v>
      </c>
      <c r="G1488" s="37" t="s">
        <v>197</v>
      </c>
      <c r="H1488" s="38" t="n">
        <v>199.329477838781</v>
      </c>
      <c r="I1488" s="38" t="n">
        <v>204.364196691902</v>
      </c>
      <c r="J1488" s="38" t="n">
        <v>235.443720695176</v>
      </c>
      <c r="K1488" s="38" t="n">
        <v>276.029016774046</v>
      </c>
      <c r="L1488" s="38" t="n">
        <v>73.9882097403511</v>
      </c>
      <c r="M1488" s="38" t="n">
        <v>107.80531030428</v>
      </c>
      <c r="N1488" s="38" t="n">
        <v>138.851465079773</v>
      </c>
      <c r="O1488" s="38" t="n">
        <v>77.3454371447911</v>
      </c>
      <c r="P1488" s="37" t="n">
        <v>0</v>
      </c>
      <c r="Q1488" s="38" t="n">
        <v>0</v>
      </c>
      <c r="R1488" s="38" t="n">
        <v>72</v>
      </c>
      <c r="S1488" s="37" t="n">
        <v>0</v>
      </c>
    </row>
    <row r="1489" customFormat="false" ht="15" hidden="false" customHeight="false" outlineLevel="0" collapsed="false">
      <c r="A1489" s="37" t="n">
        <v>5</v>
      </c>
      <c r="B1489" s="37" t="n">
        <v>5</v>
      </c>
      <c r="C1489" s="37" t="n">
        <v>10</v>
      </c>
      <c r="D1489" s="37" t="n">
        <v>10</v>
      </c>
      <c r="E1489" s="37" t="n">
        <v>0</v>
      </c>
      <c r="F1489" s="37" t="n">
        <v>0</v>
      </c>
      <c r="G1489" s="37" t="s">
        <v>196</v>
      </c>
      <c r="H1489" s="38" t="n">
        <v>199.329477838781</v>
      </c>
      <c r="I1489" s="38" t="n">
        <v>204.387776518442</v>
      </c>
      <c r="J1489" s="38" t="n">
        <v>236.367484919132</v>
      </c>
      <c r="K1489" s="38" t="n">
        <v>277.429474302618</v>
      </c>
      <c r="L1489" s="38" t="n">
        <v>81.2525543913642</v>
      </c>
      <c r="M1489" s="38" t="n">
        <v>111.509498662996</v>
      </c>
      <c r="N1489" s="38" t="n">
        <v>151.727932728053</v>
      </c>
      <c r="O1489" s="38" t="n">
        <v>82.2008237295962</v>
      </c>
      <c r="P1489" s="37" t="n">
        <v>0</v>
      </c>
      <c r="Q1489" s="38" t="n">
        <v>0</v>
      </c>
      <c r="R1489" s="38" t="n">
        <v>71.0708725546325</v>
      </c>
      <c r="S1489" s="37" t="n">
        <v>0</v>
      </c>
    </row>
    <row r="1490" customFormat="false" ht="15" hidden="false" customHeight="false" outlineLevel="0" collapsed="false">
      <c r="A1490" s="37" t="n">
        <v>5</v>
      </c>
      <c r="B1490" s="37" t="n">
        <v>5</v>
      </c>
      <c r="C1490" s="37" t="n">
        <v>15</v>
      </c>
      <c r="D1490" s="37" t="n">
        <v>0</v>
      </c>
      <c r="E1490" s="37" t="n">
        <v>0</v>
      </c>
      <c r="F1490" s="37" t="n">
        <v>5</v>
      </c>
      <c r="G1490" s="37" t="s">
        <v>188</v>
      </c>
      <c r="H1490" s="38" t="n">
        <v>199.199842763157</v>
      </c>
      <c r="I1490" s="38" t="n">
        <v>203.792288335124</v>
      </c>
      <c r="J1490" s="38" t="n">
        <v>229.087316080553</v>
      </c>
      <c r="K1490" s="38" t="n">
        <v>280.138503728672</v>
      </c>
      <c r="L1490" s="38" t="n">
        <v>118.3093515338</v>
      </c>
      <c r="M1490" s="38" t="n">
        <v>113.194070263743</v>
      </c>
      <c r="N1490" s="38" t="n">
        <v>150.189322122399</v>
      </c>
      <c r="O1490" s="38" t="n">
        <v>78.7363936883848</v>
      </c>
      <c r="P1490" s="37" t="n">
        <v>0</v>
      </c>
      <c r="Q1490" s="38" t="n">
        <v>0</v>
      </c>
      <c r="R1490" s="38" t="n">
        <v>70.5</v>
      </c>
      <c r="S1490" s="37" t="n">
        <v>0</v>
      </c>
    </row>
    <row r="1491" customFormat="false" ht="15" hidden="false" customHeight="false" outlineLevel="0" collapsed="false">
      <c r="A1491" s="37" t="n">
        <v>5</v>
      </c>
      <c r="B1491" s="37" t="n">
        <v>5</v>
      </c>
      <c r="C1491" s="37" t="n">
        <v>15</v>
      </c>
      <c r="D1491" s="37" t="n">
        <v>0</v>
      </c>
      <c r="E1491" s="37" t="n">
        <v>0</v>
      </c>
      <c r="F1491" s="37" t="n">
        <v>5</v>
      </c>
      <c r="G1491" s="37" t="s">
        <v>192</v>
      </c>
      <c r="H1491" s="38" t="n">
        <v>199.199842763157</v>
      </c>
      <c r="I1491" s="38" t="n">
        <v>203.615043904051</v>
      </c>
      <c r="J1491" s="38" t="n">
        <v>235.692725447092</v>
      </c>
      <c r="K1491" s="38" t="n">
        <v>280.679144165389</v>
      </c>
      <c r="L1491" s="38" t="n">
        <v>109.984207295041</v>
      </c>
      <c r="M1491" s="38" t="n">
        <v>109.836193925241</v>
      </c>
      <c r="N1491" s="38" t="n">
        <v>150.575084206755</v>
      </c>
      <c r="O1491" s="38" t="n">
        <v>78.0741076910252</v>
      </c>
      <c r="P1491" s="37" t="n">
        <v>0</v>
      </c>
      <c r="Q1491" s="38" t="n">
        <v>0</v>
      </c>
      <c r="R1491" s="38" t="n">
        <v>70.5</v>
      </c>
      <c r="S1491" s="37" t="n">
        <v>1</v>
      </c>
    </row>
    <row r="1492" customFormat="false" ht="15" hidden="false" customHeight="false" outlineLevel="0" collapsed="false">
      <c r="A1492" s="37" t="n">
        <v>5</v>
      </c>
      <c r="B1492" s="37" t="n">
        <v>5</v>
      </c>
      <c r="C1492" s="37" t="n">
        <v>15</v>
      </c>
      <c r="D1492" s="37" t="n">
        <v>0</v>
      </c>
      <c r="E1492" s="37" t="n">
        <v>0</v>
      </c>
      <c r="F1492" s="37" t="n">
        <v>5</v>
      </c>
      <c r="G1492" s="37" t="s">
        <v>195</v>
      </c>
      <c r="H1492" s="38" t="n">
        <v>199.199842763157</v>
      </c>
      <c r="I1492" s="38" t="n">
        <v>203.666455926557</v>
      </c>
      <c r="J1492" s="38" t="n">
        <v>223.086139406936</v>
      </c>
      <c r="K1492" s="38" t="n">
        <v>268.055832479615</v>
      </c>
      <c r="L1492" s="38" t="n">
        <v>109.583274655323</v>
      </c>
      <c r="M1492" s="38" t="n">
        <v>110.894816191905</v>
      </c>
      <c r="N1492" s="38" t="n">
        <v>136.197990798514</v>
      </c>
      <c r="O1492" s="38" t="n">
        <v>71.9434944612462</v>
      </c>
      <c r="P1492" s="37" t="n">
        <v>0</v>
      </c>
      <c r="Q1492" s="38" t="n">
        <v>0</v>
      </c>
      <c r="R1492" s="38" t="n">
        <v>68.6332326527122</v>
      </c>
      <c r="S1492" s="37" t="n">
        <v>0</v>
      </c>
    </row>
    <row r="1493" customFormat="false" ht="15" hidden="false" customHeight="false" outlineLevel="0" collapsed="false">
      <c r="A1493" s="37" t="n">
        <v>5</v>
      </c>
      <c r="B1493" s="37" t="n">
        <v>5</v>
      </c>
      <c r="C1493" s="37" t="n">
        <v>15</v>
      </c>
      <c r="D1493" s="37" t="n">
        <v>0</v>
      </c>
      <c r="E1493" s="37" t="n">
        <v>0</v>
      </c>
      <c r="F1493" s="37" t="n">
        <v>5</v>
      </c>
      <c r="G1493" s="37" t="s">
        <v>197</v>
      </c>
      <c r="H1493" s="38" t="n">
        <v>199.199842763157</v>
      </c>
      <c r="I1493" s="38" t="n">
        <v>203.59304162084</v>
      </c>
      <c r="J1493" s="38" t="n">
        <v>225.434093546054</v>
      </c>
      <c r="K1493" s="38" t="n">
        <v>273.780478914393</v>
      </c>
      <c r="L1493" s="38" t="n">
        <v>111.371845773853</v>
      </c>
      <c r="M1493" s="38" t="n">
        <v>107.251069781896</v>
      </c>
      <c r="N1493" s="38" t="n">
        <v>129.442725805689</v>
      </c>
      <c r="O1493" s="38" t="n">
        <v>71.3193923674248</v>
      </c>
      <c r="P1493" s="37" t="n">
        <v>0</v>
      </c>
      <c r="Q1493" s="38" t="n">
        <v>0</v>
      </c>
      <c r="R1493" s="38" t="n">
        <v>70.5</v>
      </c>
      <c r="S1493" s="37" t="n">
        <v>0</v>
      </c>
    </row>
    <row r="1494" customFormat="false" ht="15" hidden="false" customHeight="false" outlineLevel="0" collapsed="false">
      <c r="A1494" s="37" t="n">
        <v>5</v>
      </c>
      <c r="B1494" s="37" t="n">
        <v>5</v>
      </c>
      <c r="C1494" s="37" t="n">
        <v>15</v>
      </c>
      <c r="D1494" s="37" t="n">
        <v>0</v>
      </c>
      <c r="E1494" s="37" t="n">
        <v>0</v>
      </c>
      <c r="F1494" s="37" t="n">
        <v>5</v>
      </c>
      <c r="G1494" s="37" t="s">
        <v>196</v>
      </c>
      <c r="H1494" s="38" t="n">
        <v>199.199842763157</v>
      </c>
      <c r="I1494" s="38" t="n">
        <v>203.612265294212</v>
      </c>
      <c r="J1494" s="38" t="n">
        <v>226.257244257466</v>
      </c>
      <c r="K1494" s="38" t="n">
        <v>275.192756837873</v>
      </c>
      <c r="L1494" s="38" t="n">
        <v>118.585405821312</v>
      </c>
      <c r="M1494" s="38" t="n">
        <v>110.475175651897</v>
      </c>
      <c r="N1494" s="38" t="n">
        <v>140.526265817741</v>
      </c>
      <c r="O1494" s="38" t="n">
        <v>76.728158852313</v>
      </c>
      <c r="P1494" s="37" t="n">
        <v>0</v>
      </c>
      <c r="Q1494" s="38" t="n">
        <v>0</v>
      </c>
      <c r="R1494" s="38" t="n">
        <v>69.4675690893587</v>
      </c>
      <c r="S1494" s="37" t="n">
        <v>0</v>
      </c>
    </row>
    <row r="1495" customFormat="false" ht="15" hidden="false" customHeight="false" outlineLevel="0" collapsed="false">
      <c r="A1495" s="37" t="n">
        <v>5</v>
      </c>
      <c r="B1495" s="37" t="n">
        <v>5</v>
      </c>
      <c r="C1495" s="37" t="n">
        <v>15</v>
      </c>
      <c r="D1495" s="37" t="n">
        <v>0</v>
      </c>
      <c r="E1495" s="37" t="n">
        <v>5</v>
      </c>
      <c r="F1495" s="37" t="n">
        <v>0</v>
      </c>
      <c r="G1495" s="37" t="s">
        <v>188</v>
      </c>
      <c r="H1495" s="38" t="n">
        <v>199.12182508764</v>
      </c>
      <c r="I1495" s="38" t="n">
        <v>203.395526176395</v>
      </c>
      <c r="J1495" s="38" t="n">
        <v>229.615728366377</v>
      </c>
      <c r="K1495" s="38" t="n">
        <v>278.903243349061</v>
      </c>
      <c r="L1495" s="38" t="n">
        <v>77.0858865719541</v>
      </c>
      <c r="M1495" s="38" t="n">
        <v>112.797261593963</v>
      </c>
      <c r="N1495" s="38" t="n">
        <v>153.890631868017</v>
      </c>
      <c r="O1495" s="38" t="n">
        <v>77.6364041798568</v>
      </c>
      <c r="P1495" s="37" t="n">
        <v>0</v>
      </c>
      <c r="Q1495" s="38" t="n">
        <v>0</v>
      </c>
      <c r="R1495" s="38" t="n">
        <v>70.5</v>
      </c>
      <c r="S1495" s="37" t="n">
        <v>1</v>
      </c>
    </row>
    <row r="1496" customFormat="false" ht="15" hidden="false" customHeight="false" outlineLevel="0" collapsed="false">
      <c r="A1496" s="37" t="n">
        <v>5</v>
      </c>
      <c r="B1496" s="37" t="n">
        <v>5</v>
      </c>
      <c r="C1496" s="37" t="n">
        <v>15</v>
      </c>
      <c r="D1496" s="37" t="n">
        <v>0</v>
      </c>
      <c r="E1496" s="37" t="n">
        <v>5</v>
      </c>
      <c r="F1496" s="37" t="n">
        <v>0</v>
      </c>
      <c r="G1496" s="37" t="s">
        <v>192</v>
      </c>
      <c r="H1496" s="38" t="n">
        <v>199.12182508764</v>
      </c>
      <c r="I1496" s="38" t="n">
        <v>203.23603438861</v>
      </c>
      <c r="J1496" s="38" t="n">
        <v>236.022164418463</v>
      </c>
      <c r="K1496" s="38" t="n">
        <v>279.309090783612</v>
      </c>
      <c r="L1496" s="38" t="n">
        <v>68.3556080777413</v>
      </c>
      <c r="M1496" s="38" t="n">
        <v>109.467402226366</v>
      </c>
      <c r="N1496" s="38" t="n">
        <v>153.677934318524</v>
      </c>
      <c r="O1496" s="38" t="n">
        <v>76.9135689265282</v>
      </c>
      <c r="P1496" s="37" t="n">
        <v>0</v>
      </c>
      <c r="Q1496" s="38" t="n">
        <v>0</v>
      </c>
      <c r="R1496" s="38" t="n">
        <v>70.5</v>
      </c>
      <c r="S1496" s="37" t="n">
        <v>0</v>
      </c>
    </row>
    <row r="1497" customFormat="false" ht="15" hidden="false" customHeight="false" outlineLevel="0" collapsed="false">
      <c r="A1497" s="37" t="n">
        <v>5</v>
      </c>
      <c r="B1497" s="37" t="n">
        <v>5</v>
      </c>
      <c r="C1497" s="37" t="n">
        <v>15</v>
      </c>
      <c r="D1497" s="37" t="n">
        <v>0</v>
      </c>
      <c r="E1497" s="37" t="n">
        <v>5</v>
      </c>
      <c r="F1497" s="37" t="n">
        <v>0</v>
      </c>
      <c r="G1497" s="37" t="s">
        <v>195</v>
      </c>
      <c r="H1497" s="38" t="n">
        <v>199.12182508764</v>
      </c>
      <c r="I1497" s="38" t="n">
        <v>203.286115349131</v>
      </c>
      <c r="J1497" s="38" t="n">
        <v>223.243819020142</v>
      </c>
      <c r="K1497" s="38" t="n">
        <v>266.383896377389</v>
      </c>
      <c r="L1497" s="38" t="n">
        <v>67.7653827298563</v>
      </c>
      <c r="M1497" s="38" t="n">
        <v>110.649965710742</v>
      </c>
      <c r="N1497" s="38" t="n">
        <v>139.519092733867</v>
      </c>
      <c r="O1497" s="38" t="n">
        <v>71.0088216313535</v>
      </c>
      <c r="P1497" s="37" t="n">
        <v>0</v>
      </c>
      <c r="Q1497" s="38" t="n">
        <v>0</v>
      </c>
      <c r="R1497" s="38" t="n">
        <v>68.5894459057402</v>
      </c>
      <c r="S1497" s="37" t="n">
        <v>0</v>
      </c>
    </row>
    <row r="1498" customFormat="false" ht="15" hidden="false" customHeight="false" outlineLevel="0" collapsed="false">
      <c r="A1498" s="37" t="n">
        <v>5</v>
      </c>
      <c r="B1498" s="37" t="n">
        <v>5</v>
      </c>
      <c r="C1498" s="37" t="n">
        <v>15</v>
      </c>
      <c r="D1498" s="37" t="n">
        <v>0</v>
      </c>
      <c r="E1498" s="37" t="n">
        <v>5</v>
      </c>
      <c r="F1498" s="37" t="n">
        <v>0</v>
      </c>
      <c r="G1498" s="37" t="s">
        <v>197</v>
      </c>
      <c r="H1498" s="38" t="n">
        <v>199.12182508764</v>
      </c>
      <c r="I1498" s="38" t="n">
        <v>203.22442428779</v>
      </c>
      <c r="J1498" s="38" t="n">
        <v>226.488977309669</v>
      </c>
      <c r="K1498" s="38" t="n">
        <v>273.487934415287</v>
      </c>
      <c r="L1498" s="38" t="n">
        <v>71.4847510044049</v>
      </c>
      <c r="M1498" s="38" t="n">
        <v>110.30441263077</v>
      </c>
      <c r="N1498" s="38" t="n">
        <v>141.005943625051</v>
      </c>
      <c r="O1498" s="38" t="n">
        <v>73.9093728814995</v>
      </c>
      <c r="P1498" s="37" t="n">
        <v>0</v>
      </c>
      <c r="Q1498" s="38" t="n">
        <v>0</v>
      </c>
      <c r="R1498" s="38" t="n">
        <v>70.5</v>
      </c>
      <c r="S1498" s="37" t="n">
        <v>0</v>
      </c>
    </row>
    <row r="1499" customFormat="false" ht="15" hidden="false" customHeight="false" outlineLevel="0" collapsed="false">
      <c r="A1499" s="37" t="n">
        <v>5</v>
      </c>
      <c r="B1499" s="37" t="n">
        <v>5</v>
      </c>
      <c r="C1499" s="37" t="n">
        <v>15</v>
      </c>
      <c r="D1499" s="37" t="n">
        <v>0</v>
      </c>
      <c r="E1499" s="37" t="n">
        <v>5</v>
      </c>
      <c r="F1499" s="37" t="n">
        <v>0</v>
      </c>
      <c r="G1499" s="37" t="s">
        <v>196</v>
      </c>
      <c r="H1499" s="38" t="n">
        <v>199.12182508764</v>
      </c>
      <c r="I1499" s="38" t="n">
        <v>203.237704281334</v>
      </c>
      <c r="J1499" s="38" t="n">
        <v>226.589649741432</v>
      </c>
      <c r="K1499" s="38" t="n">
        <v>273.915030617099</v>
      </c>
      <c r="L1499" s="38" t="n">
        <v>76.8431239528156</v>
      </c>
      <c r="M1499" s="38" t="n">
        <v>110.945488890232</v>
      </c>
      <c r="N1499" s="38" t="n">
        <v>145.217053319447</v>
      </c>
      <c r="O1499" s="38" t="n">
        <v>75.9971679587548</v>
      </c>
      <c r="P1499" s="37" t="n">
        <v>0</v>
      </c>
      <c r="Q1499" s="38" t="n">
        <v>0</v>
      </c>
      <c r="R1499" s="38" t="n">
        <v>69.3560757339054</v>
      </c>
      <c r="S1499" s="37" t="n">
        <v>0</v>
      </c>
    </row>
    <row r="1500" customFormat="false" ht="15" hidden="false" customHeight="false" outlineLevel="0" collapsed="false">
      <c r="A1500" s="37" t="n">
        <v>5</v>
      </c>
      <c r="B1500" s="37" t="n">
        <v>5</v>
      </c>
      <c r="C1500" s="37" t="n">
        <v>15</v>
      </c>
      <c r="D1500" s="37" t="n">
        <v>5</v>
      </c>
      <c r="E1500" s="37" t="n">
        <v>0</v>
      </c>
      <c r="F1500" s="37" t="n">
        <v>0</v>
      </c>
      <c r="G1500" s="37" t="s">
        <v>188</v>
      </c>
      <c r="H1500" s="38" t="n">
        <v>199.35251312283</v>
      </c>
      <c r="I1500" s="38" t="n">
        <v>205.259054111646</v>
      </c>
      <c r="J1500" s="38" t="n">
        <v>237.959443624091</v>
      </c>
      <c r="K1500" s="38" t="n">
        <v>283.753814250389</v>
      </c>
      <c r="L1500" s="38" t="n">
        <v>82.9850423831478</v>
      </c>
      <c r="M1500" s="38" t="n">
        <v>114.812560205935</v>
      </c>
      <c r="N1500" s="38" t="n">
        <v>157.207587690013</v>
      </c>
      <c r="O1500" s="38" t="n">
        <v>83.0472015131977</v>
      </c>
      <c r="P1500" s="37" t="n">
        <v>0</v>
      </c>
      <c r="Q1500" s="38" t="n">
        <v>0</v>
      </c>
      <c r="R1500" s="38" t="n">
        <v>72</v>
      </c>
      <c r="S1500" s="37" t="n">
        <v>1</v>
      </c>
    </row>
    <row r="1501" customFormat="false" ht="15" hidden="false" customHeight="false" outlineLevel="0" collapsed="false">
      <c r="A1501" s="37" t="n">
        <v>5</v>
      </c>
      <c r="B1501" s="37" t="n">
        <v>5</v>
      </c>
      <c r="C1501" s="37" t="n">
        <v>15</v>
      </c>
      <c r="D1501" s="37" t="n">
        <v>5</v>
      </c>
      <c r="E1501" s="37" t="n">
        <v>0</v>
      </c>
      <c r="F1501" s="37" t="n">
        <v>0</v>
      </c>
      <c r="G1501" s="37" t="s">
        <v>192</v>
      </c>
      <c r="H1501" s="38" t="n">
        <v>199.35251312283</v>
      </c>
      <c r="I1501" s="38" t="n">
        <v>205.072005880265</v>
      </c>
      <c r="J1501" s="38" t="n">
        <v>244.072269442762</v>
      </c>
      <c r="K1501" s="38" t="n">
        <v>283.601703901671</v>
      </c>
      <c r="L1501" s="38" t="n">
        <v>73.9889758954087</v>
      </c>
      <c r="M1501" s="38" t="n">
        <v>111.418719762028</v>
      </c>
      <c r="N1501" s="38" t="n">
        <v>156.904305246508</v>
      </c>
      <c r="O1501" s="38" t="n">
        <v>81.2650363538529</v>
      </c>
      <c r="P1501" s="37" t="n">
        <v>0</v>
      </c>
      <c r="Q1501" s="38" t="n">
        <v>0</v>
      </c>
      <c r="R1501" s="38" t="n">
        <v>72</v>
      </c>
      <c r="S1501" s="37" t="n">
        <v>0</v>
      </c>
    </row>
    <row r="1502" customFormat="false" ht="15" hidden="false" customHeight="false" outlineLevel="0" collapsed="false">
      <c r="A1502" s="37" t="n">
        <v>5</v>
      </c>
      <c r="B1502" s="37" t="n">
        <v>5</v>
      </c>
      <c r="C1502" s="37" t="n">
        <v>15</v>
      </c>
      <c r="D1502" s="37" t="n">
        <v>5</v>
      </c>
      <c r="E1502" s="37" t="n">
        <v>0</v>
      </c>
      <c r="F1502" s="37" t="n">
        <v>0</v>
      </c>
      <c r="G1502" s="37" t="s">
        <v>195</v>
      </c>
      <c r="H1502" s="38" t="n">
        <v>199.35251312283</v>
      </c>
      <c r="I1502" s="38" t="n">
        <v>205.24646481442</v>
      </c>
      <c r="J1502" s="38" t="n">
        <v>235.101260424087</v>
      </c>
      <c r="K1502" s="38" t="n">
        <v>276.88594576682</v>
      </c>
      <c r="L1502" s="38" t="n">
        <v>79.6956084684172</v>
      </c>
      <c r="M1502" s="38" t="n">
        <v>114.279360254394</v>
      </c>
      <c r="N1502" s="38" t="n">
        <v>151.173537131622</v>
      </c>
      <c r="O1502" s="38" t="n">
        <v>79.3699766873175</v>
      </c>
      <c r="P1502" s="37" t="n">
        <v>0</v>
      </c>
      <c r="Q1502" s="38" t="n">
        <v>0</v>
      </c>
      <c r="R1502" s="38" t="n">
        <v>70.5178988104792</v>
      </c>
      <c r="S1502" s="37" t="n">
        <v>0</v>
      </c>
    </row>
    <row r="1503" customFormat="false" ht="15" hidden="false" customHeight="false" outlineLevel="0" collapsed="false">
      <c r="A1503" s="37" t="n">
        <v>5</v>
      </c>
      <c r="B1503" s="37" t="n">
        <v>5</v>
      </c>
      <c r="C1503" s="37" t="n">
        <v>15</v>
      </c>
      <c r="D1503" s="37" t="n">
        <v>5</v>
      </c>
      <c r="E1503" s="37" t="n">
        <v>0</v>
      </c>
      <c r="F1503" s="37" t="n">
        <v>0</v>
      </c>
      <c r="G1503" s="37" t="s">
        <v>197</v>
      </c>
      <c r="H1503" s="38" t="n">
        <v>199.35251312283</v>
      </c>
      <c r="I1503" s="38" t="n">
        <v>205.03981850018</v>
      </c>
      <c r="J1503" s="38" t="n">
        <v>233.606209293234</v>
      </c>
      <c r="K1503" s="38" t="n">
        <v>276.416808722134</v>
      </c>
      <c r="L1503" s="38" t="n">
        <v>74.2299494745346</v>
      </c>
      <c r="M1503" s="38" t="n">
        <v>109.135942976859</v>
      </c>
      <c r="N1503" s="38" t="n">
        <v>135.825308487935</v>
      </c>
      <c r="O1503" s="38" t="n">
        <v>75.2639087754466</v>
      </c>
      <c r="P1503" s="37" t="n">
        <v>0</v>
      </c>
      <c r="Q1503" s="38" t="n">
        <v>0</v>
      </c>
      <c r="R1503" s="38" t="n">
        <v>72</v>
      </c>
      <c r="S1503" s="37" t="n">
        <v>0</v>
      </c>
    </row>
    <row r="1504" customFormat="false" ht="15" hidden="false" customHeight="false" outlineLevel="0" collapsed="false">
      <c r="A1504" s="37" t="n">
        <v>5</v>
      </c>
      <c r="B1504" s="37" t="n">
        <v>5</v>
      </c>
      <c r="C1504" s="37" t="n">
        <v>15</v>
      </c>
      <c r="D1504" s="37" t="n">
        <v>5</v>
      </c>
      <c r="E1504" s="37" t="n">
        <v>0</v>
      </c>
      <c r="F1504" s="37" t="n">
        <v>0</v>
      </c>
      <c r="G1504" s="37" t="s">
        <v>196</v>
      </c>
      <c r="H1504" s="38" t="n">
        <v>199.35251312283</v>
      </c>
      <c r="I1504" s="38" t="n">
        <v>205.068332885315</v>
      </c>
      <c r="J1504" s="38" t="n">
        <v>234.570316104546</v>
      </c>
      <c r="K1504" s="38" t="n">
        <v>278.016308956406</v>
      </c>
      <c r="L1504" s="38" t="n">
        <v>81.4291875112231</v>
      </c>
      <c r="M1504" s="38" t="n">
        <v>112.791027856426</v>
      </c>
      <c r="N1504" s="38" t="n">
        <v>148.196116719629</v>
      </c>
      <c r="O1504" s="38" t="n">
        <v>80.4179849227553</v>
      </c>
      <c r="P1504" s="37" t="n">
        <v>0</v>
      </c>
      <c r="Q1504" s="38" t="n">
        <v>0</v>
      </c>
      <c r="R1504" s="38" t="n">
        <v>70.9724241864895</v>
      </c>
      <c r="S1504" s="37" t="n">
        <v>0</v>
      </c>
    </row>
    <row r="1505" customFormat="false" ht="15" hidden="false" customHeight="false" outlineLevel="0" collapsed="false">
      <c r="A1505" s="37" t="n">
        <v>5</v>
      </c>
      <c r="B1505" s="37" t="n">
        <v>5</v>
      </c>
      <c r="C1505" s="37" t="n">
        <v>20</v>
      </c>
      <c r="D1505" s="37" t="n">
        <v>0</v>
      </c>
      <c r="E1505" s="37" t="n">
        <v>0</v>
      </c>
      <c r="F1505" s="37" t="n">
        <v>0</v>
      </c>
      <c r="G1505" s="37" t="s">
        <v>188</v>
      </c>
      <c r="H1505" s="38" t="n">
        <v>199.442212665818</v>
      </c>
      <c r="I1505" s="38" t="n">
        <v>205.199107176392</v>
      </c>
      <c r="J1505" s="38" t="n">
        <v>232.606806098895</v>
      </c>
      <c r="K1505" s="38" t="n">
        <v>282.896378559585</v>
      </c>
      <c r="L1505" s="38" t="n">
        <v>81.5589439022826</v>
      </c>
      <c r="M1505" s="38" t="n">
        <v>115.65073115342</v>
      </c>
      <c r="N1505" s="38" t="n">
        <v>151.864101746397</v>
      </c>
      <c r="O1505" s="38" t="n">
        <v>78.1354657590191</v>
      </c>
      <c r="P1505" s="37" t="n">
        <v>0</v>
      </c>
      <c r="Q1505" s="38" t="n">
        <v>0</v>
      </c>
      <c r="R1505" s="38" t="n">
        <v>70.5</v>
      </c>
      <c r="S1505" s="37" t="n">
        <v>1</v>
      </c>
    </row>
    <row r="1506" customFormat="false" ht="15" hidden="false" customHeight="false" outlineLevel="0" collapsed="false">
      <c r="A1506" s="37" t="n">
        <v>5</v>
      </c>
      <c r="B1506" s="37" t="n">
        <v>5</v>
      </c>
      <c r="C1506" s="37" t="n">
        <v>20</v>
      </c>
      <c r="D1506" s="37" t="n">
        <v>0</v>
      </c>
      <c r="E1506" s="37" t="n">
        <v>0</v>
      </c>
      <c r="F1506" s="37" t="n">
        <v>0</v>
      </c>
      <c r="G1506" s="37" t="s">
        <v>192</v>
      </c>
      <c r="H1506" s="38" t="n">
        <v>199.442212665818</v>
      </c>
      <c r="I1506" s="38" t="n">
        <v>204.999586673256</v>
      </c>
      <c r="J1506" s="38" t="n">
        <v>238.882207039943</v>
      </c>
      <c r="K1506" s="38" t="n">
        <v>282.794926381488</v>
      </c>
      <c r="L1506" s="38" t="n">
        <v>72.4650560448985</v>
      </c>
      <c r="M1506" s="38" t="n">
        <v>112.219084058508</v>
      </c>
      <c r="N1506" s="38" t="n">
        <v>151.741256943677</v>
      </c>
      <c r="O1506" s="38" t="n">
        <v>77.0542485977172</v>
      </c>
      <c r="P1506" s="37" t="n">
        <v>0</v>
      </c>
      <c r="Q1506" s="38" t="n">
        <v>0</v>
      </c>
      <c r="R1506" s="38" t="n">
        <v>70.5</v>
      </c>
      <c r="S1506" s="37" t="n">
        <v>0</v>
      </c>
    </row>
    <row r="1507" customFormat="false" ht="15" hidden="false" customHeight="false" outlineLevel="0" collapsed="false">
      <c r="A1507" s="37" t="n">
        <v>5</v>
      </c>
      <c r="B1507" s="37" t="n">
        <v>5</v>
      </c>
      <c r="C1507" s="37" t="n">
        <v>20</v>
      </c>
      <c r="D1507" s="37" t="n">
        <v>0</v>
      </c>
      <c r="E1507" s="37" t="n">
        <v>0</v>
      </c>
      <c r="F1507" s="37" t="n">
        <v>0</v>
      </c>
      <c r="G1507" s="37" t="s">
        <v>195</v>
      </c>
      <c r="H1507" s="38" t="n">
        <v>199.442212665818</v>
      </c>
      <c r="I1507" s="38" t="n">
        <v>205.054916106535</v>
      </c>
      <c r="J1507" s="38" t="n">
        <v>226.171730521262</v>
      </c>
      <c r="K1507" s="38" t="n">
        <v>269.984652336326</v>
      </c>
      <c r="L1507" s="38" t="n">
        <v>71.4575483650718</v>
      </c>
      <c r="M1507" s="38" t="n">
        <v>113.355359450948</v>
      </c>
      <c r="N1507" s="38" t="n">
        <v>137.586658403899</v>
      </c>
      <c r="O1507" s="38" t="n">
        <v>71.2726571229131</v>
      </c>
      <c r="P1507" s="37" t="n">
        <v>0</v>
      </c>
      <c r="Q1507" s="38" t="n">
        <v>0</v>
      </c>
      <c r="R1507" s="38" t="n">
        <v>68.6168688086239</v>
      </c>
      <c r="S1507" s="37" t="n">
        <v>0</v>
      </c>
    </row>
    <row r="1508" customFormat="false" ht="15" hidden="false" customHeight="false" outlineLevel="0" collapsed="false">
      <c r="A1508" s="37" t="n">
        <v>5</v>
      </c>
      <c r="B1508" s="37" t="n">
        <v>5</v>
      </c>
      <c r="C1508" s="37" t="n">
        <v>20</v>
      </c>
      <c r="D1508" s="37" t="n">
        <v>0</v>
      </c>
      <c r="E1508" s="37" t="n">
        <v>0</v>
      </c>
      <c r="F1508" s="37" t="n">
        <v>0</v>
      </c>
      <c r="G1508" s="37" t="s">
        <v>197</v>
      </c>
      <c r="H1508" s="38" t="n">
        <v>199.442212665818</v>
      </c>
      <c r="I1508" s="38" t="n">
        <v>204.966070808934</v>
      </c>
      <c r="J1508" s="38" t="n">
        <v>228.417153215242</v>
      </c>
      <c r="K1508" s="38" t="n">
        <v>275.507809061031</v>
      </c>
      <c r="L1508" s="38" t="n">
        <v>73.1475299657451</v>
      </c>
      <c r="M1508" s="38" t="n">
        <v>108.735113834656</v>
      </c>
      <c r="N1508" s="38" t="n">
        <v>130.625132625211</v>
      </c>
      <c r="O1508" s="38" t="n">
        <v>70.376183783139</v>
      </c>
      <c r="P1508" s="37" t="n">
        <v>0</v>
      </c>
      <c r="Q1508" s="38" t="n">
        <v>0</v>
      </c>
      <c r="R1508" s="38" t="n">
        <v>70.5</v>
      </c>
      <c r="S1508" s="37" t="n">
        <v>0</v>
      </c>
    </row>
    <row r="1509" customFormat="false" ht="15" hidden="false" customHeight="false" outlineLevel="0" collapsed="false">
      <c r="A1509" s="37" t="n">
        <v>5</v>
      </c>
      <c r="B1509" s="37" t="n">
        <v>5</v>
      </c>
      <c r="C1509" s="37" t="n">
        <v>20</v>
      </c>
      <c r="D1509" s="37" t="n">
        <v>0</v>
      </c>
      <c r="E1509" s="37" t="n">
        <v>0</v>
      </c>
      <c r="F1509" s="37" t="n">
        <v>0</v>
      </c>
      <c r="G1509" s="37" t="s">
        <v>196</v>
      </c>
      <c r="H1509" s="38" t="n">
        <v>199.442212665818</v>
      </c>
      <c r="I1509" s="38" t="n">
        <v>204.990384937125</v>
      </c>
      <c r="J1509" s="38" t="n">
        <v>229.157848313498</v>
      </c>
      <c r="K1509" s="38" t="n">
        <v>276.869232739081</v>
      </c>
      <c r="L1509" s="38" t="n">
        <v>80.1441002913343</v>
      </c>
      <c r="M1509" s="38" t="n">
        <v>112.279616692921</v>
      </c>
      <c r="N1509" s="38" t="n">
        <v>141.412747177777</v>
      </c>
      <c r="O1509" s="38" t="n">
        <v>75.6490765876286</v>
      </c>
      <c r="P1509" s="37" t="n">
        <v>0</v>
      </c>
      <c r="Q1509" s="38" t="n">
        <v>0</v>
      </c>
      <c r="R1509" s="38" t="n">
        <v>69.4393015458741</v>
      </c>
      <c r="S1509" s="37" t="n">
        <v>0</v>
      </c>
    </row>
    <row r="1510" customFormat="false" ht="15" hidden="false" customHeight="false" outlineLevel="0" collapsed="false">
      <c r="A1510" s="37" t="n">
        <v>5</v>
      </c>
      <c r="B1510" s="37" t="n">
        <v>10</v>
      </c>
      <c r="C1510" s="37" t="n">
        <v>0</v>
      </c>
      <c r="D1510" s="37" t="n">
        <v>0</v>
      </c>
      <c r="E1510" s="37" t="n">
        <v>0</v>
      </c>
      <c r="F1510" s="37" t="n">
        <v>15</v>
      </c>
      <c r="G1510" s="37" t="s">
        <v>188</v>
      </c>
      <c r="H1510" s="38" t="n">
        <v>198.624235425936</v>
      </c>
      <c r="I1510" s="38" t="n">
        <v>196.698101666129</v>
      </c>
      <c r="J1510" s="38" t="n">
        <v>190.312748425393</v>
      </c>
      <c r="K1510" s="38" t="n">
        <v>210.886750242631</v>
      </c>
      <c r="L1510" s="38" t="n">
        <v>125.700994882012</v>
      </c>
      <c r="M1510" s="38" t="n">
        <v>96.0361035908454</v>
      </c>
      <c r="N1510" s="38" t="n">
        <v>90.6499665372718</v>
      </c>
      <c r="O1510" s="38" t="n">
        <v>60.5987356656831</v>
      </c>
      <c r="P1510" s="37" t="n">
        <v>0</v>
      </c>
      <c r="Q1510" s="38" t="n">
        <v>0</v>
      </c>
      <c r="R1510" s="38" t="n">
        <v>70.5</v>
      </c>
      <c r="S1510" s="37" t="n">
        <v>0</v>
      </c>
    </row>
    <row r="1511" customFormat="false" ht="15" hidden="false" customHeight="false" outlineLevel="0" collapsed="false">
      <c r="A1511" s="37" t="n">
        <v>5</v>
      </c>
      <c r="B1511" s="37" t="n">
        <v>10</v>
      </c>
      <c r="C1511" s="37" t="n">
        <v>0</v>
      </c>
      <c r="D1511" s="37" t="n">
        <v>0</v>
      </c>
      <c r="E1511" s="37" t="n">
        <v>0</v>
      </c>
      <c r="F1511" s="37" t="n">
        <v>15</v>
      </c>
      <c r="G1511" s="37" t="s">
        <v>192</v>
      </c>
      <c r="H1511" s="38" t="n">
        <v>198.624235425936</v>
      </c>
      <c r="I1511" s="38" t="n">
        <v>196.659484499003</v>
      </c>
      <c r="J1511" s="38" t="n">
        <v>200.823781302135</v>
      </c>
      <c r="K1511" s="38" t="n">
        <v>218.411835327427</v>
      </c>
      <c r="L1511" s="38" t="n">
        <v>123.710116420631</v>
      </c>
      <c r="M1511" s="38" t="n">
        <v>94.8788549664738</v>
      </c>
      <c r="N1511" s="38" t="n">
        <v>101.882295170109</v>
      </c>
      <c r="O1511" s="38" t="n">
        <v>64.7474072569211</v>
      </c>
      <c r="P1511" s="37" t="n">
        <v>0</v>
      </c>
      <c r="Q1511" s="38" t="n">
        <v>0</v>
      </c>
      <c r="R1511" s="38" t="n">
        <v>70.5</v>
      </c>
      <c r="S1511" s="37" t="n">
        <v>1</v>
      </c>
    </row>
    <row r="1512" customFormat="false" ht="15" hidden="false" customHeight="false" outlineLevel="0" collapsed="false">
      <c r="A1512" s="37" t="n">
        <v>5</v>
      </c>
      <c r="B1512" s="37" t="n">
        <v>10</v>
      </c>
      <c r="C1512" s="37" t="n">
        <v>0</v>
      </c>
      <c r="D1512" s="37" t="n">
        <v>0</v>
      </c>
      <c r="E1512" s="37" t="n">
        <v>0</v>
      </c>
      <c r="F1512" s="37" t="n">
        <v>15</v>
      </c>
      <c r="G1512" s="37" t="s">
        <v>195</v>
      </c>
      <c r="H1512" s="38" t="n">
        <v>198.624235425936</v>
      </c>
      <c r="I1512" s="38" t="n">
        <v>196.656535757535</v>
      </c>
      <c r="J1512" s="38" t="n">
        <v>188.338469503251</v>
      </c>
      <c r="K1512" s="38" t="n">
        <v>204.295535819179</v>
      </c>
      <c r="L1512" s="38" t="n">
        <v>125.227411250115</v>
      </c>
      <c r="M1512" s="38" t="n">
        <v>93.9226418928386</v>
      </c>
      <c r="N1512" s="38" t="n">
        <v>81.0876238451835</v>
      </c>
      <c r="O1512" s="38" t="n">
        <v>55.4536960887428</v>
      </c>
      <c r="P1512" s="37" t="n">
        <v>0</v>
      </c>
      <c r="Q1512" s="38" t="n">
        <v>0</v>
      </c>
      <c r="R1512" s="38" t="n">
        <v>68.454562629281</v>
      </c>
      <c r="S1512" s="37" t="n">
        <v>0</v>
      </c>
    </row>
    <row r="1513" customFormat="false" ht="15" hidden="false" customHeight="false" outlineLevel="0" collapsed="false">
      <c r="A1513" s="37" t="n">
        <v>5</v>
      </c>
      <c r="B1513" s="37" t="n">
        <v>10</v>
      </c>
      <c r="C1513" s="37" t="n">
        <v>0</v>
      </c>
      <c r="D1513" s="37" t="n">
        <v>0</v>
      </c>
      <c r="E1513" s="37" t="n">
        <v>0</v>
      </c>
      <c r="F1513" s="37" t="n">
        <v>15</v>
      </c>
      <c r="G1513" s="37" t="s">
        <v>197</v>
      </c>
      <c r="H1513" s="38" t="n">
        <v>198.624235425936</v>
      </c>
      <c r="I1513" s="38" t="n">
        <v>196.657213352474</v>
      </c>
      <c r="J1513" s="38" t="n">
        <v>191.930226830922</v>
      </c>
      <c r="K1513" s="38" t="n">
        <v>212.701472318273</v>
      </c>
      <c r="L1513" s="38" t="n">
        <v>129.982895181296</v>
      </c>
      <c r="M1513" s="38" t="n">
        <v>95.7245739070837</v>
      </c>
      <c r="N1513" s="38" t="n">
        <v>87.9384730250799</v>
      </c>
      <c r="O1513" s="38" t="n">
        <v>58.0671530555241</v>
      </c>
      <c r="P1513" s="37" t="n">
        <v>0</v>
      </c>
      <c r="Q1513" s="38" t="n">
        <v>0</v>
      </c>
      <c r="R1513" s="38" t="n">
        <v>70.5</v>
      </c>
      <c r="S1513" s="37" t="n">
        <v>0</v>
      </c>
    </row>
    <row r="1514" customFormat="false" ht="15" hidden="false" customHeight="false" outlineLevel="0" collapsed="false">
      <c r="A1514" s="37" t="n">
        <v>5</v>
      </c>
      <c r="B1514" s="37" t="n">
        <v>10</v>
      </c>
      <c r="C1514" s="37" t="n">
        <v>0</v>
      </c>
      <c r="D1514" s="37" t="n">
        <v>0</v>
      </c>
      <c r="E1514" s="37" t="n">
        <v>0</v>
      </c>
      <c r="F1514" s="37" t="n">
        <v>15</v>
      </c>
      <c r="G1514" s="37" t="s">
        <v>196</v>
      </c>
      <c r="H1514" s="38" t="n">
        <v>198.624235425936</v>
      </c>
      <c r="I1514" s="38" t="n">
        <v>196.659887944442</v>
      </c>
      <c r="J1514" s="38" t="n">
        <v>193.048337617112</v>
      </c>
      <c r="K1514" s="38" t="n">
        <v>214.267940495911</v>
      </c>
      <c r="L1514" s="38" t="n">
        <v>138.22928970226</v>
      </c>
      <c r="M1514" s="38" t="n">
        <v>97.6047906877192</v>
      </c>
      <c r="N1514" s="38" t="n">
        <v>97.102932636141</v>
      </c>
      <c r="O1514" s="38" t="n">
        <v>63.0431888881433</v>
      </c>
      <c r="P1514" s="37" t="n">
        <v>0</v>
      </c>
      <c r="Q1514" s="38" t="n">
        <v>0</v>
      </c>
      <c r="R1514" s="38" t="n">
        <v>69.6040571428571</v>
      </c>
      <c r="S1514" s="37" t="n">
        <v>0</v>
      </c>
    </row>
    <row r="1515" customFormat="false" ht="15" hidden="false" customHeight="false" outlineLevel="0" collapsed="false">
      <c r="A1515" s="37" t="n">
        <v>5</v>
      </c>
      <c r="B1515" s="37" t="n">
        <v>10</v>
      </c>
      <c r="C1515" s="37" t="n">
        <v>0</v>
      </c>
      <c r="D1515" s="37" t="n">
        <v>0</v>
      </c>
      <c r="E1515" s="37" t="n">
        <v>5</v>
      </c>
      <c r="F1515" s="37" t="n">
        <v>10</v>
      </c>
      <c r="G1515" s="37" t="s">
        <v>188</v>
      </c>
      <c r="H1515" s="38" t="n">
        <v>198.647526151483</v>
      </c>
      <c r="I1515" s="38" t="n">
        <v>196.936564826103</v>
      </c>
      <c r="J1515" s="38" t="n">
        <v>193.095475465495</v>
      </c>
      <c r="K1515" s="38" t="n">
        <v>215.635132813115</v>
      </c>
      <c r="L1515" s="38" t="n">
        <v>90.6964871361263</v>
      </c>
      <c r="M1515" s="38" t="n">
        <v>97.2847157423546</v>
      </c>
      <c r="N1515" s="38" t="n">
        <v>97.8632171955975</v>
      </c>
      <c r="O1515" s="38" t="n">
        <v>60.5198327436552</v>
      </c>
      <c r="P1515" s="37" t="n">
        <v>0</v>
      </c>
      <c r="Q1515" s="38" t="n">
        <v>0</v>
      </c>
      <c r="R1515" s="38" t="n">
        <v>70.5</v>
      </c>
      <c r="S1515" s="37" t="n">
        <v>0</v>
      </c>
    </row>
    <row r="1516" customFormat="false" ht="15" hidden="false" customHeight="false" outlineLevel="0" collapsed="false">
      <c r="A1516" s="37" t="n">
        <v>5</v>
      </c>
      <c r="B1516" s="37" t="n">
        <v>10</v>
      </c>
      <c r="C1516" s="37" t="n">
        <v>0</v>
      </c>
      <c r="D1516" s="37" t="n">
        <v>0</v>
      </c>
      <c r="E1516" s="37" t="n">
        <v>5</v>
      </c>
      <c r="F1516" s="37" t="n">
        <v>10</v>
      </c>
      <c r="G1516" s="37" t="s">
        <v>192</v>
      </c>
      <c r="H1516" s="38" t="n">
        <v>198.647526151483</v>
      </c>
      <c r="I1516" s="38" t="n">
        <v>196.900327627287</v>
      </c>
      <c r="J1516" s="38" t="n">
        <v>203.589990009097</v>
      </c>
      <c r="K1516" s="38" t="n">
        <v>223.12841682239</v>
      </c>
      <c r="L1516" s="38" t="n">
        <v>88.4714141130792</v>
      </c>
      <c r="M1516" s="38" t="n">
        <v>96.096117538</v>
      </c>
      <c r="N1516" s="38" t="n">
        <v>108.899662583108</v>
      </c>
      <c r="O1516" s="38" t="n">
        <v>64.8590656401522</v>
      </c>
      <c r="P1516" s="37" t="n">
        <v>0</v>
      </c>
      <c r="Q1516" s="38" t="n">
        <v>0</v>
      </c>
      <c r="R1516" s="38" t="n">
        <v>70.5</v>
      </c>
      <c r="S1516" s="37" t="n">
        <v>1</v>
      </c>
    </row>
    <row r="1517" customFormat="false" ht="15" hidden="false" customHeight="false" outlineLevel="0" collapsed="false">
      <c r="A1517" s="37" t="n">
        <v>5</v>
      </c>
      <c r="B1517" s="37" t="n">
        <v>10</v>
      </c>
      <c r="C1517" s="37" t="n">
        <v>0</v>
      </c>
      <c r="D1517" s="37" t="n">
        <v>0</v>
      </c>
      <c r="E1517" s="37" t="n">
        <v>5</v>
      </c>
      <c r="F1517" s="37" t="n">
        <v>10</v>
      </c>
      <c r="G1517" s="37" t="s">
        <v>195</v>
      </c>
      <c r="H1517" s="38" t="n">
        <v>198.647526151483</v>
      </c>
      <c r="I1517" s="38" t="n">
        <v>196.896708410681</v>
      </c>
      <c r="J1517" s="38" t="n">
        <v>190.772049596859</v>
      </c>
      <c r="K1517" s="38" t="n">
        <v>208.671559691073</v>
      </c>
      <c r="L1517" s="38" t="n">
        <v>89.5237518710563</v>
      </c>
      <c r="M1517" s="38" t="n">
        <v>95.2234290282561</v>
      </c>
      <c r="N1517" s="38" t="n">
        <v>87.8456723999552</v>
      </c>
      <c r="O1517" s="38" t="n">
        <v>55.6208806584728</v>
      </c>
      <c r="P1517" s="37" t="n">
        <v>0</v>
      </c>
      <c r="Q1517" s="38" t="n">
        <v>0</v>
      </c>
      <c r="R1517" s="38" t="n">
        <v>68.4306576539949</v>
      </c>
      <c r="S1517" s="37" t="n">
        <v>0</v>
      </c>
    </row>
    <row r="1518" customFormat="false" ht="15" hidden="false" customHeight="false" outlineLevel="0" collapsed="false">
      <c r="A1518" s="37" t="n">
        <v>5</v>
      </c>
      <c r="B1518" s="37" t="n">
        <v>10</v>
      </c>
      <c r="C1518" s="37" t="n">
        <v>0</v>
      </c>
      <c r="D1518" s="37" t="n">
        <v>0</v>
      </c>
      <c r="E1518" s="37" t="n">
        <v>5</v>
      </c>
      <c r="F1518" s="37" t="n">
        <v>10</v>
      </c>
      <c r="G1518" s="37" t="s">
        <v>197</v>
      </c>
      <c r="H1518" s="38" t="n">
        <v>198.647526151483</v>
      </c>
      <c r="I1518" s="38" t="n">
        <v>196.906409735028</v>
      </c>
      <c r="J1518" s="38" t="n">
        <v>195.206953564122</v>
      </c>
      <c r="K1518" s="38" t="n">
        <v>218.292850421807</v>
      </c>
      <c r="L1518" s="38" t="n">
        <v>96.117230263151</v>
      </c>
      <c r="M1518" s="38" t="n">
        <v>100.343577274819</v>
      </c>
      <c r="N1518" s="38" t="n">
        <v>104.375741017528</v>
      </c>
      <c r="O1518" s="38" t="n">
        <v>62.2590633790666</v>
      </c>
      <c r="P1518" s="37" t="n">
        <v>0</v>
      </c>
      <c r="Q1518" s="38" t="n">
        <v>0</v>
      </c>
      <c r="R1518" s="38" t="n">
        <v>70.5</v>
      </c>
      <c r="S1518" s="37" t="n">
        <v>0</v>
      </c>
    </row>
    <row r="1519" customFormat="false" ht="15" hidden="false" customHeight="false" outlineLevel="0" collapsed="false">
      <c r="A1519" s="37" t="n">
        <v>5</v>
      </c>
      <c r="B1519" s="37" t="n">
        <v>10</v>
      </c>
      <c r="C1519" s="37" t="n">
        <v>0</v>
      </c>
      <c r="D1519" s="37" t="n">
        <v>0</v>
      </c>
      <c r="E1519" s="37" t="n">
        <v>5</v>
      </c>
      <c r="F1519" s="37" t="n">
        <v>10</v>
      </c>
      <c r="G1519" s="37" t="s">
        <v>196</v>
      </c>
      <c r="H1519" s="38" t="n">
        <v>198.647526151483</v>
      </c>
      <c r="I1519" s="38" t="n">
        <v>196.902693775316</v>
      </c>
      <c r="J1519" s="38" t="n">
        <v>195.538986529253</v>
      </c>
      <c r="K1519" s="38" t="n">
        <v>218.743225779169</v>
      </c>
      <c r="L1519" s="38" t="n">
        <v>102.330069727747</v>
      </c>
      <c r="M1519" s="38" t="n">
        <v>99.5222200134457</v>
      </c>
      <c r="N1519" s="38" t="n">
        <v>105.448909171159</v>
      </c>
      <c r="O1519" s="38" t="n">
        <v>64.3606532876697</v>
      </c>
      <c r="P1519" s="37" t="n">
        <v>0</v>
      </c>
      <c r="Q1519" s="38" t="n">
        <v>0</v>
      </c>
      <c r="R1519" s="38" t="n">
        <v>69.5141758809919</v>
      </c>
      <c r="S1519" s="37" t="n">
        <v>0</v>
      </c>
    </row>
    <row r="1520" customFormat="false" ht="15" hidden="false" customHeight="false" outlineLevel="0" collapsed="false">
      <c r="A1520" s="37" t="n">
        <v>5</v>
      </c>
      <c r="B1520" s="37" t="n">
        <v>10</v>
      </c>
      <c r="C1520" s="37" t="n">
        <v>0</v>
      </c>
      <c r="D1520" s="37" t="n">
        <v>0</v>
      </c>
      <c r="E1520" s="37" t="n">
        <v>10</v>
      </c>
      <c r="F1520" s="37" t="n">
        <v>5</v>
      </c>
      <c r="G1520" s="37" t="s">
        <v>188</v>
      </c>
      <c r="H1520" s="38" t="n">
        <v>198.670693446209</v>
      </c>
      <c r="I1520" s="38" t="n">
        <v>197.200342525916</v>
      </c>
      <c r="J1520" s="38" t="n">
        <v>195.405853340643</v>
      </c>
      <c r="K1520" s="38" t="n">
        <v>219.829591826027</v>
      </c>
      <c r="L1520" s="38" t="n">
        <v>55.1181909085122</v>
      </c>
      <c r="M1520" s="38" t="n">
        <v>98.480439554778</v>
      </c>
      <c r="N1520" s="38" t="n">
        <v>103.655246861484</v>
      </c>
      <c r="O1520" s="38" t="n">
        <v>60.2106017877117</v>
      </c>
      <c r="P1520" s="37" t="n">
        <v>0</v>
      </c>
      <c r="Q1520" s="38" t="n">
        <v>0</v>
      </c>
      <c r="R1520" s="38" t="n">
        <v>70.5</v>
      </c>
      <c r="S1520" s="37" t="n">
        <v>0</v>
      </c>
    </row>
    <row r="1521" customFormat="false" ht="15" hidden="false" customHeight="false" outlineLevel="0" collapsed="false">
      <c r="A1521" s="37" t="n">
        <v>5</v>
      </c>
      <c r="B1521" s="37" t="n">
        <v>10</v>
      </c>
      <c r="C1521" s="37" t="n">
        <v>0</v>
      </c>
      <c r="D1521" s="37" t="n">
        <v>0</v>
      </c>
      <c r="E1521" s="37" t="n">
        <v>10</v>
      </c>
      <c r="F1521" s="37" t="n">
        <v>5</v>
      </c>
      <c r="G1521" s="37" t="s">
        <v>192</v>
      </c>
      <c r="H1521" s="38" t="n">
        <v>198.670693446209</v>
      </c>
      <c r="I1521" s="38" t="n">
        <v>197.165635886799</v>
      </c>
      <c r="J1521" s="38" t="n">
        <v>205.835286062882</v>
      </c>
      <c r="K1521" s="38" t="n">
        <v>227.174124995834</v>
      </c>
      <c r="L1521" s="38" t="n">
        <v>52.5602331678572</v>
      </c>
      <c r="M1521" s="38" t="n">
        <v>97.2655463021109</v>
      </c>
      <c r="N1521" s="38" t="n">
        <v>114.365678025108</v>
      </c>
      <c r="O1521" s="38" t="n">
        <v>64.7010530886172</v>
      </c>
      <c r="P1521" s="37" t="n">
        <v>0</v>
      </c>
      <c r="Q1521" s="38" t="n">
        <v>0</v>
      </c>
      <c r="R1521" s="38" t="n">
        <v>70.5</v>
      </c>
      <c r="S1521" s="37" t="n">
        <v>0</v>
      </c>
    </row>
    <row r="1522" customFormat="false" ht="15" hidden="false" customHeight="false" outlineLevel="0" collapsed="false">
      <c r="A1522" s="37" t="n">
        <v>5</v>
      </c>
      <c r="B1522" s="37" t="n">
        <v>10</v>
      </c>
      <c r="C1522" s="37" t="n">
        <v>0</v>
      </c>
      <c r="D1522" s="37" t="n">
        <v>0</v>
      </c>
      <c r="E1522" s="37" t="n">
        <v>10</v>
      </c>
      <c r="F1522" s="37" t="n">
        <v>5</v>
      </c>
      <c r="G1522" s="37" t="s">
        <v>195</v>
      </c>
      <c r="H1522" s="38" t="n">
        <v>198.670693446209</v>
      </c>
      <c r="I1522" s="38" t="n">
        <v>197.162989844586</v>
      </c>
      <c r="J1522" s="38" t="n">
        <v>192.882457639606</v>
      </c>
      <c r="K1522" s="38" t="n">
        <v>212.670249613382</v>
      </c>
      <c r="L1522" s="38" t="n">
        <v>53.4700413760494</v>
      </c>
      <c r="M1522" s="38" t="n">
        <v>96.4635656988447</v>
      </c>
      <c r="N1522" s="38" t="n">
        <v>93.4617165980392</v>
      </c>
      <c r="O1522" s="38" t="n">
        <v>55.5849481189969</v>
      </c>
      <c r="P1522" s="37" t="n">
        <v>0</v>
      </c>
      <c r="Q1522" s="38" t="n">
        <v>0</v>
      </c>
      <c r="R1522" s="38" t="n">
        <v>68.4149375288004</v>
      </c>
      <c r="S1522" s="37" t="n">
        <v>0</v>
      </c>
    </row>
    <row r="1523" customFormat="false" ht="15" hidden="false" customHeight="false" outlineLevel="0" collapsed="false">
      <c r="A1523" s="37" t="n">
        <v>5</v>
      </c>
      <c r="B1523" s="37" t="n">
        <v>10</v>
      </c>
      <c r="C1523" s="37" t="n">
        <v>0</v>
      </c>
      <c r="D1523" s="37" t="n">
        <v>0</v>
      </c>
      <c r="E1523" s="37" t="n">
        <v>10</v>
      </c>
      <c r="F1523" s="37" t="n">
        <v>5</v>
      </c>
      <c r="G1523" s="37" t="s">
        <v>197</v>
      </c>
      <c r="H1523" s="38" t="n">
        <v>198.670693446209</v>
      </c>
      <c r="I1523" s="38" t="n">
        <v>197.19028113253</v>
      </c>
      <c r="J1523" s="38" t="n">
        <v>198.244833956369</v>
      </c>
      <c r="K1523" s="38" t="n">
        <v>223.648820935948</v>
      </c>
      <c r="L1523" s="38" t="n">
        <v>62.163215007876</v>
      </c>
      <c r="M1523" s="38" t="n">
        <v>104.192080416875</v>
      </c>
      <c r="N1523" s="38" t="n">
        <v>118.202296641784</v>
      </c>
      <c r="O1523" s="38" t="n">
        <v>63.828218958113</v>
      </c>
      <c r="P1523" s="37" t="n">
        <v>0</v>
      </c>
      <c r="Q1523" s="38" t="n">
        <v>0</v>
      </c>
      <c r="R1523" s="38" t="n">
        <v>70.5</v>
      </c>
      <c r="S1523" s="37" t="n">
        <v>1</v>
      </c>
    </row>
    <row r="1524" customFormat="false" ht="15" hidden="false" customHeight="false" outlineLevel="0" collapsed="false">
      <c r="A1524" s="37" t="n">
        <v>5</v>
      </c>
      <c r="B1524" s="37" t="n">
        <v>10</v>
      </c>
      <c r="C1524" s="37" t="n">
        <v>0</v>
      </c>
      <c r="D1524" s="37" t="n">
        <v>0</v>
      </c>
      <c r="E1524" s="37" t="n">
        <v>10</v>
      </c>
      <c r="F1524" s="37" t="n">
        <v>5</v>
      </c>
      <c r="G1524" s="37" t="s">
        <v>196</v>
      </c>
      <c r="H1524" s="38" t="n">
        <v>198.670693446209</v>
      </c>
      <c r="I1524" s="38" t="n">
        <v>197.169274269148</v>
      </c>
      <c r="J1524" s="38" t="n">
        <v>197.661904460841</v>
      </c>
      <c r="K1524" s="38" t="n">
        <v>222.777286685674</v>
      </c>
      <c r="L1524" s="38" t="n">
        <v>66.2998437186775</v>
      </c>
      <c r="M1524" s="38" t="n">
        <v>101.229645097993</v>
      </c>
      <c r="N1524" s="38" t="n">
        <v>112.173880558961</v>
      </c>
      <c r="O1524" s="38" t="n">
        <v>64.6311208373072</v>
      </c>
      <c r="P1524" s="37" t="n">
        <v>0</v>
      </c>
      <c r="Q1524" s="38" t="n">
        <v>0</v>
      </c>
      <c r="R1524" s="38" t="n">
        <v>69.4987470212543</v>
      </c>
      <c r="S1524" s="37" t="n">
        <v>0</v>
      </c>
    </row>
    <row r="1525" customFormat="false" ht="15" hidden="false" customHeight="false" outlineLevel="0" collapsed="false">
      <c r="A1525" s="37" t="n">
        <v>5</v>
      </c>
      <c r="B1525" s="37" t="n">
        <v>10</v>
      </c>
      <c r="C1525" s="37" t="n">
        <v>0</v>
      </c>
      <c r="D1525" s="37" t="n">
        <v>0</v>
      </c>
      <c r="E1525" s="37" t="n">
        <v>15</v>
      </c>
      <c r="F1525" s="37" t="n">
        <v>0</v>
      </c>
      <c r="G1525" s="37" t="s">
        <v>188</v>
      </c>
      <c r="H1525" s="38" t="n">
        <v>198.691823217525</v>
      </c>
      <c r="I1525" s="38" t="n">
        <v>197.393720741685</v>
      </c>
      <c r="J1525" s="38" t="n">
        <v>196.767681116721</v>
      </c>
      <c r="K1525" s="38" t="n">
        <v>222.583443770164</v>
      </c>
      <c r="L1525" s="38" t="n">
        <v>29.3226492834888</v>
      </c>
      <c r="M1525" s="38" t="n">
        <v>99.3852737723192</v>
      </c>
      <c r="N1525" s="38" t="n">
        <v>97.5277645273223</v>
      </c>
      <c r="O1525" s="38" t="n">
        <v>56.9210425666184</v>
      </c>
      <c r="P1525" s="37" t="n">
        <v>0</v>
      </c>
      <c r="Q1525" s="38" t="n">
        <v>0</v>
      </c>
      <c r="R1525" s="38" t="n">
        <v>70.5</v>
      </c>
      <c r="S1525" s="37" t="n">
        <v>0</v>
      </c>
    </row>
    <row r="1526" customFormat="false" ht="15" hidden="false" customHeight="false" outlineLevel="0" collapsed="false">
      <c r="A1526" s="37" t="n">
        <v>5</v>
      </c>
      <c r="B1526" s="37" t="n">
        <v>10</v>
      </c>
      <c r="C1526" s="37" t="n">
        <v>0</v>
      </c>
      <c r="D1526" s="37" t="n">
        <v>0</v>
      </c>
      <c r="E1526" s="37" t="n">
        <v>15</v>
      </c>
      <c r="F1526" s="37" t="n">
        <v>0</v>
      </c>
      <c r="G1526" s="37" t="s">
        <v>192</v>
      </c>
      <c r="H1526" s="38" t="n">
        <v>198.691823217525</v>
      </c>
      <c r="I1526" s="38" t="n">
        <v>197.360602395237</v>
      </c>
      <c r="J1526" s="38" t="n">
        <v>207.277106198921</v>
      </c>
      <c r="K1526" s="38" t="n">
        <v>229.909897075376</v>
      </c>
      <c r="L1526" s="38" t="n">
        <v>27.1533860995925</v>
      </c>
      <c r="M1526" s="38" t="n">
        <v>98.1438253734761</v>
      </c>
      <c r="N1526" s="38" t="n">
        <v>106.623088342539</v>
      </c>
      <c r="O1526" s="38" t="n">
        <v>61.8409854813168</v>
      </c>
      <c r="P1526" s="37" t="n">
        <v>0</v>
      </c>
      <c r="Q1526" s="38" t="n">
        <v>0.00122092216659553</v>
      </c>
      <c r="R1526" s="38" t="n">
        <v>70.5</v>
      </c>
      <c r="S1526" s="37" t="n">
        <v>0</v>
      </c>
    </row>
    <row r="1527" customFormat="false" ht="15" hidden="false" customHeight="false" outlineLevel="0" collapsed="false">
      <c r="A1527" s="37" t="n">
        <v>5</v>
      </c>
      <c r="B1527" s="37" t="n">
        <v>10</v>
      </c>
      <c r="C1527" s="37" t="n">
        <v>0</v>
      </c>
      <c r="D1527" s="37" t="n">
        <v>0</v>
      </c>
      <c r="E1527" s="37" t="n">
        <v>15</v>
      </c>
      <c r="F1527" s="37" t="n">
        <v>0</v>
      </c>
      <c r="G1527" s="37" t="s">
        <v>195</v>
      </c>
      <c r="H1527" s="38" t="n">
        <v>198.691823217525</v>
      </c>
      <c r="I1527" s="38" t="n">
        <v>197.357852404601</v>
      </c>
      <c r="J1527" s="38" t="n">
        <v>194.267264552027</v>
      </c>
      <c r="K1527" s="38" t="n">
        <v>215.405015048278</v>
      </c>
      <c r="L1527" s="38" t="n">
        <v>27.4091655309509</v>
      </c>
      <c r="M1527" s="38" t="n">
        <v>97.4073994099704</v>
      </c>
      <c r="N1527" s="38" t="n">
        <v>85.9413353594869</v>
      </c>
      <c r="O1527" s="38" t="n">
        <v>52.503377696613</v>
      </c>
      <c r="P1527" s="37" t="n">
        <v>0</v>
      </c>
      <c r="Q1527" s="38" t="n">
        <v>0</v>
      </c>
      <c r="R1527" s="38" t="n">
        <v>68.401245144802</v>
      </c>
      <c r="S1527" s="37" t="n">
        <v>0</v>
      </c>
    </row>
    <row r="1528" customFormat="false" ht="15" hidden="false" customHeight="false" outlineLevel="0" collapsed="false">
      <c r="A1528" s="37" t="n">
        <v>5</v>
      </c>
      <c r="B1528" s="37" t="n">
        <v>10</v>
      </c>
      <c r="C1528" s="37" t="n">
        <v>0</v>
      </c>
      <c r="D1528" s="37" t="n">
        <v>0</v>
      </c>
      <c r="E1528" s="37" t="n">
        <v>15</v>
      </c>
      <c r="F1528" s="37" t="n">
        <v>0</v>
      </c>
      <c r="G1528" s="37" t="s">
        <v>197</v>
      </c>
      <c r="H1528" s="38" t="n">
        <v>198.691823217525</v>
      </c>
      <c r="I1528" s="38" t="n">
        <v>197.400743758563</v>
      </c>
      <c r="J1528" s="38" t="n">
        <v>200.380510711607</v>
      </c>
      <c r="K1528" s="38" t="n">
        <v>227.452324055983</v>
      </c>
      <c r="L1528" s="38" t="n">
        <v>26.4196464195582</v>
      </c>
      <c r="M1528" s="38" t="n">
        <v>106.699018158885</v>
      </c>
      <c r="N1528" s="38" t="n">
        <v>112.648203197224</v>
      </c>
      <c r="O1528" s="38" t="n">
        <v>63.8508634940878</v>
      </c>
      <c r="P1528" s="37" t="n">
        <v>0</v>
      </c>
      <c r="Q1528" s="38" t="n">
        <v>0</v>
      </c>
      <c r="R1528" s="38" t="n">
        <v>70.5</v>
      </c>
      <c r="S1528" s="37" t="n">
        <v>1</v>
      </c>
    </row>
    <row r="1529" customFormat="false" ht="15" hidden="false" customHeight="false" outlineLevel="0" collapsed="false">
      <c r="A1529" s="37" t="n">
        <v>5</v>
      </c>
      <c r="B1529" s="37" t="n">
        <v>10</v>
      </c>
      <c r="C1529" s="37" t="n">
        <v>0</v>
      </c>
      <c r="D1529" s="37" t="n">
        <v>0</v>
      </c>
      <c r="E1529" s="37" t="n">
        <v>15</v>
      </c>
      <c r="F1529" s="37" t="n">
        <v>0</v>
      </c>
      <c r="G1529" s="37" t="s">
        <v>196</v>
      </c>
      <c r="H1529" s="38" t="n">
        <v>198.691823217525</v>
      </c>
      <c r="I1529" s="38" t="n">
        <v>197.365067164237</v>
      </c>
      <c r="J1529" s="38" t="n">
        <v>199.101286075696</v>
      </c>
      <c r="K1529" s="38" t="n">
        <v>225.590883130866</v>
      </c>
      <c r="L1529" s="38" t="n">
        <v>29.0486098691834</v>
      </c>
      <c r="M1529" s="38" t="n">
        <v>102.435487228697</v>
      </c>
      <c r="N1529" s="38" t="n">
        <v>106.620372540726</v>
      </c>
      <c r="O1529" s="38" t="n">
        <v>64.0546574196894</v>
      </c>
      <c r="P1529" s="37" t="n">
        <v>0</v>
      </c>
      <c r="Q1529" s="38" t="n">
        <v>0</v>
      </c>
      <c r="R1529" s="38" t="n">
        <v>69.4831877505296</v>
      </c>
      <c r="S1529" s="37" t="n">
        <v>0</v>
      </c>
    </row>
    <row r="1530" customFormat="false" ht="15" hidden="false" customHeight="false" outlineLevel="0" collapsed="false">
      <c r="A1530" s="37" t="n">
        <v>5</v>
      </c>
      <c r="B1530" s="37" t="n">
        <v>10</v>
      </c>
      <c r="C1530" s="37" t="n">
        <v>0</v>
      </c>
      <c r="D1530" s="37" t="n">
        <v>5</v>
      </c>
      <c r="E1530" s="37" t="n">
        <v>0</v>
      </c>
      <c r="F1530" s="37" t="n">
        <v>10</v>
      </c>
      <c r="G1530" s="37" t="s">
        <v>188</v>
      </c>
      <c r="H1530" s="38" t="n">
        <v>198.787780144227</v>
      </c>
      <c r="I1530" s="38" t="n">
        <v>197.694183526295</v>
      </c>
      <c r="J1530" s="38" t="n">
        <v>195.102749216664</v>
      </c>
      <c r="K1530" s="38" t="n">
        <v>207.915923725088</v>
      </c>
      <c r="L1530" s="38" t="n">
        <v>83.3766751450321</v>
      </c>
      <c r="M1530" s="38" t="n">
        <v>97.0140977848281</v>
      </c>
      <c r="N1530" s="38" t="n">
        <v>94.2973933815349</v>
      </c>
      <c r="O1530" s="38" t="n">
        <v>63.8867586542483</v>
      </c>
      <c r="P1530" s="37" t="n">
        <v>0</v>
      </c>
      <c r="Q1530" s="38" t="n">
        <v>0</v>
      </c>
      <c r="R1530" s="38" t="n">
        <v>72</v>
      </c>
      <c r="S1530" s="37" t="n">
        <v>0</v>
      </c>
    </row>
    <row r="1531" customFormat="false" ht="15" hidden="false" customHeight="false" outlineLevel="0" collapsed="false">
      <c r="A1531" s="37" t="n">
        <v>5</v>
      </c>
      <c r="B1531" s="37" t="n">
        <v>10</v>
      </c>
      <c r="C1531" s="37" t="n">
        <v>0</v>
      </c>
      <c r="D1531" s="37" t="n">
        <v>5</v>
      </c>
      <c r="E1531" s="37" t="n">
        <v>0</v>
      </c>
      <c r="F1531" s="37" t="n">
        <v>10</v>
      </c>
      <c r="G1531" s="37" t="s">
        <v>192</v>
      </c>
      <c r="H1531" s="38" t="n">
        <v>198.787780144227</v>
      </c>
      <c r="I1531" s="38" t="n">
        <v>197.650284009557</v>
      </c>
      <c r="J1531" s="38" t="n">
        <v>205.810284929136</v>
      </c>
      <c r="K1531" s="38" t="n">
        <v>215.385637460244</v>
      </c>
      <c r="L1531" s="38" t="n">
        <v>81.6028499777292</v>
      </c>
      <c r="M1531" s="38" t="n">
        <v>95.8139465333756</v>
      </c>
      <c r="N1531" s="38" t="n">
        <v>105.495820914174</v>
      </c>
      <c r="O1531" s="38" t="n">
        <v>67.6932391101013</v>
      </c>
      <c r="P1531" s="37" t="n">
        <v>0</v>
      </c>
      <c r="Q1531" s="38" t="n">
        <v>0</v>
      </c>
      <c r="R1531" s="38" t="n">
        <v>72</v>
      </c>
      <c r="S1531" s="37" t="n">
        <v>1</v>
      </c>
    </row>
    <row r="1532" customFormat="false" ht="15" hidden="false" customHeight="false" outlineLevel="0" collapsed="false">
      <c r="A1532" s="37" t="n">
        <v>5</v>
      </c>
      <c r="B1532" s="37" t="n">
        <v>10</v>
      </c>
      <c r="C1532" s="37" t="n">
        <v>0</v>
      </c>
      <c r="D1532" s="37" t="n">
        <v>5</v>
      </c>
      <c r="E1532" s="37" t="n">
        <v>0</v>
      </c>
      <c r="F1532" s="37" t="n">
        <v>10</v>
      </c>
      <c r="G1532" s="37" t="s">
        <v>195</v>
      </c>
      <c r="H1532" s="38" t="n">
        <v>198.787780144227</v>
      </c>
      <c r="I1532" s="38" t="n">
        <v>197.676200902345</v>
      </c>
      <c r="J1532" s="38" t="n">
        <v>194.906396259713</v>
      </c>
      <c r="K1532" s="38" t="n">
        <v>204.453571067885</v>
      </c>
      <c r="L1532" s="38" t="n">
        <v>86.7138572289182</v>
      </c>
      <c r="M1532" s="38" t="n">
        <v>96.5558542997398</v>
      </c>
      <c r="N1532" s="38" t="n">
        <v>91.607221013371</v>
      </c>
      <c r="O1532" s="38" t="n">
        <v>61.5935937249093</v>
      </c>
      <c r="P1532" s="37" t="n">
        <v>0</v>
      </c>
      <c r="Q1532" s="38" t="n">
        <v>0</v>
      </c>
      <c r="R1532" s="38" t="n">
        <v>70.3530858483099</v>
      </c>
      <c r="S1532" s="37" t="n">
        <v>0</v>
      </c>
    </row>
    <row r="1533" customFormat="false" ht="15" hidden="false" customHeight="false" outlineLevel="0" collapsed="false">
      <c r="A1533" s="37" t="n">
        <v>5</v>
      </c>
      <c r="B1533" s="37" t="n">
        <v>10</v>
      </c>
      <c r="C1533" s="37" t="n">
        <v>0</v>
      </c>
      <c r="D1533" s="37" t="n">
        <v>5</v>
      </c>
      <c r="E1533" s="37" t="n">
        <v>0</v>
      </c>
      <c r="F1533" s="37" t="n">
        <v>10</v>
      </c>
      <c r="G1533" s="37" t="s">
        <v>197</v>
      </c>
      <c r="H1533" s="38" t="n">
        <v>198.787780144227</v>
      </c>
      <c r="I1533" s="38" t="n">
        <v>197.646518731327</v>
      </c>
      <c r="J1533" s="38" t="n">
        <v>196.522948717145</v>
      </c>
      <c r="K1533" s="38" t="n">
        <v>209.415350123128</v>
      </c>
      <c r="L1533" s="38" t="n">
        <v>86.9514543249181</v>
      </c>
      <c r="M1533" s="38" t="n">
        <v>96.7113666671731</v>
      </c>
      <c r="N1533" s="38" t="n">
        <v>91.3888790737634</v>
      </c>
      <c r="O1533" s="38" t="n">
        <v>61.2293810121168</v>
      </c>
      <c r="P1533" s="37" t="n">
        <v>0</v>
      </c>
      <c r="Q1533" s="38" t="n">
        <v>0</v>
      </c>
      <c r="R1533" s="38" t="n">
        <v>72</v>
      </c>
      <c r="S1533" s="37" t="n">
        <v>0</v>
      </c>
    </row>
    <row r="1534" customFormat="false" ht="15" hidden="false" customHeight="false" outlineLevel="0" collapsed="false">
      <c r="A1534" s="37" t="n">
        <v>5</v>
      </c>
      <c r="B1534" s="37" t="n">
        <v>10</v>
      </c>
      <c r="C1534" s="37" t="n">
        <v>0</v>
      </c>
      <c r="D1534" s="37" t="n">
        <v>5</v>
      </c>
      <c r="E1534" s="37" t="n">
        <v>0</v>
      </c>
      <c r="F1534" s="37" t="n">
        <v>10</v>
      </c>
      <c r="G1534" s="37" t="s">
        <v>196</v>
      </c>
      <c r="H1534" s="38" t="n">
        <v>198.787780144227</v>
      </c>
      <c r="I1534" s="38" t="n">
        <v>197.650878699083</v>
      </c>
      <c r="J1534" s="38" t="n">
        <v>197.658029260322</v>
      </c>
      <c r="K1534" s="38" t="n">
        <v>210.983773103051</v>
      </c>
      <c r="L1534" s="38" t="n">
        <v>94.9421439477694</v>
      </c>
      <c r="M1534" s="38" t="n">
        <v>99.1947605095806</v>
      </c>
      <c r="N1534" s="38" t="n">
        <v>101.87025662941</v>
      </c>
      <c r="O1534" s="38" t="n">
        <v>65.8012216583807</v>
      </c>
      <c r="P1534" s="37" t="n">
        <v>0</v>
      </c>
      <c r="Q1534" s="38" t="n">
        <v>0</v>
      </c>
      <c r="R1534" s="38" t="n">
        <v>71.1033423360659</v>
      </c>
      <c r="S1534" s="37" t="n">
        <v>0</v>
      </c>
    </row>
    <row r="1535" customFormat="false" ht="15" hidden="false" customHeight="false" outlineLevel="0" collapsed="false">
      <c r="A1535" s="37" t="n">
        <v>5</v>
      </c>
      <c r="B1535" s="37" t="n">
        <v>10</v>
      </c>
      <c r="C1535" s="37" t="n">
        <v>0</v>
      </c>
      <c r="D1535" s="37" t="n">
        <v>5</v>
      </c>
      <c r="E1535" s="37" t="n">
        <v>5</v>
      </c>
      <c r="F1535" s="37" t="n">
        <v>5</v>
      </c>
      <c r="G1535" s="37" t="s">
        <v>188</v>
      </c>
      <c r="H1535" s="38" t="n">
        <v>198.800705340354</v>
      </c>
      <c r="I1535" s="38" t="n">
        <v>197.908901820744</v>
      </c>
      <c r="J1535" s="38" t="n">
        <v>198.114240966117</v>
      </c>
      <c r="K1535" s="38" t="n">
        <v>212.888828099313</v>
      </c>
      <c r="L1535" s="38" t="n">
        <v>48.5829627018179</v>
      </c>
      <c r="M1535" s="38" t="n">
        <v>98.1898538852415</v>
      </c>
      <c r="N1535" s="38" t="n">
        <v>101.802486448584</v>
      </c>
      <c r="O1535" s="38" t="n">
        <v>63.7230911171795</v>
      </c>
      <c r="P1535" s="37" t="n">
        <v>0</v>
      </c>
      <c r="Q1535" s="38" t="n">
        <v>0</v>
      </c>
      <c r="R1535" s="38" t="n">
        <v>72</v>
      </c>
      <c r="S1535" s="37" t="n">
        <v>0</v>
      </c>
    </row>
    <row r="1536" customFormat="false" ht="15" hidden="false" customHeight="false" outlineLevel="0" collapsed="false">
      <c r="A1536" s="37" t="n">
        <v>5</v>
      </c>
      <c r="B1536" s="37" t="n">
        <v>10</v>
      </c>
      <c r="C1536" s="37" t="n">
        <v>0</v>
      </c>
      <c r="D1536" s="37" t="n">
        <v>5</v>
      </c>
      <c r="E1536" s="37" t="n">
        <v>5</v>
      </c>
      <c r="F1536" s="37" t="n">
        <v>5</v>
      </c>
      <c r="G1536" s="37" t="s">
        <v>192</v>
      </c>
      <c r="H1536" s="38" t="n">
        <v>198.800705340354</v>
      </c>
      <c r="I1536" s="38" t="n">
        <v>197.8670935662</v>
      </c>
      <c r="J1536" s="38" t="n">
        <v>208.653170406206</v>
      </c>
      <c r="K1536" s="38" t="n">
        <v>220.037688544463</v>
      </c>
      <c r="L1536" s="38" t="n">
        <v>46.2759018350357</v>
      </c>
      <c r="M1536" s="38" t="n">
        <v>96.9408947894426</v>
      </c>
      <c r="N1536" s="38" t="n">
        <v>112.563515978652</v>
      </c>
      <c r="O1536" s="38" t="n">
        <v>67.6820528469684</v>
      </c>
      <c r="P1536" s="37" t="n">
        <v>0</v>
      </c>
      <c r="Q1536" s="38" t="n">
        <v>0</v>
      </c>
      <c r="R1536" s="38" t="n">
        <v>72</v>
      </c>
      <c r="S1536" s="37" t="n">
        <v>1</v>
      </c>
    </row>
    <row r="1537" customFormat="false" ht="15" hidden="false" customHeight="false" outlineLevel="0" collapsed="false">
      <c r="A1537" s="37" t="n">
        <v>5</v>
      </c>
      <c r="B1537" s="37" t="n">
        <v>10</v>
      </c>
      <c r="C1537" s="37" t="n">
        <v>0</v>
      </c>
      <c r="D1537" s="37" t="n">
        <v>5</v>
      </c>
      <c r="E1537" s="37" t="n">
        <v>5</v>
      </c>
      <c r="F1537" s="37" t="n">
        <v>5</v>
      </c>
      <c r="G1537" s="37" t="s">
        <v>195</v>
      </c>
      <c r="H1537" s="38" t="n">
        <v>198.800705340354</v>
      </c>
      <c r="I1537" s="38" t="n">
        <v>197.897794571638</v>
      </c>
      <c r="J1537" s="38" t="n">
        <v>197.67494618475</v>
      </c>
      <c r="K1537" s="38" t="n">
        <v>209.172135730276</v>
      </c>
      <c r="L1537" s="38" t="n">
        <v>51.3283753250067</v>
      </c>
      <c r="M1537" s="38" t="n">
        <v>97.7615874801578</v>
      </c>
      <c r="N1537" s="38" t="n">
        <v>98.7798862971259</v>
      </c>
      <c r="O1537" s="38" t="n">
        <v>61.6609354151822</v>
      </c>
      <c r="P1537" s="37" t="n">
        <v>0</v>
      </c>
      <c r="Q1537" s="38" t="n">
        <v>0</v>
      </c>
      <c r="R1537" s="38" t="n">
        <v>70.3218718784192</v>
      </c>
      <c r="S1537" s="37" t="n">
        <v>0</v>
      </c>
    </row>
    <row r="1538" customFormat="false" ht="15" hidden="false" customHeight="false" outlineLevel="0" collapsed="false">
      <c r="A1538" s="37" t="n">
        <v>5</v>
      </c>
      <c r="B1538" s="37" t="n">
        <v>10</v>
      </c>
      <c r="C1538" s="37" t="n">
        <v>0</v>
      </c>
      <c r="D1538" s="37" t="n">
        <v>5</v>
      </c>
      <c r="E1538" s="37" t="n">
        <v>5</v>
      </c>
      <c r="F1538" s="37" t="n">
        <v>5</v>
      </c>
      <c r="G1538" s="37" t="s">
        <v>197</v>
      </c>
      <c r="H1538" s="38" t="n">
        <v>198.800705340354</v>
      </c>
      <c r="I1538" s="38" t="n">
        <v>197.873631401551</v>
      </c>
      <c r="J1538" s="38" t="n">
        <v>200.038367123409</v>
      </c>
      <c r="K1538" s="38" t="n">
        <v>215.24201055327</v>
      </c>
      <c r="L1538" s="38" t="n">
        <v>53.2989983323249</v>
      </c>
      <c r="M1538" s="38" t="n">
        <v>101.205809037786</v>
      </c>
      <c r="N1538" s="38" t="n">
        <v>108.068590436856</v>
      </c>
      <c r="O1538" s="38" t="n">
        <v>65.3319490466627</v>
      </c>
      <c r="P1538" s="37" t="n">
        <v>0</v>
      </c>
      <c r="Q1538" s="38" t="n">
        <v>0</v>
      </c>
      <c r="R1538" s="38" t="n">
        <v>72</v>
      </c>
      <c r="S1538" s="37" t="n">
        <v>0</v>
      </c>
    </row>
    <row r="1539" customFormat="false" ht="15" hidden="false" customHeight="false" outlineLevel="0" collapsed="false">
      <c r="A1539" s="37" t="n">
        <v>5</v>
      </c>
      <c r="B1539" s="37" t="n">
        <v>10</v>
      </c>
      <c r="C1539" s="37" t="n">
        <v>0</v>
      </c>
      <c r="D1539" s="37" t="n">
        <v>5</v>
      </c>
      <c r="E1539" s="37" t="n">
        <v>5</v>
      </c>
      <c r="F1539" s="37" t="n">
        <v>5</v>
      </c>
      <c r="G1539" s="37" t="s">
        <v>196</v>
      </c>
      <c r="H1539" s="38" t="n">
        <v>198.800705340354</v>
      </c>
      <c r="I1539" s="38" t="n">
        <v>197.870503511486</v>
      </c>
      <c r="J1539" s="38" t="n">
        <v>200.391974480459</v>
      </c>
      <c r="K1539" s="38" t="n">
        <v>215.68348956633</v>
      </c>
      <c r="L1539" s="38" t="n">
        <v>59.2816603073761</v>
      </c>
      <c r="M1539" s="38" t="n">
        <v>101.002397782852</v>
      </c>
      <c r="N1539" s="38" t="n">
        <v>110.508958637915</v>
      </c>
      <c r="O1539" s="38" t="n">
        <v>67.0526364182446</v>
      </c>
      <c r="P1539" s="37" t="n">
        <v>0</v>
      </c>
      <c r="Q1539" s="38" t="n">
        <v>0</v>
      </c>
      <c r="R1539" s="38" t="n">
        <v>71.0168943111844</v>
      </c>
      <c r="S1539" s="37" t="n">
        <v>0</v>
      </c>
    </row>
    <row r="1540" customFormat="false" ht="15" hidden="false" customHeight="false" outlineLevel="0" collapsed="false">
      <c r="A1540" s="37" t="n">
        <v>5</v>
      </c>
      <c r="B1540" s="37" t="n">
        <v>10</v>
      </c>
      <c r="C1540" s="37" t="n">
        <v>0</v>
      </c>
      <c r="D1540" s="37" t="n">
        <v>5</v>
      </c>
      <c r="E1540" s="37" t="n">
        <v>10</v>
      </c>
      <c r="F1540" s="37" t="n">
        <v>0</v>
      </c>
      <c r="G1540" s="37" t="s">
        <v>188</v>
      </c>
      <c r="H1540" s="38" t="n">
        <v>198.810798017823</v>
      </c>
      <c r="I1540" s="38" t="n">
        <v>198.137476222186</v>
      </c>
      <c r="J1540" s="38" t="n">
        <v>200.379038770346</v>
      </c>
      <c r="K1540" s="38" t="n">
        <v>217.001126872781</v>
      </c>
      <c r="L1540" s="38" t="n">
        <v>24.9978548228263</v>
      </c>
      <c r="M1540" s="38" t="n">
        <v>99.2808774245265</v>
      </c>
      <c r="N1540" s="38" t="n">
        <v>93.9497017083309</v>
      </c>
      <c r="O1540" s="38" t="n">
        <v>60.6452661151952</v>
      </c>
      <c r="P1540" s="37" t="n">
        <v>0</v>
      </c>
      <c r="Q1540" s="38" t="n">
        <v>0.00214517717373042</v>
      </c>
      <c r="R1540" s="38" t="n">
        <v>72</v>
      </c>
      <c r="S1540" s="37" t="n">
        <v>0</v>
      </c>
    </row>
    <row r="1541" customFormat="false" ht="15" hidden="false" customHeight="false" outlineLevel="0" collapsed="false">
      <c r="A1541" s="37" t="n">
        <v>5</v>
      </c>
      <c r="B1541" s="37" t="n">
        <v>10</v>
      </c>
      <c r="C1541" s="37" t="n">
        <v>0</v>
      </c>
      <c r="D1541" s="37" t="n">
        <v>5</v>
      </c>
      <c r="E1541" s="37" t="n">
        <v>10</v>
      </c>
      <c r="F1541" s="37" t="n">
        <v>0</v>
      </c>
      <c r="G1541" s="37" t="s">
        <v>192</v>
      </c>
      <c r="H1541" s="38" t="n">
        <v>198.810798017823</v>
      </c>
      <c r="I1541" s="38" t="n">
        <v>198.097171141773</v>
      </c>
      <c r="J1541" s="38" t="n">
        <v>210.812796811528</v>
      </c>
      <c r="K1541" s="38" t="n">
        <v>223.912391617255</v>
      </c>
      <c r="L1541" s="38" t="n">
        <v>25.909437555114</v>
      </c>
      <c r="M1541" s="38" t="n">
        <v>97.9870453191487</v>
      </c>
      <c r="N1541" s="38" t="n">
        <v>105.580304510254</v>
      </c>
      <c r="O1541" s="38" t="n">
        <v>65.0905190901651</v>
      </c>
      <c r="P1541" s="37" t="n">
        <v>0</v>
      </c>
      <c r="Q1541" s="38" t="n">
        <v>0.0222006720862247</v>
      </c>
      <c r="R1541" s="38" t="n">
        <v>72</v>
      </c>
      <c r="S1541" s="37" t="n">
        <v>0</v>
      </c>
    </row>
    <row r="1542" customFormat="false" ht="15" hidden="false" customHeight="false" outlineLevel="0" collapsed="false">
      <c r="A1542" s="37" t="n">
        <v>5</v>
      </c>
      <c r="B1542" s="37" t="n">
        <v>10</v>
      </c>
      <c r="C1542" s="37" t="n">
        <v>0</v>
      </c>
      <c r="D1542" s="37" t="n">
        <v>5</v>
      </c>
      <c r="E1542" s="37" t="n">
        <v>10</v>
      </c>
      <c r="F1542" s="37" t="n">
        <v>0</v>
      </c>
      <c r="G1542" s="37" t="s">
        <v>195</v>
      </c>
      <c r="H1542" s="38" t="n">
        <v>198.810798017823</v>
      </c>
      <c r="I1542" s="38" t="n">
        <v>198.133147449134</v>
      </c>
      <c r="J1542" s="38" t="n">
        <v>199.750779592729</v>
      </c>
      <c r="K1542" s="38" t="n">
        <v>213.102687928644</v>
      </c>
      <c r="L1542" s="38" t="n">
        <v>26.4307797545297</v>
      </c>
      <c r="M1542" s="38" t="n">
        <v>98.8805847049551</v>
      </c>
      <c r="N1542" s="38" t="n">
        <v>92.0044823978383</v>
      </c>
      <c r="O1542" s="38" t="n">
        <v>58.7122104754903</v>
      </c>
      <c r="P1542" s="37" t="n">
        <v>0</v>
      </c>
      <c r="Q1542" s="38" t="n">
        <v>0</v>
      </c>
      <c r="R1542" s="38" t="n">
        <v>70.2984275477658</v>
      </c>
      <c r="S1542" s="37" t="n">
        <v>0</v>
      </c>
    </row>
    <row r="1543" customFormat="false" ht="15" hidden="false" customHeight="false" outlineLevel="0" collapsed="false">
      <c r="A1543" s="37" t="n">
        <v>5</v>
      </c>
      <c r="B1543" s="37" t="n">
        <v>10</v>
      </c>
      <c r="C1543" s="37" t="n">
        <v>0</v>
      </c>
      <c r="D1543" s="37" t="n">
        <v>5</v>
      </c>
      <c r="E1543" s="37" t="n">
        <v>10</v>
      </c>
      <c r="F1543" s="37" t="n">
        <v>0</v>
      </c>
      <c r="G1543" s="37" t="s">
        <v>197</v>
      </c>
      <c r="H1543" s="38" t="n">
        <v>198.810798017823</v>
      </c>
      <c r="I1543" s="38" t="n">
        <v>198.122976787015</v>
      </c>
      <c r="J1543" s="38" t="n">
        <v>203.295558613688</v>
      </c>
      <c r="K1543" s="38" t="n">
        <v>220.739192082053</v>
      </c>
      <c r="L1543" s="38" t="n">
        <v>34.4606127065931</v>
      </c>
      <c r="M1543" s="38" t="n">
        <v>104.854356405627</v>
      </c>
      <c r="N1543" s="38" t="n">
        <v>116.922413419038</v>
      </c>
      <c r="O1543" s="38" t="n">
        <v>64.5981680046975</v>
      </c>
      <c r="P1543" s="37" t="n">
        <v>0</v>
      </c>
      <c r="Q1543" s="38" t="n">
        <v>0</v>
      </c>
      <c r="R1543" s="38" t="n">
        <v>72</v>
      </c>
      <c r="S1543" s="37" t="n">
        <v>1</v>
      </c>
    </row>
    <row r="1544" customFormat="false" ht="15" hidden="false" customHeight="false" outlineLevel="0" collapsed="false">
      <c r="A1544" s="37" t="n">
        <v>5</v>
      </c>
      <c r="B1544" s="37" t="n">
        <v>10</v>
      </c>
      <c r="C1544" s="37" t="n">
        <v>0</v>
      </c>
      <c r="D1544" s="37" t="n">
        <v>5</v>
      </c>
      <c r="E1544" s="37" t="n">
        <v>10</v>
      </c>
      <c r="F1544" s="37" t="n">
        <v>0</v>
      </c>
      <c r="G1544" s="37" t="s">
        <v>196</v>
      </c>
      <c r="H1544" s="38" t="n">
        <v>198.810798017823</v>
      </c>
      <c r="I1544" s="38" t="n">
        <v>198.102405612792</v>
      </c>
      <c r="J1544" s="38" t="n">
        <v>202.593792172792</v>
      </c>
      <c r="K1544" s="38" t="n">
        <v>219.729783980817</v>
      </c>
      <c r="L1544" s="38" t="n">
        <v>33.8196107760936</v>
      </c>
      <c r="M1544" s="38" t="n">
        <v>102.56337533154</v>
      </c>
      <c r="N1544" s="38" t="n">
        <v>111.775686411091</v>
      </c>
      <c r="O1544" s="38" t="n">
        <v>64.7216091873008</v>
      </c>
      <c r="P1544" s="37" t="n">
        <v>0</v>
      </c>
      <c r="Q1544" s="38" t="n">
        <v>0</v>
      </c>
      <c r="R1544" s="38" t="n">
        <v>71.0015584308663</v>
      </c>
      <c r="S1544" s="37" t="n">
        <v>0</v>
      </c>
    </row>
    <row r="1545" customFormat="false" ht="15" hidden="false" customHeight="false" outlineLevel="0" collapsed="false">
      <c r="A1545" s="37" t="n">
        <v>5</v>
      </c>
      <c r="B1545" s="37" t="n">
        <v>10</v>
      </c>
      <c r="C1545" s="37" t="n">
        <v>0</v>
      </c>
      <c r="D1545" s="37" t="n">
        <v>10</v>
      </c>
      <c r="E1545" s="37" t="n">
        <v>0</v>
      </c>
      <c r="F1545" s="37" t="n">
        <v>5</v>
      </c>
      <c r="G1545" s="37" t="s">
        <v>188</v>
      </c>
      <c r="H1545" s="38" t="n">
        <v>199.002301726145</v>
      </c>
      <c r="I1545" s="38" t="n">
        <v>198.574278468158</v>
      </c>
      <c r="J1545" s="38" t="n">
        <v>198.638905801308</v>
      </c>
      <c r="K1545" s="38" t="n">
        <v>207.866706360327</v>
      </c>
      <c r="L1545" s="38" t="n">
        <v>43.8267780362514</v>
      </c>
      <c r="M1545" s="38" t="n">
        <v>97.7133241842786</v>
      </c>
      <c r="N1545" s="38" t="n">
        <v>97.5013797600347</v>
      </c>
      <c r="O1545" s="38" t="n">
        <v>64.463740019874</v>
      </c>
      <c r="P1545" s="37" t="n">
        <v>0</v>
      </c>
      <c r="Q1545" s="38" t="n">
        <v>0</v>
      </c>
      <c r="R1545" s="38" t="n">
        <v>72</v>
      </c>
      <c r="S1545" s="37" t="n">
        <v>0</v>
      </c>
    </row>
    <row r="1546" customFormat="false" ht="15" hidden="false" customHeight="false" outlineLevel="0" collapsed="false">
      <c r="A1546" s="37" t="n">
        <v>5</v>
      </c>
      <c r="B1546" s="37" t="n">
        <v>10</v>
      </c>
      <c r="C1546" s="37" t="n">
        <v>0</v>
      </c>
      <c r="D1546" s="37" t="n">
        <v>10</v>
      </c>
      <c r="E1546" s="37" t="n">
        <v>0</v>
      </c>
      <c r="F1546" s="37" t="n">
        <v>5</v>
      </c>
      <c r="G1546" s="37" t="s">
        <v>192</v>
      </c>
      <c r="H1546" s="38" t="n">
        <v>199.002301726145</v>
      </c>
      <c r="I1546" s="38" t="n">
        <v>198.525644682681</v>
      </c>
      <c r="J1546" s="38" t="n">
        <v>209.413463952225</v>
      </c>
      <c r="K1546" s="38" t="n">
        <v>215.050641479585</v>
      </c>
      <c r="L1546" s="38" t="n">
        <v>42.0329175840605</v>
      </c>
      <c r="M1546" s="38" t="n">
        <v>96.4814280067125</v>
      </c>
      <c r="N1546" s="38" t="n">
        <v>108.528738563982</v>
      </c>
      <c r="O1546" s="38" t="n">
        <v>68.071512407287</v>
      </c>
      <c r="P1546" s="37" t="n">
        <v>0</v>
      </c>
      <c r="Q1546" s="38" t="n">
        <v>0</v>
      </c>
      <c r="R1546" s="38" t="n">
        <v>72</v>
      </c>
      <c r="S1546" s="37" t="n">
        <v>1</v>
      </c>
    </row>
    <row r="1547" customFormat="false" ht="15" hidden="false" customHeight="false" outlineLevel="0" collapsed="false">
      <c r="A1547" s="37" t="n">
        <v>5</v>
      </c>
      <c r="B1547" s="37" t="n">
        <v>10</v>
      </c>
      <c r="C1547" s="37" t="n">
        <v>0</v>
      </c>
      <c r="D1547" s="37" t="n">
        <v>10</v>
      </c>
      <c r="E1547" s="37" t="n">
        <v>0</v>
      </c>
      <c r="F1547" s="37" t="n">
        <v>5</v>
      </c>
      <c r="G1547" s="37" t="s">
        <v>195</v>
      </c>
      <c r="H1547" s="38" t="n">
        <v>199.002301726145</v>
      </c>
      <c r="I1547" s="38" t="n">
        <v>198.607470047559</v>
      </c>
      <c r="J1547" s="38" t="n">
        <v>198.725016596623</v>
      </c>
      <c r="K1547" s="38" t="n">
        <v>207.951921490324</v>
      </c>
      <c r="L1547" s="38" t="n">
        <v>54.7019214903242</v>
      </c>
      <c r="M1547" s="38" t="n">
        <v>98.5561204525745</v>
      </c>
      <c r="N1547" s="38" t="n">
        <v>99.4182884647076</v>
      </c>
      <c r="O1547" s="38" t="n">
        <v>63.2993352371448</v>
      </c>
      <c r="P1547" s="37" t="n">
        <v>0</v>
      </c>
      <c r="Q1547" s="38" t="n">
        <v>0</v>
      </c>
      <c r="R1547" s="38" t="n">
        <v>67.2801384097338</v>
      </c>
      <c r="S1547" s="37" t="n">
        <v>0</v>
      </c>
    </row>
    <row r="1548" customFormat="false" ht="15" hidden="false" customHeight="false" outlineLevel="0" collapsed="false">
      <c r="A1548" s="37" t="n">
        <v>5</v>
      </c>
      <c r="B1548" s="37" t="n">
        <v>10</v>
      </c>
      <c r="C1548" s="37" t="n">
        <v>0</v>
      </c>
      <c r="D1548" s="37" t="n">
        <v>10</v>
      </c>
      <c r="E1548" s="37" t="n">
        <v>0</v>
      </c>
      <c r="F1548" s="37" t="n">
        <v>5</v>
      </c>
      <c r="G1548" s="37" t="s">
        <v>197</v>
      </c>
      <c r="H1548" s="38" t="n">
        <v>199.002301726145</v>
      </c>
      <c r="I1548" s="38" t="n">
        <v>198.522222128805</v>
      </c>
      <c r="J1548" s="38" t="n">
        <v>199.919764999461</v>
      </c>
      <c r="K1548" s="38" t="n">
        <v>209.150581370166</v>
      </c>
      <c r="L1548" s="38" t="n">
        <v>46.8894710389102</v>
      </c>
      <c r="M1548" s="38" t="n">
        <v>97.4160125985386</v>
      </c>
      <c r="N1548" s="38" t="n">
        <v>94.4545735759168</v>
      </c>
      <c r="O1548" s="38" t="n">
        <v>61.7703477834872</v>
      </c>
      <c r="P1548" s="37" t="n">
        <v>0</v>
      </c>
      <c r="Q1548" s="38" t="n">
        <v>0</v>
      </c>
      <c r="R1548" s="38" t="n">
        <v>72</v>
      </c>
      <c r="S1548" s="37" t="n">
        <v>0</v>
      </c>
    </row>
    <row r="1549" customFormat="false" ht="15" hidden="false" customHeight="false" outlineLevel="0" collapsed="false">
      <c r="A1549" s="37" t="n">
        <v>5</v>
      </c>
      <c r="B1549" s="37" t="n">
        <v>10</v>
      </c>
      <c r="C1549" s="37" t="n">
        <v>0</v>
      </c>
      <c r="D1549" s="37" t="n">
        <v>10</v>
      </c>
      <c r="E1549" s="37" t="n">
        <v>0</v>
      </c>
      <c r="F1549" s="37" t="n">
        <v>5</v>
      </c>
      <c r="G1549" s="37" t="s">
        <v>196</v>
      </c>
      <c r="H1549" s="38" t="n">
        <v>199.002301726145</v>
      </c>
      <c r="I1549" s="38" t="n">
        <v>198.526289826279</v>
      </c>
      <c r="J1549" s="38" t="n">
        <v>193.505629311539</v>
      </c>
      <c r="K1549" s="38" t="n">
        <v>211.804187303596</v>
      </c>
      <c r="L1549" s="38" t="n">
        <v>58.2486317480406</v>
      </c>
      <c r="M1549" s="38" t="n">
        <v>100.34211994342</v>
      </c>
      <c r="N1549" s="38" t="n">
        <v>103.751644642976</v>
      </c>
      <c r="O1549" s="38" t="n">
        <v>64.7179144631132</v>
      </c>
      <c r="P1549" s="37" t="n">
        <v>0</v>
      </c>
      <c r="Q1549" s="38" t="n">
        <v>0</v>
      </c>
      <c r="R1549" s="38" t="n">
        <v>70.604</v>
      </c>
      <c r="S1549" s="37" t="n">
        <v>0</v>
      </c>
    </row>
    <row r="1550" customFormat="false" ht="15" hidden="false" customHeight="false" outlineLevel="0" collapsed="false">
      <c r="A1550" s="37" t="n">
        <v>5</v>
      </c>
      <c r="B1550" s="37" t="n">
        <v>10</v>
      </c>
      <c r="C1550" s="37" t="n">
        <v>0</v>
      </c>
      <c r="D1550" s="37" t="n">
        <v>10</v>
      </c>
      <c r="E1550" s="37" t="n">
        <v>5</v>
      </c>
      <c r="F1550" s="37" t="n">
        <v>0</v>
      </c>
      <c r="G1550" s="37" t="s">
        <v>188</v>
      </c>
      <c r="H1550" s="38" t="n">
        <v>199.002667263302</v>
      </c>
      <c r="I1550" s="38" t="n">
        <v>198.756881849505</v>
      </c>
      <c r="J1550" s="38" t="n">
        <v>201.593189967457</v>
      </c>
      <c r="K1550" s="38" t="n">
        <v>212.69762033688</v>
      </c>
      <c r="L1550" s="38" t="n">
        <v>24.9874512517673</v>
      </c>
      <c r="M1550" s="38" t="n">
        <v>98.8207793699382</v>
      </c>
      <c r="N1550" s="38" t="n">
        <v>91.3729063138981</v>
      </c>
      <c r="O1550" s="38" t="n">
        <v>61.8687270595211</v>
      </c>
      <c r="P1550" s="37" t="n">
        <v>0</v>
      </c>
      <c r="Q1550" s="38" t="n">
        <v>0.0125487482326889</v>
      </c>
      <c r="R1550" s="38" t="n">
        <v>72</v>
      </c>
      <c r="S1550" s="37" t="n">
        <v>0</v>
      </c>
    </row>
    <row r="1551" customFormat="false" ht="15" hidden="false" customHeight="false" outlineLevel="0" collapsed="false">
      <c r="A1551" s="37" t="n">
        <v>5</v>
      </c>
      <c r="B1551" s="37" t="n">
        <v>10</v>
      </c>
      <c r="C1551" s="37" t="n">
        <v>0</v>
      </c>
      <c r="D1551" s="37" t="n">
        <v>10</v>
      </c>
      <c r="E1551" s="37" t="n">
        <v>5</v>
      </c>
      <c r="F1551" s="37" t="n">
        <v>0</v>
      </c>
      <c r="G1551" s="37" t="s">
        <v>192</v>
      </c>
      <c r="H1551" s="38" t="n">
        <v>199.002667263302</v>
      </c>
      <c r="I1551" s="38" t="n">
        <v>198.710639068419</v>
      </c>
      <c r="J1551" s="38" t="n">
        <v>210.155469212234</v>
      </c>
      <c r="K1551" s="38" t="n">
        <v>232.983726437619</v>
      </c>
      <c r="L1551" s="38" t="n">
        <v>33.9033325045136</v>
      </c>
      <c r="M1551" s="38" t="n">
        <v>97.5330584861236</v>
      </c>
      <c r="N1551" s="38" t="n">
        <v>111.03425673037</v>
      </c>
      <c r="O1551" s="38" t="n">
        <v>64.6434833389046</v>
      </c>
      <c r="P1551" s="37" t="n">
        <v>0</v>
      </c>
      <c r="Q1551" s="38" t="n">
        <v>0</v>
      </c>
      <c r="R1551" s="38" t="n">
        <v>63</v>
      </c>
      <c r="S1551" s="37" t="n">
        <v>1</v>
      </c>
    </row>
    <row r="1552" customFormat="false" ht="15" hidden="false" customHeight="false" outlineLevel="0" collapsed="false">
      <c r="A1552" s="37" t="n">
        <v>5</v>
      </c>
      <c r="B1552" s="37" t="n">
        <v>10</v>
      </c>
      <c r="C1552" s="37" t="n">
        <v>0</v>
      </c>
      <c r="D1552" s="37" t="n">
        <v>10</v>
      </c>
      <c r="E1552" s="37" t="n">
        <v>5</v>
      </c>
      <c r="F1552" s="37" t="n">
        <v>0</v>
      </c>
      <c r="G1552" s="37" t="s">
        <v>195</v>
      </c>
      <c r="H1552" s="38" t="n">
        <v>199.002667263302</v>
      </c>
      <c r="I1552" s="38" t="n">
        <v>198.799921237538</v>
      </c>
      <c r="J1552" s="38" t="n">
        <v>201.595372355631</v>
      </c>
      <c r="K1552" s="38" t="n">
        <v>212.726055050977</v>
      </c>
      <c r="L1552" s="38" t="n">
        <v>30.7260550509768</v>
      </c>
      <c r="M1552" s="38" t="n">
        <v>99.6614453491888</v>
      </c>
      <c r="N1552" s="38" t="n">
        <v>98.2673707887065</v>
      </c>
      <c r="O1552" s="38" t="n">
        <v>61.1531306406476</v>
      </c>
      <c r="P1552" s="37" t="n">
        <v>0</v>
      </c>
      <c r="Q1552" s="38" t="n">
        <v>0</v>
      </c>
      <c r="R1552" s="38" t="n">
        <v>67.2519508284242</v>
      </c>
      <c r="S1552" s="37" t="n">
        <v>0</v>
      </c>
    </row>
    <row r="1553" customFormat="false" ht="15" hidden="false" customHeight="false" outlineLevel="0" collapsed="false">
      <c r="A1553" s="37" t="n">
        <v>5</v>
      </c>
      <c r="B1553" s="37" t="n">
        <v>10</v>
      </c>
      <c r="C1553" s="37" t="n">
        <v>0</v>
      </c>
      <c r="D1553" s="37" t="n">
        <v>10</v>
      </c>
      <c r="E1553" s="37" t="n">
        <v>5</v>
      </c>
      <c r="F1553" s="37" t="n">
        <v>0</v>
      </c>
      <c r="G1553" s="37" t="s">
        <v>197</v>
      </c>
      <c r="H1553" s="38" t="n">
        <v>199.002667263302</v>
      </c>
      <c r="I1553" s="38" t="n">
        <v>198.717910454444</v>
      </c>
      <c r="J1553" s="38" t="n">
        <v>203.523131216648</v>
      </c>
      <c r="K1553" s="38" t="n">
        <v>214.964783250606</v>
      </c>
      <c r="L1553" s="38" t="n">
        <v>28.2159309638732</v>
      </c>
      <c r="M1553" s="38" t="n">
        <v>101.807811968963</v>
      </c>
      <c r="N1553" s="38" t="n">
        <v>100.537583305673</v>
      </c>
      <c r="O1553" s="38" t="n">
        <v>63.5197589443922</v>
      </c>
      <c r="P1553" s="37" t="n">
        <v>0</v>
      </c>
      <c r="Q1553" s="38" t="n">
        <v>0</v>
      </c>
      <c r="R1553" s="38" t="n">
        <v>72</v>
      </c>
      <c r="S1553" s="37" t="n">
        <v>0</v>
      </c>
    </row>
    <row r="1554" customFormat="false" ht="15" hidden="false" customHeight="false" outlineLevel="0" collapsed="false">
      <c r="A1554" s="37" t="n">
        <v>5</v>
      </c>
      <c r="B1554" s="37" t="n">
        <v>10</v>
      </c>
      <c r="C1554" s="37" t="n">
        <v>0</v>
      </c>
      <c r="D1554" s="37" t="n">
        <v>10</v>
      </c>
      <c r="E1554" s="37" t="n">
        <v>5</v>
      </c>
      <c r="F1554" s="37" t="n">
        <v>0</v>
      </c>
      <c r="G1554" s="37" t="s">
        <v>196</v>
      </c>
      <c r="H1554" s="38" t="n">
        <v>199.002667263302</v>
      </c>
      <c r="I1554" s="38" t="n">
        <v>198.714307177516</v>
      </c>
      <c r="J1554" s="38" t="n">
        <v>203.842463895506</v>
      </c>
      <c r="K1554" s="38" t="n">
        <v>215.363466303059</v>
      </c>
      <c r="L1554" s="38" t="n">
        <v>29.790132969726</v>
      </c>
      <c r="M1554" s="38" t="n">
        <v>102.054552554794</v>
      </c>
      <c r="N1554" s="38" t="n">
        <v>105.315619425023</v>
      </c>
      <c r="O1554" s="38" t="n">
        <v>64.7827070463643</v>
      </c>
      <c r="P1554" s="37" t="n">
        <v>0</v>
      </c>
      <c r="Q1554" s="38" t="n">
        <v>0</v>
      </c>
      <c r="R1554" s="38" t="n">
        <v>71.0824</v>
      </c>
      <c r="S1554" s="37" t="n">
        <v>0</v>
      </c>
    </row>
    <row r="1555" customFormat="false" ht="15" hidden="false" customHeight="false" outlineLevel="0" collapsed="false">
      <c r="A1555" s="37" t="n">
        <v>5</v>
      </c>
      <c r="B1555" s="37" t="n">
        <v>10</v>
      </c>
      <c r="C1555" s="37" t="n">
        <v>0</v>
      </c>
      <c r="D1555" s="37" t="n">
        <v>15</v>
      </c>
      <c r="E1555" s="37" t="n">
        <v>0</v>
      </c>
      <c r="F1555" s="37" t="n">
        <v>0</v>
      </c>
      <c r="G1555" s="37" t="s">
        <v>188</v>
      </c>
      <c r="H1555" s="38" t="n">
        <v>199.153082788161</v>
      </c>
      <c r="I1555" s="38" t="n">
        <v>199.204402674979</v>
      </c>
      <c r="J1555" s="38" t="n">
        <v>200.951413787958</v>
      </c>
      <c r="K1555" s="38" t="n">
        <v>205.411448348348</v>
      </c>
      <c r="L1555" s="38" t="n">
        <v>24.9687286484079</v>
      </c>
      <c r="M1555" s="38" t="n">
        <v>97.9926261262483</v>
      </c>
      <c r="N1555" s="38" t="n">
        <v>85.4332383082917</v>
      </c>
      <c r="O1555" s="38" t="n">
        <v>61.1179551730077</v>
      </c>
      <c r="P1555" s="37" t="n">
        <v>0</v>
      </c>
      <c r="Q1555" s="38" t="n">
        <v>0.0312713515920962</v>
      </c>
      <c r="R1555" s="38" t="n">
        <v>72</v>
      </c>
      <c r="S1555" s="37" t="n">
        <v>0</v>
      </c>
    </row>
    <row r="1556" customFormat="false" ht="15" hidden="false" customHeight="false" outlineLevel="0" collapsed="false">
      <c r="A1556" s="37" t="n">
        <v>5</v>
      </c>
      <c r="B1556" s="37" t="n">
        <v>10</v>
      </c>
      <c r="C1556" s="37" t="n">
        <v>0</v>
      </c>
      <c r="D1556" s="37" t="n">
        <v>15</v>
      </c>
      <c r="E1556" s="37" t="n">
        <v>0</v>
      </c>
      <c r="F1556" s="37" t="n">
        <v>0</v>
      </c>
      <c r="G1556" s="37" t="s">
        <v>192</v>
      </c>
      <c r="H1556" s="38" t="n">
        <v>199.153082788161</v>
      </c>
      <c r="I1556" s="38" t="n">
        <v>199.1517771558</v>
      </c>
      <c r="J1556" s="38" t="n">
        <v>209.8842297048</v>
      </c>
      <c r="K1556" s="38" t="n">
        <v>226.114877077085</v>
      </c>
      <c r="L1556" s="38" t="n">
        <v>27.745616499329</v>
      </c>
      <c r="M1556" s="38" t="n">
        <v>96.7338029240194</v>
      </c>
      <c r="N1556" s="38" t="n">
        <v>100.61876411631</v>
      </c>
      <c r="O1556" s="38" t="n">
        <v>63.5670441062432</v>
      </c>
      <c r="P1556" s="37" t="n">
        <v>0</v>
      </c>
      <c r="Q1556" s="38" t="n">
        <v>0</v>
      </c>
      <c r="R1556" s="38" t="n">
        <v>63</v>
      </c>
      <c r="S1556" s="37" t="n">
        <v>1</v>
      </c>
    </row>
    <row r="1557" customFormat="false" ht="15" hidden="false" customHeight="false" outlineLevel="0" collapsed="false">
      <c r="A1557" s="37" t="n">
        <v>5</v>
      </c>
      <c r="B1557" s="37" t="n">
        <v>10</v>
      </c>
      <c r="C1557" s="37" t="n">
        <v>0</v>
      </c>
      <c r="D1557" s="37" t="n">
        <v>15</v>
      </c>
      <c r="E1557" s="37" t="n">
        <v>0</v>
      </c>
      <c r="F1557" s="37" t="n">
        <v>0</v>
      </c>
      <c r="G1557" s="37" t="s">
        <v>195</v>
      </c>
      <c r="H1557" s="38" t="n">
        <v>199.153082788161</v>
      </c>
      <c r="I1557" s="38" t="n">
        <v>199.289216352492</v>
      </c>
      <c r="J1557" s="38" t="n">
        <v>202.154841786581</v>
      </c>
      <c r="K1557" s="38" t="n">
        <v>206.919095232863</v>
      </c>
      <c r="L1557" s="38" t="n">
        <v>24.9995238871652</v>
      </c>
      <c r="M1557" s="38" t="n">
        <v>99.7315797972213</v>
      </c>
      <c r="N1557" s="38" t="n">
        <v>89.5911341349323</v>
      </c>
      <c r="O1557" s="38" t="n">
        <v>60.6454285871146</v>
      </c>
      <c r="P1557" s="37" t="n">
        <v>0</v>
      </c>
      <c r="Q1557" s="38" t="n">
        <v>0.000476112834775222</v>
      </c>
      <c r="R1557" s="38" t="n">
        <v>67.36</v>
      </c>
      <c r="S1557" s="37" t="n">
        <v>0</v>
      </c>
    </row>
    <row r="1558" customFormat="false" ht="15" hidden="false" customHeight="false" outlineLevel="0" collapsed="false">
      <c r="A1558" s="37" t="n">
        <v>5</v>
      </c>
      <c r="B1558" s="37" t="n">
        <v>10</v>
      </c>
      <c r="C1558" s="37" t="n">
        <v>0</v>
      </c>
      <c r="D1558" s="37" t="n">
        <v>15</v>
      </c>
      <c r="E1558" s="37" t="n">
        <v>0</v>
      </c>
      <c r="F1558" s="37" t="n">
        <v>0</v>
      </c>
      <c r="G1558" s="37" t="s">
        <v>197</v>
      </c>
      <c r="H1558" s="38" t="n">
        <v>199.153082788161</v>
      </c>
      <c r="I1558" s="38" t="n">
        <v>199.148276396999</v>
      </c>
      <c r="J1558" s="38" t="n">
        <v>202.248164390768</v>
      </c>
      <c r="K1558" s="38" t="n">
        <v>206.467945100503</v>
      </c>
      <c r="L1558" s="38" t="n">
        <v>24.9744278216963</v>
      </c>
      <c r="M1558" s="38" t="n">
        <v>97.6996338706213</v>
      </c>
      <c r="N1558" s="38" t="n">
        <v>82.2345553489809</v>
      </c>
      <c r="O1558" s="38" t="n">
        <v>58.4216952979927</v>
      </c>
      <c r="P1558" s="37" t="n">
        <v>0</v>
      </c>
      <c r="Q1558" s="38" t="n">
        <v>0.0255721783037188</v>
      </c>
      <c r="R1558" s="38" t="n">
        <v>72</v>
      </c>
      <c r="S1558" s="37" t="n">
        <v>0</v>
      </c>
    </row>
    <row r="1559" customFormat="false" ht="15" hidden="false" customHeight="false" outlineLevel="0" collapsed="false">
      <c r="A1559" s="37" t="n">
        <v>5</v>
      </c>
      <c r="B1559" s="37" t="n">
        <v>10</v>
      </c>
      <c r="C1559" s="37" t="n">
        <v>0</v>
      </c>
      <c r="D1559" s="37" t="n">
        <v>15</v>
      </c>
      <c r="E1559" s="37" t="n">
        <v>0</v>
      </c>
      <c r="F1559" s="37" t="n">
        <v>0</v>
      </c>
      <c r="G1559" s="37" t="s">
        <v>196</v>
      </c>
      <c r="H1559" s="38" t="n">
        <v>199.153082788161</v>
      </c>
      <c r="I1559" s="38" t="n">
        <v>199.152460164102</v>
      </c>
      <c r="J1559" s="38" t="n">
        <v>195.688658946307</v>
      </c>
      <c r="K1559" s="38" t="n">
        <v>208.909493419482</v>
      </c>
      <c r="L1559" s="38" t="n">
        <v>25.9094934194822</v>
      </c>
      <c r="M1559" s="38" t="n">
        <v>100.910463595199</v>
      </c>
      <c r="N1559" s="38" t="n">
        <v>92.5337887354526</v>
      </c>
      <c r="O1559" s="38" t="n">
        <v>60.8878182875101</v>
      </c>
      <c r="P1559" s="37" t="n">
        <v>0</v>
      </c>
      <c r="Q1559" s="38" t="n">
        <v>0</v>
      </c>
      <c r="R1559" s="38" t="n">
        <v>70.604</v>
      </c>
      <c r="S1559" s="37" t="n">
        <v>0</v>
      </c>
    </row>
    <row r="1560" customFormat="false" ht="15" hidden="false" customHeight="false" outlineLevel="0" collapsed="false">
      <c r="A1560" s="37" t="n">
        <v>5</v>
      </c>
      <c r="B1560" s="37" t="n">
        <v>10</v>
      </c>
      <c r="C1560" s="37" t="n">
        <v>5</v>
      </c>
      <c r="D1560" s="37" t="n">
        <v>0</v>
      </c>
      <c r="E1560" s="37" t="n">
        <v>0</v>
      </c>
      <c r="F1560" s="37" t="n">
        <v>10</v>
      </c>
      <c r="G1560" s="37" t="s">
        <v>188</v>
      </c>
      <c r="H1560" s="38" t="n">
        <v>198.737289692875</v>
      </c>
      <c r="I1560" s="38" t="n">
        <v>198.665567831913</v>
      </c>
      <c r="J1560" s="38" t="n">
        <v>208.92889295112</v>
      </c>
      <c r="K1560" s="38" t="n">
        <v>239.565825450907</v>
      </c>
      <c r="L1560" s="38" t="n">
        <v>115.564581321519</v>
      </c>
      <c r="M1560" s="38" t="n">
        <v>101.584164353539</v>
      </c>
      <c r="N1560" s="38" t="n">
        <v>124.371914408664</v>
      </c>
      <c r="O1560" s="38" t="n">
        <v>70.2028908460572</v>
      </c>
      <c r="P1560" s="37" t="n">
        <v>0</v>
      </c>
      <c r="Q1560" s="38" t="n">
        <v>0</v>
      </c>
      <c r="R1560" s="38" t="n">
        <v>70.5</v>
      </c>
      <c r="S1560" s="37" t="n">
        <v>0</v>
      </c>
    </row>
    <row r="1561" customFormat="false" ht="15" hidden="false" customHeight="false" outlineLevel="0" collapsed="false">
      <c r="A1561" s="37" t="n">
        <v>5</v>
      </c>
      <c r="B1561" s="37" t="n">
        <v>10</v>
      </c>
      <c r="C1561" s="37" t="n">
        <v>5</v>
      </c>
      <c r="D1561" s="37" t="n">
        <v>0</v>
      </c>
      <c r="E1561" s="37" t="n">
        <v>0</v>
      </c>
      <c r="F1561" s="37" t="n">
        <v>10</v>
      </c>
      <c r="G1561" s="37" t="s">
        <v>192</v>
      </c>
      <c r="H1561" s="38" t="n">
        <v>198.737289692875</v>
      </c>
      <c r="I1561" s="38" t="n">
        <v>198.591913470058</v>
      </c>
      <c r="J1561" s="38" t="n">
        <v>218.344848265717</v>
      </c>
      <c r="K1561" s="38" t="n">
        <v>244.472923329328</v>
      </c>
      <c r="L1561" s="38" t="n">
        <v>111.406116839707</v>
      </c>
      <c r="M1561" s="38" t="n">
        <v>100.284968403585</v>
      </c>
      <c r="N1561" s="38" t="n">
        <v>132.646074329819</v>
      </c>
      <c r="O1561" s="38" t="n">
        <v>73.6201036455368</v>
      </c>
      <c r="P1561" s="37" t="n">
        <v>0</v>
      </c>
      <c r="Q1561" s="38" t="n">
        <v>0</v>
      </c>
      <c r="R1561" s="38" t="n">
        <v>70.5</v>
      </c>
      <c r="S1561" s="37" t="n">
        <v>1</v>
      </c>
    </row>
    <row r="1562" customFormat="false" ht="15" hidden="false" customHeight="false" outlineLevel="0" collapsed="false">
      <c r="A1562" s="37" t="n">
        <v>5</v>
      </c>
      <c r="B1562" s="37" t="n">
        <v>10</v>
      </c>
      <c r="C1562" s="37" t="n">
        <v>5</v>
      </c>
      <c r="D1562" s="37" t="n">
        <v>0</v>
      </c>
      <c r="E1562" s="37" t="n">
        <v>0</v>
      </c>
      <c r="F1562" s="37" t="n">
        <v>10</v>
      </c>
      <c r="G1562" s="37" t="s">
        <v>195</v>
      </c>
      <c r="H1562" s="38" t="n">
        <v>198.737289692875</v>
      </c>
      <c r="I1562" s="38" t="n">
        <v>198.588645690724</v>
      </c>
      <c r="J1562" s="38" t="n">
        <v>204.393387137769</v>
      </c>
      <c r="K1562" s="38" t="n">
        <v>229.66557383042</v>
      </c>
      <c r="L1562" s="38" t="n">
        <v>110.724313675746</v>
      </c>
      <c r="M1562" s="38" t="n">
        <v>99.4254200867669</v>
      </c>
      <c r="N1562" s="38" t="n">
        <v>111.011019063347</v>
      </c>
      <c r="O1562" s="38" t="n">
        <v>63.0852159665553</v>
      </c>
      <c r="P1562" s="37" t="n">
        <v>0</v>
      </c>
      <c r="Q1562" s="38" t="n">
        <v>0</v>
      </c>
      <c r="R1562" s="38" t="n">
        <v>68.4926219535979</v>
      </c>
      <c r="S1562" s="37" t="n">
        <v>0</v>
      </c>
    </row>
    <row r="1563" customFormat="false" ht="15" hidden="false" customHeight="false" outlineLevel="0" collapsed="false">
      <c r="A1563" s="37" t="n">
        <v>5</v>
      </c>
      <c r="B1563" s="37" t="n">
        <v>10</v>
      </c>
      <c r="C1563" s="37" t="n">
        <v>5</v>
      </c>
      <c r="D1563" s="37" t="n">
        <v>0</v>
      </c>
      <c r="E1563" s="37" t="n">
        <v>0</v>
      </c>
      <c r="F1563" s="37" t="n">
        <v>10</v>
      </c>
      <c r="G1563" s="37" t="s">
        <v>197</v>
      </c>
      <c r="H1563" s="38" t="n">
        <v>198.737289692875</v>
      </c>
      <c r="I1563" s="38" t="n">
        <v>198.578801692121</v>
      </c>
      <c r="J1563" s="38" t="n">
        <v>208.122496411759</v>
      </c>
      <c r="K1563" s="38" t="n">
        <v>237.872205156179</v>
      </c>
      <c r="L1563" s="38" t="n">
        <v>115.278719205537</v>
      </c>
      <c r="M1563" s="38" t="n">
        <v>98.9476654049271</v>
      </c>
      <c r="N1563" s="38" t="n">
        <v>112.319558617885</v>
      </c>
      <c r="O1563" s="38" t="n">
        <v>64.8195976331363</v>
      </c>
      <c r="P1563" s="37" t="n">
        <v>0</v>
      </c>
      <c r="Q1563" s="38" t="n">
        <v>0</v>
      </c>
      <c r="R1563" s="38" t="n">
        <v>70.5</v>
      </c>
      <c r="S1563" s="37" t="n">
        <v>0</v>
      </c>
    </row>
    <row r="1564" customFormat="false" ht="15" hidden="false" customHeight="false" outlineLevel="0" collapsed="false">
      <c r="A1564" s="37" t="n">
        <v>5</v>
      </c>
      <c r="B1564" s="37" t="n">
        <v>10</v>
      </c>
      <c r="C1564" s="37" t="n">
        <v>5</v>
      </c>
      <c r="D1564" s="37" t="n">
        <v>0</v>
      </c>
      <c r="E1564" s="37" t="n">
        <v>0</v>
      </c>
      <c r="F1564" s="37" t="n">
        <v>10</v>
      </c>
      <c r="G1564" s="37" t="s">
        <v>196</v>
      </c>
      <c r="H1564" s="38" t="n">
        <v>198.737289692875</v>
      </c>
      <c r="I1564" s="38" t="n">
        <v>198.591926958209</v>
      </c>
      <c r="J1564" s="38" t="n">
        <v>209.07727861461</v>
      </c>
      <c r="K1564" s="38" t="n">
        <v>239.381589103667</v>
      </c>
      <c r="L1564" s="38" t="n">
        <v>122.902458454595</v>
      </c>
      <c r="M1564" s="38" t="n">
        <v>101.679499293207</v>
      </c>
      <c r="N1564" s="38" t="n">
        <v>123.140586555645</v>
      </c>
      <c r="O1564" s="38" t="n">
        <v>70.3139140676984</v>
      </c>
      <c r="P1564" s="37" t="n">
        <v>0</v>
      </c>
      <c r="Q1564" s="38" t="n">
        <v>0</v>
      </c>
      <c r="R1564" s="38" t="n">
        <v>69.4983419775559</v>
      </c>
      <c r="S1564" s="37" t="n">
        <v>0</v>
      </c>
    </row>
    <row r="1565" customFormat="false" ht="15" hidden="false" customHeight="false" outlineLevel="0" collapsed="false">
      <c r="A1565" s="37" t="n">
        <v>5</v>
      </c>
      <c r="B1565" s="37" t="n">
        <v>10</v>
      </c>
      <c r="C1565" s="37" t="n">
        <v>5</v>
      </c>
      <c r="D1565" s="37" t="n">
        <v>0</v>
      </c>
      <c r="E1565" s="37" t="n">
        <v>5</v>
      </c>
      <c r="F1565" s="37" t="n">
        <v>5</v>
      </c>
      <c r="G1565" s="37" t="s">
        <v>188</v>
      </c>
      <c r="H1565" s="38" t="n">
        <v>198.737781757518</v>
      </c>
      <c r="I1565" s="38" t="n">
        <v>198.675371415233</v>
      </c>
      <c r="J1565" s="38" t="n">
        <v>210.237505307086</v>
      </c>
      <c r="K1565" s="38" t="n">
        <v>241.035469388712</v>
      </c>
      <c r="L1565" s="38" t="n">
        <v>77.1285368922258</v>
      </c>
      <c r="M1565" s="38" t="n">
        <v>102.170594650311</v>
      </c>
      <c r="N1565" s="38" t="n">
        <v>128.593210090942</v>
      </c>
      <c r="O1565" s="38" t="n">
        <v>69.3371142679916</v>
      </c>
      <c r="P1565" s="37" t="n">
        <v>0</v>
      </c>
      <c r="Q1565" s="38" t="n">
        <v>0</v>
      </c>
      <c r="R1565" s="38" t="n">
        <v>70.5</v>
      </c>
      <c r="S1565" s="37" t="n">
        <v>0</v>
      </c>
    </row>
    <row r="1566" customFormat="false" ht="15" hidden="false" customHeight="false" outlineLevel="0" collapsed="false">
      <c r="A1566" s="37" t="n">
        <v>5</v>
      </c>
      <c r="B1566" s="37" t="n">
        <v>10</v>
      </c>
      <c r="C1566" s="37" t="n">
        <v>5</v>
      </c>
      <c r="D1566" s="37" t="n">
        <v>0</v>
      </c>
      <c r="E1566" s="37" t="n">
        <v>5</v>
      </c>
      <c r="F1566" s="37" t="n">
        <v>5</v>
      </c>
      <c r="G1566" s="37" t="s">
        <v>192</v>
      </c>
      <c r="H1566" s="38" t="n">
        <v>198.737781757518</v>
      </c>
      <c r="I1566" s="38" t="n">
        <v>198.608722102163</v>
      </c>
      <c r="J1566" s="38" t="n">
        <v>219.515573632426</v>
      </c>
      <c r="K1566" s="38" t="n">
        <v>245.859889906238</v>
      </c>
      <c r="L1566" s="38" t="n">
        <v>72.6343879143802</v>
      </c>
      <c r="M1566" s="38" t="n">
        <v>100.807896579786</v>
      </c>
      <c r="N1566" s="38" t="n">
        <v>136.692240328581</v>
      </c>
      <c r="O1566" s="38" t="n">
        <v>72.9897335092611</v>
      </c>
      <c r="P1566" s="37" t="n">
        <v>0</v>
      </c>
      <c r="Q1566" s="38" t="n">
        <v>0</v>
      </c>
      <c r="R1566" s="38" t="n">
        <v>70.5</v>
      </c>
      <c r="S1566" s="37" t="n">
        <v>1</v>
      </c>
    </row>
    <row r="1567" customFormat="false" ht="15" hidden="false" customHeight="false" outlineLevel="0" collapsed="false">
      <c r="A1567" s="37" t="n">
        <v>5</v>
      </c>
      <c r="B1567" s="37" t="n">
        <v>10</v>
      </c>
      <c r="C1567" s="37" t="n">
        <v>5</v>
      </c>
      <c r="D1567" s="37" t="n">
        <v>0</v>
      </c>
      <c r="E1567" s="37" t="n">
        <v>5</v>
      </c>
      <c r="F1567" s="37" t="n">
        <v>5</v>
      </c>
      <c r="G1567" s="37" t="s">
        <v>195</v>
      </c>
      <c r="H1567" s="38" t="n">
        <v>198.737781757518</v>
      </c>
      <c r="I1567" s="38" t="n">
        <v>198.602375069354</v>
      </c>
      <c r="J1567" s="38" t="n">
        <v>205.301050468224</v>
      </c>
      <c r="K1567" s="38" t="n">
        <v>230.667560671585</v>
      </c>
      <c r="L1567" s="38" t="n">
        <v>71.589805654676</v>
      </c>
      <c r="M1567" s="38" t="n">
        <v>100.106205359723</v>
      </c>
      <c r="N1567" s="38" t="n">
        <v>114.699034852998</v>
      </c>
      <c r="O1567" s="38" t="n">
        <v>62.3932412447874</v>
      </c>
      <c r="P1567" s="37" t="n">
        <v>0</v>
      </c>
      <c r="Q1567" s="38" t="n">
        <v>0</v>
      </c>
      <c r="R1567" s="38" t="n">
        <v>68.4516734949272</v>
      </c>
      <c r="S1567" s="37" t="n">
        <v>0</v>
      </c>
    </row>
    <row r="1568" customFormat="false" ht="15" hidden="false" customHeight="false" outlineLevel="0" collapsed="false">
      <c r="A1568" s="37" t="n">
        <v>5</v>
      </c>
      <c r="B1568" s="37" t="n">
        <v>10</v>
      </c>
      <c r="C1568" s="37" t="n">
        <v>5</v>
      </c>
      <c r="D1568" s="37" t="n">
        <v>0</v>
      </c>
      <c r="E1568" s="37" t="n">
        <v>5</v>
      </c>
      <c r="F1568" s="37" t="n">
        <v>5</v>
      </c>
      <c r="G1568" s="37" t="s">
        <v>197</v>
      </c>
      <c r="H1568" s="38" t="n">
        <v>198.737781757518</v>
      </c>
      <c r="I1568" s="38" t="n">
        <v>198.603167594271</v>
      </c>
      <c r="J1568" s="38" t="n">
        <v>210.033594708198</v>
      </c>
      <c r="K1568" s="38" t="n">
        <v>240.311393019505</v>
      </c>
      <c r="L1568" s="38" t="n">
        <v>78.1908099504636</v>
      </c>
      <c r="M1568" s="38" t="n">
        <v>102.860639358234</v>
      </c>
      <c r="N1568" s="38" t="n">
        <v>125.511578039474</v>
      </c>
      <c r="O1568" s="38" t="n">
        <v>68.0233612514234</v>
      </c>
      <c r="P1568" s="37" t="n">
        <v>0</v>
      </c>
      <c r="Q1568" s="38" t="n">
        <v>0</v>
      </c>
      <c r="R1568" s="38" t="n">
        <v>70.5</v>
      </c>
      <c r="S1568" s="37" t="n">
        <v>0</v>
      </c>
    </row>
    <row r="1569" customFormat="false" ht="15" hidden="false" customHeight="false" outlineLevel="0" collapsed="false">
      <c r="A1569" s="37" t="n">
        <v>5</v>
      </c>
      <c r="B1569" s="37" t="n">
        <v>10</v>
      </c>
      <c r="C1569" s="37" t="n">
        <v>5</v>
      </c>
      <c r="D1569" s="37" t="n">
        <v>0</v>
      </c>
      <c r="E1569" s="37" t="n">
        <v>5</v>
      </c>
      <c r="F1569" s="37" t="n">
        <v>5</v>
      </c>
      <c r="G1569" s="37" t="s">
        <v>196</v>
      </c>
      <c r="H1569" s="38" t="n">
        <v>198.737781757518</v>
      </c>
      <c r="I1569" s="38" t="n">
        <v>198.611127072821</v>
      </c>
      <c r="J1569" s="38" t="n">
        <v>210.241091061892</v>
      </c>
      <c r="K1569" s="38" t="n">
        <v>240.81218605941</v>
      </c>
      <c r="L1569" s="38" t="n">
        <v>83.8687427688801</v>
      </c>
      <c r="M1569" s="38" t="n">
        <v>102.96126918424</v>
      </c>
      <c r="N1569" s="38" t="n">
        <v>128.821244580388</v>
      </c>
      <c r="O1569" s="38" t="n">
        <v>70.4552529851739</v>
      </c>
      <c r="P1569" s="37" t="n">
        <v>0</v>
      </c>
      <c r="Q1569" s="38" t="n">
        <v>0</v>
      </c>
      <c r="R1569" s="38" t="n">
        <v>69.3869069436063</v>
      </c>
      <c r="S1569" s="37" t="n">
        <v>0</v>
      </c>
    </row>
    <row r="1570" customFormat="false" ht="15" hidden="false" customHeight="false" outlineLevel="0" collapsed="false">
      <c r="A1570" s="37" t="n">
        <v>5</v>
      </c>
      <c r="B1570" s="37" t="n">
        <v>10</v>
      </c>
      <c r="C1570" s="37" t="n">
        <v>5</v>
      </c>
      <c r="D1570" s="37" t="n">
        <v>0</v>
      </c>
      <c r="E1570" s="37" t="n">
        <v>10</v>
      </c>
      <c r="F1570" s="37" t="n">
        <v>0</v>
      </c>
      <c r="G1570" s="37" t="s">
        <v>188</v>
      </c>
      <c r="H1570" s="38" t="n">
        <v>198.74026237787</v>
      </c>
      <c r="I1570" s="38" t="n">
        <v>198.729596770867</v>
      </c>
      <c r="J1570" s="38" t="n">
        <v>211.121413730344</v>
      </c>
      <c r="K1570" s="38" t="n">
        <v>242.118452249821</v>
      </c>
      <c r="L1570" s="38" t="n">
        <v>38.2955205568025</v>
      </c>
      <c r="M1570" s="38" t="n">
        <v>102.747852062868</v>
      </c>
      <c r="N1570" s="38" t="n">
        <v>130.158879157945</v>
      </c>
      <c r="O1570" s="38" t="n">
        <v>68.3451583250335</v>
      </c>
      <c r="P1570" s="37" t="n">
        <v>0</v>
      </c>
      <c r="Q1570" s="38" t="n">
        <v>0</v>
      </c>
      <c r="R1570" s="38" t="n">
        <v>70.5</v>
      </c>
      <c r="S1570" s="37" t="n">
        <v>0</v>
      </c>
    </row>
    <row r="1571" customFormat="false" ht="15" hidden="false" customHeight="false" outlineLevel="0" collapsed="false">
      <c r="A1571" s="37" t="n">
        <v>5</v>
      </c>
      <c r="B1571" s="37" t="n">
        <v>10</v>
      </c>
      <c r="C1571" s="37" t="n">
        <v>5</v>
      </c>
      <c r="D1571" s="37" t="n">
        <v>0</v>
      </c>
      <c r="E1571" s="37" t="n">
        <v>10</v>
      </c>
      <c r="F1571" s="37" t="n">
        <v>0</v>
      </c>
      <c r="G1571" s="37" t="s">
        <v>192</v>
      </c>
      <c r="H1571" s="38" t="n">
        <v>198.74026237787</v>
      </c>
      <c r="I1571" s="38" t="n">
        <v>198.669986597497</v>
      </c>
      <c r="J1571" s="38" t="n">
        <v>220.327128318086</v>
      </c>
      <c r="K1571" s="38" t="n">
        <v>246.958737243278</v>
      </c>
      <c r="L1571" s="38" t="n">
        <v>82.3811158259488</v>
      </c>
      <c r="M1571" s="38" t="n">
        <v>101.339480509404</v>
      </c>
      <c r="N1571" s="38" t="n">
        <v>137.236347320187</v>
      </c>
      <c r="O1571" s="38" t="n">
        <v>71.7319852433866</v>
      </c>
      <c r="P1571" s="37" t="n">
        <v>0</v>
      </c>
      <c r="Q1571" s="38" t="n">
        <v>0</v>
      </c>
      <c r="R1571" s="38" t="n">
        <v>70.5</v>
      </c>
      <c r="S1571" s="37" t="n">
        <v>1</v>
      </c>
    </row>
    <row r="1572" customFormat="false" ht="15" hidden="false" customHeight="false" outlineLevel="0" collapsed="false">
      <c r="A1572" s="37" t="n">
        <v>5</v>
      </c>
      <c r="B1572" s="37" t="n">
        <v>10</v>
      </c>
      <c r="C1572" s="37" t="n">
        <v>5</v>
      </c>
      <c r="D1572" s="37" t="n">
        <v>0</v>
      </c>
      <c r="E1572" s="37" t="n">
        <v>10</v>
      </c>
      <c r="F1572" s="37" t="n">
        <v>0</v>
      </c>
      <c r="G1572" s="37" t="s">
        <v>195</v>
      </c>
      <c r="H1572" s="38" t="n">
        <v>198.74026237787</v>
      </c>
      <c r="I1572" s="38" t="n">
        <v>198.665526856532</v>
      </c>
      <c r="J1572" s="38" t="n">
        <v>206.105053581967</v>
      </c>
      <c r="K1572" s="38" t="n">
        <v>231.77195703114</v>
      </c>
      <c r="L1572" s="38" t="n">
        <v>32.6106647158436</v>
      </c>
      <c r="M1572" s="38" t="n">
        <v>100.7772924279</v>
      </c>
      <c r="N1572" s="38" t="n">
        <v>111.294359696355</v>
      </c>
      <c r="O1572" s="38" t="n">
        <v>61.6507788572502</v>
      </c>
      <c r="P1572" s="37" t="n">
        <v>0</v>
      </c>
      <c r="Q1572" s="38" t="n">
        <v>0</v>
      </c>
      <c r="R1572" s="38" t="n">
        <v>68.426612305411</v>
      </c>
      <c r="S1572" s="37" t="n">
        <v>0</v>
      </c>
    </row>
    <row r="1573" customFormat="false" ht="15" hidden="false" customHeight="false" outlineLevel="0" collapsed="false">
      <c r="A1573" s="37" t="n">
        <v>5</v>
      </c>
      <c r="B1573" s="37" t="n">
        <v>10</v>
      </c>
      <c r="C1573" s="37" t="n">
        <v>5</v>
      </c>
      <c r="D1573" s="37" t="n">
        <v>0</v>
      </c>
      <c r="E1573" s="37" t="n">
        <v>10</v>
      </c>
      <c r="F1573" s="37" t="n">
        <v>0</v>
      </c>
      <c r="G1573" s="37" t="s">
        <v>197</v>
      </c>
      <c r="H1573" s="38" t="n">
        <v>198.74026237787</v>
      </c>
      <c r="I1573" s="38" t="n">
        <v>198.684261412552</v>
      </c>
      <c r="J1573" s="38" t="n">
        <v>211.95956515489</v>
      </c>
      <c r="K1573" s="38" t="n">
        <v>242.985504879515</v>
      </c>
      <c r="L1573" s="38" t="n">
        <v>41.4741119153999</v>
      </c>
      <c r="M1573" s="38" t="n">
        <v>105.964392413345</v>
      </c>
      <c r="N1573" s="38" t="n">
        <v>136.449694348898</v>
      </c>
      <c r="O1573" s="38" t="n">
        <v>69.248333106825</v>
      </c>
      <c r="P1573" s="37" t="n">
        <v>0</v>
      </c>
      <c r="Q1573" s="38" t="n">
        <v>0</v>
      </c>
      <c r="R1573" s="38" t="n">
        <v>70.5</v>
      </c>
      <c r="S1573" s="37" t="n">
        <v>0</v>
      </c>
    </row>
    <row r="1574" customFormat="false" ht="15" hidden="false" customHeight="false" outlineLevel="0" collapsed="false">
      <c r="A1574" s="37" t="n">
        <v>5</v>
      </c>
      <c r="B1574" s="37" t="n">
        <v>10</v>
      </c>
      <c r="C1574" s="37" t="n">
        <v>5</v>
      </c>
      <c r="D1574" s="37" t="n">
        <v>0</v>
      </c>
      <c r="E1574" s="37" t="n">
        <v>10</v>
      </c>
      <c r="F1574" s="37" t="n">
        <v>0</v>
      </c>
      <c r="G1574" s="37" t="s">
        <v>196</v>
      </c>
      <c r="H1574" s="38" t="n">
        <v>198.74026237787</v>
      </c>
      <c r="I1574" s="38" t="n">
        <v>198.677135668417</v>
      </c>
      <c r="J1574" s="38" t="n">
        <v>211.224629748252</v>
      </c>
      <c r="K1574" s="38" t="n">
        <v>242.215052616842</v>
      </c>
      <c r="L1574" s="38" t="n">
        <v>45.2010035352097</v>
      </c>
      <c r="M1574" s="38" t="n">
        <v>104.072302437551</v>
      </c>
      <c r="N1574" s="38" t="n">
        <v>133.148293525451</v>
      </c>
      <c r="O1574" s="38" t="n">
        <v>70.0633786247072</v>
      </c>
      <c r="P1574" s="37" t="n">
        <v>0</v>
      </c>
      <c r="Q1574" s="38" t="n">
        <v>0</v>
      </c>
      <c r="R1574" s="38" t="n">
        <v>69.3699615537416</v>
      </c>
      <c r="S1574" s="37" t="n">
        <v>0</v>
      </c>
    </row>
    <row r="1575" customFormat="false" ht="15" hidden="false" customHeight="false" outlineLevel="0" collapsed="false">
      <c r="A1575" s="37" t="n">
        <v>5</v>
      </c>
      <c r="B1575" s="37" t="n">
        <v>10</v>
      </c>
      <c r="C1575" s="37" t="n">
        <v>5</v>
      </c>
      <c r="D1575" s="37" t="n">
        <v>5</v>
      </c>
      <c r="E1575" s="37" t="n">
        <v>0</v>
      </c>
      <c r="F1575" s="37" t="n">
        <v>5</v>
      </c>
      <c r="G1575" s="37" t="s">
        <v>188</v>
      </c>
      <c r="H1575" s="38" t="n">
        <v>198.918449810546</v>
      </c>
      <c r="I1575" s="38" t="n">
        <v>199.96576569874</v>
      </c>
      <c r="J1575" s="38" t="n">
        <v>218.491896621167</v>
      </c>
      <c r="K1575" s="38" t="n">
        <v>243.797486853192</v>
      </c>
      <c r="L1575" s="38" t="n">
        <v>80.7640149225443</v>
      </c>
      <c r="M1575" s="38" t="n">
        <v>103.081686734869</v>
      </c>
      <c r="N1575" s="38" t="n">
        <v>134.606694373446</v>
      </c>
      <c r="O1575" s="38" t="n">
        <v>77.0106384529237</v>
      </c>
      <c r="P1575" s="37" t="n">
        <v>0</v>
      </c>
      <c r="Q1575" s="38" t="n">
        <v>0</v>
      </c>
      <c r="R1575" s="38" t="n">
        <v>72</v>
      </c>
      <c r="S1575" s="37" t="n">
        <v>0</v>
      </c>
    </row>
    <row r="1576" customFormat="false" ht="15" hidden="false" customHeight="false" outlineLevel="0" collapsed="false">
      <c r="A1576" s="37" t="n">
        <v>5</v>
      </c>
      <c r="B1576" s="37" t="n">
        <v>10</v>
      </c>
      <c r="C1576" s="37" t="n">
        <v>5</v>
      </c>
      <c r="D1576" s="37" t="n">
        <v>5</v>
      </c>
      <c r="E1576" s="37" t="n">
        <v>0</v>
      </c>
      <c r="F1576" s="37" t="n">
        <v>5</v>
      </c>
      <c r="G1576" s="37" t="s">
        <v>192</v>
      </c>
      <c r="H1576" s="38" t="n">
        <v>198.918449810546</v>
      </c>
      <c r="I1576" s="38" t="n">
        <v>199.884841267157</v>
      </c>
      <c r="J1576" s="38" t="n">
        <v>227.294506242873</v>
      </c>
      <c r="K1576" s="38" t="n">
        <v>247.85584439209</v>
      </c>
      <c r="L1576" s="38" t="n">
        <v>75.9380177089414</v>
      </c>
      <c r="M1576" s="38" t="n">
        <v>101.706758618961</v>
      </c>
      <c r="N1576" s="38" t="n">
        <v>141.901003820271</v>
      </c>
      <c r="O1576" s="38" t="n">
        <v>78.564838705704</v>
      </c>
      <c r="P1576" s="37" t="n">
        <v>0</v>
      </c>
      <c r="Q1576" s="38" t="n">
        <v>0</v>
      </c>
      <c r="R1576" s="38" t="n">
        <v>72</v>
      </c>
      <c r="S1576" s="37" t="n">
        <v>1</v>
      </c>
    </row>
    <row r="1577" customFormat="false" ht="15" hidden="false" customHeight="false" outlineLevel="0" collapsed="false">
      <c r="A1577" s="37" t="n">
        <v>5</v>
      </c>
      <c r="B1577" s="37" t="n">
        <v>10</v>
      </c>
      <c r="C1577" s="37" t="n">
        <v>5</v>
      </c>
      <c r="D1577" s="37" t="n">
        <v>5</v>
      </c>
      <c r="E1577" s="37" t="n">
        <v>0</v>
      </c>
      <c r="F1577" s="37" t="n">
        <v>5</v>
      </c>
      <c r="G1577" s="37" t="s">
        <v>195</v>
      </c>
      <c r="H1577" s="38" t="n">
        <v>198.918449810546</v>
      </c>
      <c r="I1577" s="38" t="n">
        <v>199.947626107672</v>
      </c>
      <c r="J1577" s="38" t="n">
        <v>216.505583471679</v>
      </c>
      <c r="K1577" s="38" t="n">
        <v>238.184666926324</v>
      </c>
      <c r="L1577" s="38" t="n">
        <v>80.6706236508346</v>
      </c>
      <c r="M1577" s="38" t="n">
        <v>102.608071152621</v>
      </c>
      <c r="N1577" s="38" t="n">
        <v>129.130869924177</v>
      </c>
      <c r="O1577" s="38" t="n">
        <v>73.3250999406587</v>
      </c>
      <c r="P1577" s="37" t="n">
        <v>0</v>
      </c>
      <c r="Q1577" s="38" t="n">
        <v>0</v>
      </c>
      <c r="R1577" s="38" t="n">
        <v>70.4207870173532</v>
      </c>
      <c r="S1577" s="37" t="n">
        <v>0</v>
      </c>
    </row>
    <row r="1578" customFormat="false" ht="15" hidden="false" customHeight="false" outlineLevel="0" collapsed="false">
      <c r="A1578" s="37" t="n">
        <v>5</v>
      </c>
      <c r="B1578" s="37" t="n">
        <v>10</v>
      </c>
      <c r="C1578" s="37" t="n">
        <v>5</v>
      </c>
      <c r="D1578" s="37" t="n">
        <v>5</v>
      </c>
      <c r="E1578" s="37" t="n">
        <v>0</v>
      </c>
      <c r="F1578" s="37" t="n">
        <v>5</v>
      </c>
      <c r="G1578" s="37" t="s">
        <v>197</v>
      </c>
      <c r="H1578" s="38" t="n">
        <v>198.918449810546</v>
      </c>
      <c r="I1578" s="38" t="n">
        <v>199.867864621649</v>
      </c>
      <c r="J1578" s="38" t="n">
        <v>216.829740761502</v>
      </c>
      <c r="K1578" s="38" t="n">
        <v>240.968316531154</v>
      </c>
      <c r="L1578" s="38" t="n">
        <v>78.6157014820329</v>
      </c>
      <c r="M1578" s="38" t="n">
        <v>100.52869430151</v>
      </c>
      <c r="N1578" s="38" t="n">
        <v>121.501642868162</v>
      </c>
      <c r="O1578" s="38" t="n">
        <v>71.1936904361916</v>
      </c>
      <c r="P1578" s="37" t="n">
        <v>0</v>
      </c>
      <c r="Q1578" s="38" t="n">
        <v>0</v>
      </c>
      <c r="R1578" s="38" t="n">
        <v>72</v>
      </c>
      <c r="S1578" s="37" t="n">
        <v>0</v>
      </c>
    </row>
    <row r="1579" customFormat="false" ht="15" hidden="false" customHeight="false" outlineLevel="0" collapsed="false">
      <c r="A1579" s="37" t="n">
        <v>5</v>
      </c>
      <c r="B1579" s="37" t="n">
        <v>10</v>
      </c>
      <c r="C1579" s="37" t="n">
        <v>5</v>
      </c>
      <c r="D1579" s="37" t="n">
        <v>5</v>
      </c>
      <c r="E1579" s="37" t="n">
        <v>0</v>
      </c>
      <c r="F1579" s="37" t="n">
        <v>5</v>
      </c>
      <c r="G1579" s="37" t="s">
        <v>196</v>
      </c>
      <c r="H1579" s="38" t="n">
        <v>198.918449810546</v>
      </c>
      <c r="I1579" s="38" t="n">
        <v>199.883924985695</v>
      </c>
      <c r="J1579" s="38" t="n">
        <v>217.87683640635</v>
      </c>
      <c r="K1579" s="38" t="n">
        <v>242.584985513528</v>
      </c>
      <c r="L1579" s="38" t="n">
        <v>86.1212071499463</v>
      </c>
      <c r="M1579" s="38" t="n">
        <v>103.781020489703</v>
      </c>
      <c r="N1579" s="38" t="n">
        <v>133.642375724543</v>
      </c>
      <c r="O1579" s="38" t="n">
        <v>76.4007349595552</v>
      </c>
      <c r="P1579" s="37" t="n">
        <v>0</v>
      </c>
      <c r="Q1579" s="38" t="n">
        <v>0</v>
      </c>
      <c r="R1579" s="38" t="n">
        <v>71.0020265260737</v>
      </c>
      <c r="S1579" s="37" t="n">
        <v>0</v>
      </c>
    </row>
    <row r="1580" customFormat="false" ht="15" hidden="false" customHeight="false" outlineLevel="0" collapsed="false">
      <c r="A1580" s="37" t="n">
        <v>5</v>
      </c>
      <c r="B1580" s="37" t="n">
        <v>10</v>
      </c>
      <c r="C1580" s="37" t="n">
        <v>5</v>
      </c>
      <c r="D1580" s="37" t="n">
        <v>5</v>
      </c>
      <c r="E1580" s="37" t="n">
        <v>5</v>
      </c>
      <c r="F1580" s="37" t="n">
        <v>0</v>
      </c>
      <c r="G1580" s="37" t="s">
        <v>188</v>
      </c>
      <c r="H1580" s="38" t="n">
        <v>198.876700204956</v>
      </c>
      <c r="I1580" s="38" t="n">
        <v>199.672142919502</v>
      </c>
      <c r="J1580" s="38" t="n">
        <v>218.272451056988</v>
      </c>
      <c r="K1580" s="38" t="n">
        <v>241.794673416452</v>
      </c>
      <c r="L1580" s="38" t="n">
        <v>38.6911222962768</v>
      </c>
      <c r="M1580" s="38" t="n">
        <v>102.931501703626</v>
      </c>
      <c r="N1580" s="38" t="n">
        <v>135.612209125632</v>
      </c>
      <c r="O1580" s="38" t="n">
        <v>75.2642819683934</v>
      </c>
      <c r="P1580" s="37" t="n">
        <v>0</v>
      </c>
      <c r="Q1580" s="38" t="n">
        <v>0</v>
      </c>
      <c r="R1580" s="38" t="n">
        <v>72</v>
      </c>
      <c r="S1580" s="37" t="n">
        <v>0</v>
      </c>
    </row>
    <row r="1581" customFormat="false" ht="15" hidden="false" customHeight="false" outlineLevel="0" collapsed="false">
      <c r="A1581" s="37" t="n">
        <v>5</v>
      </c>
      <c r="B1581" s="37" t="n">
        <v>10</v>
      </c>
      <c r="C1581" s="37" t="n">
        <v>5</v>
      </c>
      <c r="D1581" s="37" t="n">
        <v>5</v>
      </c>
      <c r="E1581" s="37" t="n">
        <v>5</v>
      </c>
      <c r="F1581" s="37" t="n">
        <v>0</v>
      </c>
      <c r="G1581" s="37" t="s">
        <v>192</v>
      </c>
      <c r="H1581" s="38" t="n">
        <v>198.876700204956</v>
      </c>
      <c r="I1581" s="38" t="n">
        <v>199.603777645459</v>
      </c>
      <c r="J1581" s="38" t="n">
        <v>227.113032746976</v>
      </c>
      <c r="K1581" s="38" t="n">
        <v>246.037506299589</v>
      </c>
      <c r="L1581" s="38" t="n">
        <v>82.5168662556516</v>
      </c>
      <c r="M1581" s="38" t="n">
        <v>101.457662985369</v>
      </c>
      <c r="N1581" s="38" t="n">
        <v>142.228102337533</v>
      </c>
      <c r="O1581" s="38" t="n">
        <v>76.7821017328603</v>
      </c>
      <c r="P1581" s="37" t="n">
        <v>0</v>
      </c>
      <c r="Q1581" s="38" t="n">
        <v>0</v>
      </c>
      <c r="R1581" s="38" t="n">
        <v>72</v>
      </c>
      <c r="S1581" s="37" t="n">
        <v>1</v>
      </c>
    </row>
    <row r="1582" customFormat="false" ht="15" hidden="false" customHeight="false" outlineLevel="0" collapsed="false">
      <c r="A1582" s="37" t="n">
        <v>5</v>
      </c>
      <c r="B1582" s="37" t="n">
        <v>10</v>
      </c>
      <c r="C1582" s="37" t="n">
        <v>5</v>
      </c>
      <c r="D1582" s="37" t="n">
        <v>5</v>
      </c>
      <c r="E1582" s="37" t="n">
        <v>5</v>
      </c>
      <c r="F1582" s="37" t="n">
        <v>0</v>
      </c>
      <c r="G1582" s="37" t="s">
        <v>195</v>
      </c>
      <c r="H1582" s="38" t="n">
        <v>198.876700204956</v>
      </c>
      <c r="I1582" s="38" t="n">
        <v>199.660926341298</v>
      </c>
      <c r="J1582" s="38" t="n">
        <v>216.112480326541</v>
      </c>
      <c r="K1582" s="38" t="n">
        <v>236.000910373722</v>
      </c>
      <c r="L1582" s="38" t="n">
        <v>38.2511569375825</v>
      </c>
      <c r="M1582" s="38" t="n">
        <v>102.50266296102</v>
      </c>
      <c r="N1582" s="38" t="n">
        <v>129.471441279123</v>
      </c>
      <c r="O1582" s="38" t="n">
        <v>71.7421226830055</v>
      </c>
      <c r="P1582" s="37" t="n">
        <v>0</v>
      </c>
      <c r="Q1582" s="38" t="n">
        <v>0</v>
      </c>
      <c r="R1582" s="38" t="n">
        <v>70.3500739691582</v>
      </c>
      <c r="S1582" s="37" t="n">
        <v>0</v>
      </c>
    </row>
    <row r="1583" customFormat="false" ht="15" hidden="false" customHeight="false" outlineLevel="0" collapsed="false">
      <c r="A1583" s="37" t="n">
        <v>5</v>
      </c>
      <c r="B1583" s="37" t="n">
        <v>10</v>
      </c>
      <c r="C1583" s="37" t="n">
        <v>5</v>
      </c>
      <c r="D1583" s="37" t="n">
        <v>5</v>
      </c>
      <c r="E1583" s="37" t="n">
        <v>5</v>
      </c>
      <c r="F1583" s="37" t="n">
        <v>0</v>
      </c>
      <c r="G1583" s="37" t="s">
        <v>197</v>
      </c>
      <c r="H1583" s="38" t="n">
        <v>198.876700204956</v>
      </c>
      <c r="I1583" s="38" t="n">
        <v>199.593426934034</v>
      </c>
      <c r="J1583" s="38" t="n">
        <v>217.373107984236</v>
      </c>
      <c r="K1583" s="38" t="n">
        <v>240.181871068594</v>
      </c>
      <c r="L1583" s="38" t="n">
        <v>38.2497258545095</v>
      </c>
      <c r="M1583" s="38" t="n">
        <v>103.649017577048</v>
      </c>
      <c r="N1583" s="38" t="n">
        <v>131.184030120629</v>
      </c>
      <c r="O1583" s="38" t="n">
        <v>73.5339008476931</v>
      </c>
      <c r="P1583" s="37" t="n">
        <v>0</v>
      </c>
      <c r="Q1583" s="38" t="n">
        <v>0</v>
      </c>
      <c r="R1583" s="38" t="n">
        <v>72</v>
      </c>
      <c r="S1583" s="37" t="n">
        <v>0</v>
      </c>
    </row>
    <row r="1584" customFormat="false" ht="15" hidden="false" customHeight="false" outlineLevel="0" collapsed="false">
      <c r="A1584" s="37" t="n">
        <v>5</v>
      </c>
      <c r="B1584" s="37" t="n">
        <v>10</v>
      </c>
      <c r="C1584" s="37" t="n">
        <v>5</v>
      </c>
      <c r="D1584" s="37" t="n">
        <v>5</v>
      </c>
      <c r="E1584" s="37" t="n">
        <v>5</v>
      </c>
      <c r="F1584" s="37" t="n">
        <v>0</v>
      </c>
      <c r="G1584" s="37" t="s">
        <v>196</v>
      </c>
      <c r="H1584" s="38" t="n">
        <v>198.876700204956</v>
      </c>
      <c r="I1584" s="38" t="n">
        <v>199.607033797161</v>
      </c>
      <c r="J1584" s="38" t="n">
        <v>217.679608057198</v>
      </c>
      <c r="K1584" s="38" t="n">
        <v>240.838137887951</v>
      </c>
      <c r="L1584" s="38" t="n">
        <v>43.8845976905258</v>
      </c>
      <c r="M1584" s="38" t="n">
        <v>104.293664538601</v>
      </c>
      <c r="N1584" s="38" t="n">
        <v>137.294055930931</v>
      </c>
      <c r="O1584" s="38" t="n">
        <v>75.6970183129672</v>
      </c>
      <c r="P1584" s="37" t="n">
        <v>0</v>
      </c>
      <c r="Q1584" s="38" t="n">
        <v>0</v>
      </c>
      <c r="R1584" s="38" t="n">
        <v>70.8844836859513</v>
      </c>
      <c r="S1584" s="37" t="n">
        <v>0</v>
      </c>
    </row>
    <row r="1585" customFormat="false" ht="15" hidden="false" customHeight="false" outlineLevel="0" collapsed="false">
      <c r="A1585" s="37" t="n">
        <v>5</v>
      </c>
      <c r="B1585" s="37" t="n">
        <v>10</v>
      </c>
      <c r="C1585" s="37" t="n">
        <v>5</v>
      </c>
      <c r="D1585" s="37" t="n">
        <v>10</v>
      </c>
      <c r="E1585" s="37" t="n">
        <v>0</v>
      </c>
      <c r="F1585" s="37" t="n">
        <v>0</v>
      </c>
      <c r="G1585" s="37" t="s">
        <v>188</v>
      </c>
      <c r="H1585" s="38" t="n">
        <v>199.11872613538</v>
      </c>
      <c r="I1585" s="38" t="n">
        <v>200.960583101792</v>
      </c>
      <c r="J1585" s="38" t="n">
        <v>223.893909736964</v>
      </c>
      <c r="K1585" s="38" t="n">
        <v>246.533545189239</v>
      </c>
      <c r="L1585" s="38" t="n">
        <v>44.1031322384947</v>
      </c>
      <c r="M1585" s="38" t="n">
        <v>103.989854892883</v>
      </c>
      <c r="N1585" s="38" t="n">
        <v>139.646450876783</v>
      </c>
      <c r="O1585" s="38" t="n">
        <v>78.2786551578436</v>
      </c>
      <c r="P1585" s="37" t="n">
        <v>0</v>
      </c>
      <c r="Q1585" s="38" t="n">
        <v>0</v>
      </c>
      <c r="R1585" s="38" t="n">
        <v>72</v>
      </c>
      <c r="S1585" s="37" t="n">
        <v>0</v>
      </c>
    </row>
    <row r="1586" customFormat="false" ht="15" hidden="false" customHeight="false" outlineLevel="0" collapsed="false">
      <c r="A1586" s="37" t="n">
        <v>5</v>
      </c>
      <c r="B1586" s="37" t="n">
        <v>10</v>
      </c>
      <c r="C1586" s="37" t="n">
        <v>5</v>
      </c>
      <c r="D1586" s="37" t="n">
        <v>10</v>
      </c>
      <c r="E1586" s="37" t="n">
        <v>0</v>
      </c>
      <c r="F1586" s="37" t="n">
        <v>0</v>
      </c>
      <c r="G1586" s="37" t="s">
        <v>192</v>
      </c>
      <c r="H1586" s="38" t="n">
        <v>199.11872613538</v>
      </c>
      <c r="I1586" s="38" t="n">
        <v>200.873027080392</v>
      </c>
      <c r="J1586" s="38" t="n">
        <v>232.649184459901</v>
      </c>
      <c r="K1586" s="38" t="n">
        <v>250.400380153646</v>
      </c>
      <c r="L1586" s="38" t="n">
        <v>87.9515367895002</v>
      </c>
      <c r="M1586" s="38" t="n">
        <v>102.559836988401</v>
      </c>
      <c r="N1586" s="38" t="n">
        <v>145.212159880579</v>
      </c>
      <c r="O1586" s="38" t="n">
        <v>79.5295373376345</v>
      </c>
      <c r="P1586" s="37" t="n">
        <v>0</v>
      </c>
      <c r="Q1586" s="38" t="n">
        <v>0</v>
      </c>
      <c r="R1586" s="38" t="n">
        <v>72</v>
      </c>
      <c r="S1586" s="37" t="n">
        <v>1</v>
      </c>
    </row>
    <row r="1587" customFormat="false" ht="15" hidden="false" customHeight="false" outlineLevel="0" collapsed="false">
      <c r="A1587" s="37" t="n">
        <v>5</v>
      </c>
      <c r="B1587" s="37" t="n">
        <v>10</v>
      </c>
      <c r="C1587" s="37" t="n">
        <v>5</v>
      </c>
      <c r="D1587" s="37" t="n">
        <v>10</v>
      </c>
      <c r="E1587" s="37" t="n">
        <v>0</v>
      </c>
      <c r="F1587" s="37" t="n">
        <v>0</v>
      </c>
      <c r="G1587" s="37" t="s">
        <v>195</v>
      </c>
      <c r="H1587" s="38" t="n">
        <v>199.11872613538</v>
      </c>
      <c r="I1587" s="38" t="n">
        <v>201.017914160731</v>
      </c>
      <c r="J1587" s="38" t="n">
        <v>223.659643106468</v>
      </c>
      <c r="K1587" s="38" t="n">
        <v>246.175558943488</v>
      </c>
      <c r="L1587" s="38" t="n">
        <v>52.9255589434877</v>
      </c>
      <c r="M1587" s="38" t="n">
        <v>104.811599536015</v>
      </c>
      <c r="N1587" s="38" t="n">
        <v>140.809770979376</v>
      </c>
      <c r="O1587" s="38" t="n">
        <v>76.7074663544244</v>
      </c>
      <c r="P1587" s="37" t="n">
        <v>0</v>
      </c>
      <c r="Q1587" s="38" t="n">
        <v>0</v>
      </c>
      <c r="R1587" s="38" t="n">
        <v>67.4586743861826</v>
      </c>
      <c r="S1587" s="37" t="n">
        <v>0</v>
      </c>
    </row>
    <row r="1588" customFormat="false" ht="15" hidden="false" customHeight="false" outlineLevel="0" collapsed="false">
      <c r="A1588" s="37" t="n">
        <v>5</v>
      </c>
      <c r="B1588" s="37" t="n">
        <v>10</v>
      </c>
      <c r="C1588" s="37" t="n">
        <v>5</v>
      </c>
      <c r="D1588" s="37" t="n">
        <v>10</v>
      </c>
      <c r="E1588" s="37" t="n">
        <v>0</v>
      </c>
      <c r="F1588" s="37" t="n">
        <v>0</v>
      </c>
      <c r="G1588" s="37" t="s">
        <v>197</v>
      </c>
      <c r="H1588" s="38" t="n">
        <v>199.11872613538</v>
      </c>
      <c r="I1588" s="38" t="n">
        <v>200.855422798206</v>
      </c>
      <c r="J1588" s="38" t="n">
        <v>222.09079587091</v>
      </c>
      <c r="K1588" s="38" t="n">
        <v>243.449685368249</v>
      </c>
      <c r="L1588" s="38" t="n">
        <v>41.2885984850065</v>
      </c>
      <c r="M1588" s="38" t="n">
        <v>101.487734986195</v>
      </c>
      <c r="N1588" s="38" t="n">
        <v>126.64509594489</v>
      </c>
      <c r="O1588" s="38" t="n">
        <v>72.698515450195</v>
      </c>
      <c r="P1588" s="37" t="n">
        <v>0</v>
      </c>
      <c r="Q1588" s="38" t="n">
        <v>0</v>
      </c>
      <c r="R1588" s="38" t="n">
        <v>72</v>
      </c>
      <c r="S1588" s="37" t="n">
        <v>0</v>
      </c>
    </row>
    <row r="1589" customFormat="false" ht="15" hidden="false" customHeight="false" outlineLevel="0" collapsed="false">
      <c r="A1589" s="37" t="n">
        <v>5</v>
      </c>
      <c r="B1589" s="37" t="n">
        <v>10</v>
      </c>
      <c r="C1589" s="37" t="n">
        <v>5</v>
      </c>
      <c r="D1589" s="37" t="n">
        <v>10</v>
      </c>
      <c r="E1589" s="37" t="n">
        <v>0</v>
      </c>
      <c r="F1589" s="37" t="n">
        <v>0</v>
      </c>
      <c r="G1589" s="37" t="s">
        <v>196</v>
      </c>
      <c r="H1589" s="38" t="n">
        <v>199.11872613538</v>
      </c>
      <c r="I1589" s="38" t="n">
        <v>200.871979873212</v>
      </c>
      <c r="J1589" s="38" t="n">
        <v>223.211168347466</v>
      </c>
      <c r="K1589" s="38" t="n">
        <v>245.11883315026</v>
      </c>
      <c r="L1589" s="38" t="n">
        <v>48.9621931428944</v>
      </c>
      <c r="M1589" s="38" t="n">
        <v>105.121522798892</v>
      </c>
      <c r="N1589" s="38" t="n">
        <v>139.592240444322</v>
      </c>
      <c r="O1589" s="38" t="n">
        <v>77.5739448582476</v>
      </c>
      <c r="P1589" s="37" t="n">
        <v>0</v>
      </c>
      <c r="Q1589" s="38" t="n">
        <v>0</v>
      </c>
      <c r="R1589" s="38" t="n">
        <v>71.0757397315657</v>
      </c>
      <c r="S1589" s="37" t="n">
        <v>0</v>
      </c>
    </row>
    <row r="1590" customFormat="false" ht="15" hidden="false" customHeight="false" outlineLevel="0" collapsed="false">
      <c r="A1590" s="37" t="n">
        <v>5</v>
      </c>
      <c r="B1590" s="37" t="n">
        <v>10</v>
      </c>
      <c r="C1590" s="37" t="n">
        <v>10</v>
      </c>
      <c r="D1590" s="37" t="n">
        <v>0</v>
      </c>
      <c r="E1590" s="37" t="n">
        <v>0</v>
      </c>
      <c r="F1590" s="37" t="n">
        <v>5</v>
      </c>
      <c r="G1590" s="37" t="s">
        <v>188</v>
      </c>
      <c r="H1590" s="38" t="n">
        <v>198.950053779012</v>
      </c>
      <c r="I1590" s="38" t="n">
        <v>201.809789574716</v>
      </c>
      <c r="J1590" s="38" t="n">
        <v>223.7526781485</v>
      </c>
      <c r="K1590" s="38" t="n">
        <v>266.636800047949</v>
      </c>
      <c r="L1590" s="38" t="n">
        <v>104.080381524954</v>
      </c>
      <c r="M1590" s="38" t="n">
        <v>108.841102111686</v>
      </c>
      <c r="N1590" s="38" t="n">
        <v>144.841888517498</v>
      </c>
      <c r="O1590" s="38" t="n">
        <v>76.723610842173</v>
      </c>
      <c r="P1590" s="37" t="n">
        <v>0</v>
      </c>
      <c r="Q1590" s="38" t="n">
        <v>0</v>
      </c>
      <c r="R1590" s="38" t="n">
        <v>70.5</v>
      </c>
      <c r="S1590" s="37" t="n">
        <v>0</v>
      </c>
    </row>
    <row r="1591" customFormat="false" ht="15" hidden="false" customHeight="false" outlineLevel="0" collapsed="false">
      <c r="A1591" s="37" t="n">
        <v>5</v>
      </c>
      <c r="B1591" s="37" t="n">
        <v>10</v>
      </c>
      <c r="C1591" s="37" t="n">
        <v>10</v>
      </c>
      <c r="D1591" s="37" t="n">
        <v>0</v>
      </c>
      <c r="E1591" s="37" t="n">
        <v>0</v>
      </c>
      <c r="F1591" s="37" t="n">
        <v>5</v>
      </c>
      <c r="G1591" s="37" t="s">
        <v>192</v>
      </c>
      <c r="H1591" s="38" t="n">
        <v>198.950053779012</v>
      </c>
      <c r="I1591" s="38" t="n">
        <v>201.682751274877</v>
      </c>
      <c r="J1591" s="38" t="n">
        <v>231.989943921249</v>
      </c>
      <c r="K1591" s="38" t="n">
        <v>269.466562696736</v>
      </c>
      <c r="L1591" s="38" t="n">
        <v>98.5792023951554</v>
      </c>
      <c r="M1591" s="38" t="n">
        <v>107.344166739743</v>
      </c>
      <c r="N1591" s="38" t="n">
        <v>151.526370899458</v>
      </c>
      <c r="O1591" s="38" t="n">
        <v>78.2704124463755</v>
      </c>
      <c r="P1591" s="37" t="n">
        <v>0</v>
      </c>
      <c r="Q1591" s="38" t="n">
        <v>0</v>
      </c>
      <c r="R1591" s="38" t="n">
        <v>70.5</v>
      </c>
      <c r="S1591" s="37" t="n">
        <v>1</v>
      </c>
    </row>
    <row r="1592" customFormat="false" ht="15" hidden="false" customHeight="false" outlineLevel="0" collapsed="false">
      <c r="A1592" s="37" t="n">
        <v>5</v>
      </c>
      <c r="B1592" s="37" t="n">
        <v>10</v>
      </c>
      <c r="C1592" s="37" t="n">
        <v>10</v>
      </c>
      <c r="D1592" s="37" t="n">
        <v>0</v>
      </c>
      <c r="E1592" s="37" t="n">
        <v>0</v>
      </c>
      <c r="F1592" s="37" t="n">
        <v>5</v>
      </c>
      <c r="G1592" s="37" t="s">
        <v>195</v>
      </c>
      <c r="H1592" s="38" t="n">
        <v>198.950053779012</v>
      </c>
      <c r="I1592" s="38" t="n">
        <v>201.697660857236</v>
      </c>
      <c r="J1592" s="38" t="n">
        <v>217.875401473574</v>
      </c>
      <c r="K1592" s="38" t="n">
        <v>254.832311583744</v>
      </c>
      <c r="L1592" s="38" t="n">
        <v>96.1809897249681</v>
      </c>
      <c r="M1592" s="38" t="n">
        <v>106.612728620178</v>
      </c>
      <c r="N1592" s="38" t="n">
        <v>130.610537528614</v>
      </c>
      <c r="O1592" s="38" t="n">
        <v>69.8298495386402</v>
      </c>
      <c r="P1592" s="37" t="n">
        <v>0</v>
      </c>
      <c r="Q1592" s="38" t="n">
        <v>0</v>
      </c>
      <c r="R1592" s="38" t="n">
        <v>68.5796034423672</v>
      </c>
      <c r="S1592" s="37" t="n">
        <v>0</v>
      </c>
    </row>
    <row r="1593" customFormat="false" ht="15" hidden="false" customHeight="false" outlineLevel="0" collapsed="false">
      <c r="A1593" s="37" t="n">
        <v>5</v>
      </c>
      <c r="B1593" s="37" t="n">
        <v>10</v>
      </c>
      <c r="C1593" s="37" t="n">
        <v>10</v>
      </c>
      <c r="D1593" s="37" t="n">
        <v>0</v>
      </c>
      <c r="E1593" s="37" t="n">
        <v>0</v>
      </c>
      <c r="F1593" s="37" t="n">
        <v>5</v>
      </c>
      <c r="G1593" s="37" t="s">
        <v>197</v>
      </c>
      <c r="H1593" s="38" t="n">
        <v>198.950053779012</v>
      </c>
      <c r="I1593" s="38" t="n">
        <v>201.650105305087</v>
      </c>
      <c r="J1593" s="38" t="n">
        <v>220.95232782465</v>
      </c>
      <c r="K1593" s="38" t="n">
        <v>261.795274154534</v>
      </c>
      <c r="L1593" s="38" t="n">
        <v>99.3172993320358</v>
      </c>
      <c r="M1593" s="38" t="n">
        <v>104.270011614041</v>
      </c>
      <c r="N1593" s="38" t="n">
        <v>126.295952751198</v>
      </c>
      <c r="O1593" s="38" t="n">
        <v>69.9391326656894</v>
      </c>
      <c r="P1593" s="37" t="n">
        <v>0</v>
      </c>
      <c r="Q1593" s="38" t="n">
        <v>0</v>
      </c>
      <c r="R1593" s="38" t="n">
        <v>70.5</v>
      </c>
      <c r="S1593" s="37" t="n">
        <v>0</v>
      </c>
    </row>
    <row r="1594" customFormat="false" ht="15" hidden="false" customHeight="false" outlineLevel="0" collapsed="false">
      <c r="A1594" s="37" t="n">
        <v>5</v>
      </c>
      <c r="B1594" s="37" t="n">
        <v>10</v>
      </c>
      <c r="C1594" s="37" t="n">
        <v>10</v>
      </c>
      <c r="D1594" s="37" t="n">
        <v>0</v>
      </c>
      <c r="E1594" s="37" t="n">
        <v>0</v>
      </c>
      <c r="F1594" s="37" t="n">
        <v>5</v>
      </c>
      <c r="G1594" s="37" t="s">
        <v>196</v>
      </c>
      <c r="H1594" s="38" t="n">
        <v>198.950053779012</v>
      </c>
      <c r="I1594" s="38" t="n">
        <v>201.680320768102</v>
      </c>
      <c r="J1594" s="38" t="n">
        <v>221.974170208032</v>
      </c>
      <c r="K1594" s="38" t="n">
        <v>263.477475772994</v>
      </c>
      <c r="L1594" s="38" t="n">
        <v>106.890443215787</v>
      </c>
      <c r="M1594" s="38" t="n">
        <v>107.683628500086</v>
      </c>
      <c r="N1594" s="38" t="n">
        <v>138.708686739381</v>
      </c>
      <c r="O1594" s="38" t="n">
        <v>76.0790900755728</v>
      </c>
      <c r="P1594" s="37" t="n">
        <v>0</v>
      </c>
      <c r="Q1594" s="38" t="n">
        <v>0</v>
      </c>
      <c r="R1594" s="38" t="n">
        <v>69.4724455196038</v>
      </c>
      <c r="S1594" s="37" t="n">
        <v>0</v>
      </c>
    </row>
    <row r="1595" customFormat="false" ht="15" hidden="false" customHeight="false" outlineLevel="0" collapsed="false">
      <c r="A1595" s="37" t="n">
        <v>5</v>
      </c>
      <c r="B1595" s="37" t="n">
        <v>10</v>
      </c>
      <c r="C1595" s="37" t="n">
        <v>10</v>
      </c>
      <c r="D1595" s="37" t="n">
        <v>0</v>
      </c>
      <c r="E1595" s="37" t="n">
        <v>5</v>
      </c>
      <c r="F1595" s="37" t="n">
        <v>0</v>
      </c>
      <c r="G1595" s="37" t="s">
        <v>188</v>
      </c>
      <c r="H1595" s="38" t="n">
        <v>198.920727193717</v>
      </c>
      <c r="I1595" s="38" t="n">
        <v>201.454328896812</v>
      </c>
      <c r="J1595" s="38" t="n">
        <v>224.003269073773</v>
      </c>
      <c r="K1595" s="38" t="n">
        <v>265.309623062593</v>
      </c>
      <c r="L1595" s="38" t="n">
        <v>62.7936214728635</v>
      </c>
      <c r="M1595" s="38" t="n">
        <v>108.451236977674</v>
      </c>
      <c r="N1595" s="38" t="n">
        <v>147.515215866609</v>
      </c>
      <c r="O1595" s="38" t="n">
        <v>75.4176046707593</v>
      </c>
      <c r="P1595" s="37" t="n">
        <v>0</v>
      </c>
      <c r="Q1595" s="38" t="n">
        <v>0</v>
      </c>
      <c r="R1595" s="38" t="n">
        <v>70.5</v>
      </c>
      <c r="S1595" s="37" t="n">
        <v>0</v>
      </c>
    </row>
    <row r="1596" customFormat="false" ht="15" hidden="false" customHeight="false" outlineLevel="0" collapsed="false">
      <c r="A1596" s="37" t="n">
        <v>5</v>
      </c>
      <c r="B1596" s="37" t="n">
        <v>10</v>
      </c>
      <c r="C1596" s="37" t="n">
        <v>10</v>
      </c>
      <c r="D1596" s="37" t="n">
        <v>0</v>
      </c>
      <c r="E1596" s="37" t="n">
        <v>5</v>
      </c>
      <c r="F1596" s="37" t="n">
        <v>0</v>
      </c>
      <c r="G1596" s="37" t="s">
        <v>192</v>
      </c>
      <c r="H1596" s="38" t="n">
        <v>198.920727193717</v>
      </c>
      <c r="I1596" s="38" t="n">
        <v>201.345286041037</v>
      </c>
      <c r="J1596" s="38" t="n">
        <v>232.183603047385</v>
      </c>
      <c r="K1596" s="38" t="n">
        <v>268.247349431553</v>
      </c>
      <c r="L1596" s="38" t="n">
        <v>57.0585790095547</v>
      </c>
      <c r="M1596" s="38" t="n">
        <v>106.881823500714</v>
      </c>
      <c r="N1596" s="38" t="n">
        <v>153.681567513265</v>
      </c>
      <c r="O1596" s="38" t="n">
        <v>77.1519383499594</v>
      </c>
      <c r="P1596" s="37" t="n">
        <v>0</v>
      </c>
      <c r="Q1596" s="38" t="n">
        <v>0</v>
      </c>
      <c r="R1596" s="38" t="n">
        <v>70.5</v>
      </c>
      <c r="S1596" s="37" t="n">
        <v>1</v>
      </c>
    </row>
    <row r="1597" customFormat="false" ht="15" hidden="false" customHeight="false" outlineLevel="0" collapsed="false">
      <c r="A1597" s="37" t="n">
        <v>5</v>
      </c>
      <c r="B1597" s="37" t="n">
        <v>10</v>
      </c>
      <c r="C1597" s="37" t="n">
        <v>10</v>
      </c>
      <c r="D1597" s="37" t="n">
        <v>0</v>
      </c>
      <c r="E1597" s="37" t="n">
        <v>5</v>
      </c>
      <c r="F1597" s="37" t="n">
        <v>0</v>
      </c>
      <c r="G1597" s="37" t="s">
        <v>195</v>
      </c>
      <c r="H1597" s="38" t="n">
        <v>198.920727193717</v>
      </c>
      <c r="I1597" s="38" t="n">
        <v>201.355242431725</v>
      </c>
      <c r="J1597" s="38" t="n">
        <v>217.745523123568</v>
      </c>
      <c r="K1597" s="38" t="n">
        <v>253.197577286187</v>
      </c>
      <c r="L1597" s="38" t="n">
        <v>54.4119353732116</v>
      </c>
      <c r="M1597" s="38" t="n">
        <v>106.374779861444</v>
      </c>
      <c r="N1597" s="38" t="n">
        <v>132.581248593837</v>
      </c>
      <c r="O1597" s="38" t="n">
        <v>68.4245166309435</v>
      </c>
      <c r="P1597" s="37" t="n">
        <v>0</v>
      </c>
      <c r="Q1597" s="38" t="n">
        <v>0</v>
      </c>
      <c r="R1597" s="38" t="n">
        <v>68.5393074261073</v>
      </c>
      <c r="S1597" s="37" t="n">
        <v>0</v>
      </c>
    </row>
    <row r="1598" customFormat="false" ht="15" hidden="false" customHeight="false" outlineLevel="0" collapsed="false">
      <c r="A1598" s="37" t="n">
        <v>5</v>
      </c>
      <c r="B1598" s="37" t="n">
        <v>10</v>
      </c>
      <c r="C1598" s="37" t="n">
        <v>10</v>
      </c>
      <c r="D1598" s="37" t="n">
        <v>0</v>
      </c>
      <c r="E1598" s="37" t="n">
        <v>5</v>
      </c>
      <c r="F1598" s="37" t="n">
        <v>0</v>
      </c>
      <c r="G1598" s="37" t="s">
        <v>197</v>
      </c>
      <c r="H1598" s="38" t="n">
        <v>198.920727193717</v>
      </c>
      <c r="I1598" s="38" t="n">
        <v>201.322839440559</v>
      </c>
      <c r="J1598" s="38" t="n">
        <v>221.844787987376</v>
      </c>
      <c r="K1598" s="38" t="n">
        <v>261.608985235204</v>
      </c>
      <c r="L1598" s="38" t="n">
        <v>59.5403209859076</v>
      </c>
      <c r="M1598" s="38" t="n">
        <v>107.25793999796</v>
      </c>
      <c r="N1598" s="38" t="n">
        <v>137.619433764224</v>
      </c>
      <c r="O1598" s="38" t="n">
        <v>72.4232286019919</v>
      </c>
      <c r="P1598" s="37" t="n">
        <v>0</v>
      </c>
      <c r="Q1598" s="38" t="n">
        <v>0</v>
      </c>
      <c r="R1598" s="38" t="n">
        <v>70.5</v>
      </c>
      <c r="S1598" s="37" t="n">
        <v>0</v>
      </c>
    </row>
    <row r="1599" customFormat="false" ht="15" hidden="false" customHeight="false" outlineLevel="0" collapsed="false">
      <c r="A1599" s="37" t="n">
        <v>5</v>
      </c>
      <c r="B1599" s="37" t="n">
        <v>10</v>
      </c>
      <c r="C1599" s="37" t="n">
        <v>10</v>
      </c>
      <c r="D1599" s="37" t="n">
        <v>0</v>
      </c>
      <c r="E1599" s="37" t="n">
        <v>5</v>
      </c>
      <c r="F1599" s="37" t="n">
        <v>0</v>
      </c>
      <c r="G1599" s="37" t="s">
        <v>196</v>
      </c>
      <c r="H1599" s="38" t="n">
        <v>198.920727193717</v>
      </c>
      <c r="I1599" s="38" t="n">
        <v>201.347227285953</v>
      </c>
      <c r="J1599" s="38" t="n">
        <v>222.131986544343</v>
      </c>
      <c r="K1599" s="38" t="n">
        <v>262.277618724192</v>
      </c>
      <c r="L1599" s="38" t="n">
        <v>65.2194159029712</v>
      </c>
      <c r="M1599" s="38" t="n">
        <v>108.079788137805</v>
      </c>
      <c r="N1599" s="38" t="n">
        <v>142.772713643015</v>
      </c>
      <c r="O1599" s="38" t="n">
        <v>75.0492504707216</v>
      </c>
      <c r="P1599" s="37" t="n">
        <v>0</v>
      </c>
      <c r="Q1599" s="38" t="n">
        <v>0</v>
      </c>
      <c r="R1599" s="38" t="n">
        <v>69.3593646562403</v>
      </c>
      <c r="S1599" s="37" t="n">
        <v>0</v>
      </c>
    </row>
    <row r="1600" customFormat="false" ht="15" hidden="false" customHeight="false" outlineLevel="0" collapsed="false">
      <c r="A1600" s="37" t="n">
        <v>5</v>
      </c>
      <c r="B1600" s="37" t="n">
        <v>10</v>
      </c>
      <c r="C1600" s="37" t="n">
        <v>10</v>
      </c>
      <c r="D1600" s="37" t="n">
        <v>5</v>
      </c>
      <c r="E1600" s="37" t="n">
        <v>0</v>
      </c>
      <c r="F1600" s="37" t="n">
        <v>0</v>
      </c>
      <c r="G1600" s="37" t="s">
        <v>188</v>
      </c>
      <c r="H1600" s="38" t="n">
        <v>199.116414819818</v>
      </c>
      <c r="I1600" s="38" t="n">
        <v>203.102307744336</v>
      </c>
      <c r="J1600" s="38" t="n">
        <v>233.286639703004</v>
      </c>
      <c r="K1600" s="38" t="n">
        <v>270.89768604578</v>
      </c>
      <c r="L1600" s="38" t="n">
        <v>69.4001615540306</v>
      </c>
      <c r="M1600" s="38" t="n">
        <v>110.137409452105</v>
      </c>
      <c r="N1600" s="38" t="n">
        <v>152.821897280554</v>
      </c>
      <c r="O1600" s="38" t="n">
        <v>81.3178187379077</v>
      </c>
      <c r="P1600" s="37" t="n">
        <v>0</v>
      </c>
      <c r="Q1600" s="38" t="n">
        <v>0</v>
      </c>
      <c r="R1600" s="38" t="n">
        <v>72</v>
      </c>
      <c r="S1600" s="37" t="n">
        <v>0</v>
      </c>
    </row>
    <row r="1601" customFormat="false" ht="15" hidden="false" customHeight="false" outlineLevel="0" collapsed="false">
      <c r="A1601" s="37" t="n">
        <v>5</v>
      </c>
      <c r="B1601" s="37" t="n">
        <v>10</v>
      </c>
      <c r="C1601" s="37" t="n">
        <v>10</v>
      </c>
      <c r="D1601" s="37" t="n">
        <v>5</v>
      </c>
      <c r="E1601" s="37" t="n">
        <v>0</v>
      </c>
      <c r="F1601" s="37" t="n">
        <v>0</v>
      </c>
      <c r="G1601" s="37" t="s">
        <v>192</v>
      </c>
      <c r="H1601" s="38" t="n">
        <v>199.116414819818</v>
      </c>
      <c r="I1601" s="38" t="n">
        <v>202.97063272943</v>
      </c>
      <c r="J1601" s="38" t="n">
        <v>240.943293092214</v>
      </c>
      <c r="K1601" s="38" t="n">
        <v>272.91885041554</v>
      </c>
      <c r="L1601" s="38" t="n">
        <v>62.9652036411524</v>
      </c>
      <c r="M1601" s="38" t="n">
        <v>108.538978999441</v>
      </c>
      <c r="N1601" s="38" t="n">
        <v>158.658334281653</v>
      </c>
      <c r="O1601" s="38" t="n">
        <v>81.9195480692491</v>
      </c>
      <c r="P1601" s="37" t="n">
        <v>0</v>
      </c>
      <c r="Q1601" s="38" t="n">
        <v>0</v>
      </c>
      <c r="R1601" s="38" t="n">
        <v>72</v>
      </c>
      <c r="S1601" s="37" t="n">
        <v>1</v>
      </c>
    </row>
    <row r="1602" customFormat="false" ht="15" hidden="false" customHeight="false" outlineLevel="0" collapsed="false">
      <c r="A1602" s="37" t="n">
        <v>5</v>
      </c>
      <c r="B1602" s="37" t="n">
        <v>10</v>
      </c>
      <c r="C1602" s="37" t="n">
        <v>10</v>
      </c>
      <c r="D1602" s="37" t="n">
        <v>5</v>
      </c>
      <c r="E1602" s="37" t="n">
        <v>0</v>
      </c>
      <c r="F1602" s="37" t="n">
        <v>0</v>
      </c>
      <c r="G1602" s="37" t="s">
        <v>195</v>
      </c>
      <c r="H1602" s="38" t="n">
        <v>199.116414819818</v>
      </c>
      <c r="I1602" s="38" t="n">
        <v>203.087353111779</v>
      </c>
      <c r="J1602" s="38" t="n">
        <v>230.667077520028</v>
      </c>
      <c r="K1602" s="38" t="n">
        <v>264.409519124553</v>
      </c>
      <c r="L1602" s="38" t="n">
        <v>67.1835879601264</v>
      </c>
      <c r="M1602" s="38" t="n">
        <v>109.638514853201</v>
      </c>
      <c r="N1602" s="38" t="n">
        <v>147.096587079686</v>
      </c>
      <c r="O1602" s="38" t="n">
        <v>77.6496687690736</v>
      </c>
      <c r="P1602" s="37" t="n">
        <v>0</v>
      </c>
      <c r="Q1602" s="38" t="n">
        <v>0</v>
      </c>
      <c r="R1602" s="38" t="n">
        <v>70.5072206506719</v>
      </c>
      <c r="S1602" s="37" t="n">
        <v>0</v>
      </c>
    </row>
    <row r="1603" customFormat="false" ht="15" hidden="false" customHeight="false" outlineLevel="0" collapsed="false">
      <c r="A1603" s="37" t="n">
        <v>5</v>
      </c>
      <c r="B1603" s="37" t="n">
        <v>10</v>
      </c>
      <c r="C1603" s="37" t="n">
        <v>10</v>
      </c>
      <c r="D1603" s="37" t="n">
        <v>5</v>
      </c>
      <c r="E1603" s="37" t="n">
        <v>0</v>
      </c>
      <c r="F1603" s="37" t="n">
        <v>0</v>
      </c>
      <c r="G1603" s="37" t="s">
        <v>197</v>
      </c>
      <c r="H1603" s="38" t="n">
        <v>199.116414819818</v>
      </c>
      <c r="I1603" s="38" t="n">
        <v>202.927641138477</v>
      </c>
      <c r="J1603" s="38" t="n">
        <v>229.70657219865</v>
      </c>
      <c r="K1603" s="38" t="n">
        <v>264.913381458122</v>
      </c>
      <c r="L1603" s="38" t="n">
        <v>62.6587567820283</v>
      </c>
      <c r="M1603" s="38" t="n">
        <v>105.788204603343</v>
      </c>
      <c r="N1603" s="38" t="n">
        <v>133.709651199209</v>
      </c>
      <c r="O1603" s="38" t="n">
        <v>74.1337204727181</v>
      </c>
      <c r="P1603" s="37" t="n">
        <v>0</v>
      </c>
      <c r="Q1603" s="38" t="n">
        <v>0</v>
      </c>
      <c r="R1603" s="38" t="n">
        <v>72</v>
      </c>
      <c r="S1603" s="37" t="n">
        <v>0</v>
      </c>
    </row>
    <row r="1604" customFormat="false" ht="15" hidden="false" customHeight="false" outlineLevel="0" collapsed="false">
      <c r="A1604" s="37" t="n">
        <v>5</v>
      </c>
      <c r="B1604" s="37" t="n">
        <v>10</v>
      </c>
      <c r="C1604" s="37" t="n">
        <v>10</v>
      </c>
      <c r="D1604" s="37" t="n">
        <v>5</v>
      </c>
      <c r="E1604" s="37" t="n">
        <v>0</v>
      </c>
      <c r="F1604" s="37" t="n">
        <v>0</v>
      </c>
      <c r="G1604" s="37" t="s">
        <v>196</v>
      </c>
      <c r="H1604" s="38" t="n">
        <v>199.116414819818</v>
      </c>
      <c r="I1604" s="38" t="n">
        <v>202.966186309683</v>
      </c>
      <c r="J1604" s="38" t="n">
        <v>230.83915994648</v>
      </c>
      <c r="K1604" s="38" t="n">
        <v>266.790481243467</v>
      </c>
      <c r="L1604" s="38" t="n">
        <v>70.2165738598802</v>
      </c>
      <c r="M1604" s="38" t="n">
        <v>109.623385452048</v>
      </c>
      <c r="N1604" s="38" t="n">
        <v>147.248172083138</v>
      </c>
      <c r="O1604" s="38" t="n">
        <v>79.9905254585585</v>
      </c>
      <c r="P1604" s="37" t="n">
        <v>0</v>
      </c>
      <c r="Q1604" s="38" t="n">
        <v>0</v>
      </c>
      <c r="R1604" s="38" t="n">
        <v>70.9755955612724</v>
      </c>
      <c r="S1604" s="37" t="n">
        <v>0</v>
      </c>
    </row>
    <row r="1605" customFormat="false" ht="15" hidden="false" customHeight="false" outlineLevel="0" collapsed="false">
      <c r="A1605" s="37" t="n">
        <v>5</v>
      </c>
      <c r="B1605" s="37" t="n">
        <v>10</v>
      </c>
      <c r="C1605" s="37" t="n">
        <v>15</v>
      </c>
      <c r="D1605" s="37" t="n">
        <v>0</v>
      </c>
      <c r="E1605" s="37" t="n">
        <v>0</v>
      </c>
      <c r="F1605" s="37" t="n">
        <v>0</v>
      </c>
      <c r="G1605" s="37" t="s">
        <v>188</v>
      </c>
      <c r="H1605" s="38" t="n">
        <v>199.171798192211</v>
      </c>
      <c r="I1605" s="38" t="n">
        <v>203.584253027078</v>
      </c>
      <c r="J1605" s="38" t="n">
        <v>229.305637829652</v>
      </c>
      <c r="K1605" s="38" t="n">
        <v>273.67526317792</v>
      </c>
      <c r="L1605" s="38" t="n">
        <v>71.68813778367</v>
      </c>
      <c r="M1605" s="38" t="n">
        <v>112.322738750256</v>
      </c>
      <c r="N1605" s="38" t="n">
        <v>149.990295769148</v>
      </c>
      <c r="O1605" s="38" t="n">
        <v>77.1041002945054</v>
      </c>
      <c r="P1605" s="37" t="n">
        <v>0</v>
      </c>
      <c r="Q1605" s="38" t="n">
        <v>0</v>
      </c>
      <c r="R1605" s="38" t="n">
        <v>70.5</v>
      </c>
      <c r="S1605" s="37" t="n">
        <v>0</v>
      </c>
    </row>
    <row r="1606" customFormat="false" ht="15" hidden="false" customHeight="false" outlineLevel="0" collapsed="false">
      <c r="A1606" s="37" t="n">
        <v>5</v>
      </c>
      <c r="B1606" s="37" t="n">
        <v>10</v>
      </c>
      <c r="C1606" s="37" t="n">
        <v>15</v>
      </c>
      <c r="D1606" s="37" t="n">
        <v>0</v>
      </c>
      <c r="E1606" s="37" t="n">
        <v>0</v>
      </c>
      <c r="F1606" s="37" t="n">
        <v>0</v>
      </c>
      <c r="G1606" s="37" t="s">
        <v>192</v>
      </c>
      <c r="H1606" s="38" t="n">
        <v>199.171798192211</v>
      </c>
      <c r="I1606" s="38" t="n">
        <v>203.430449202597</v>
      </c>
      <c r="J1606" s="38" t="n">
        <v>237.073747291056</v>
      </c>
      <c r="K1606" s="38" t="n">
        <v>275.624102369323</v>
      </c>
      <c r="L1606" s="38" t="n">
        <v>65.5921554897365</v>
      </c>
      <c r="M1606" s="38" t="n">
        <v>110.674250454858</v>
      </c>
      <c r="N1606" s="38" t="n">
        <v>156.096663510276</v>
      </c>
      <c r="O1606" s="38" t="n">
        <v>78.3627592151698</v>
      </c>
      <c r="P1606" s="37" t="n">
        <v>0</v>
      </c>
      <c r="Q1606" s="38" t="n">
        <v>0</v>
      </c>
      <c r="R1606" s="38" t="n">
        <v>70.5</v>
      </c>
      <c r="S1606" s="37" t="n">
        <v>1</v>
      </c>
    </row>
    <row r="1607" customFormat="false" ht="15" hidden="false" customHeight="false" outlineLevel="0" collapsed="false">
      <c r="A1607" s="37" t="n">
        <v>5</v>
      </c>
      <c r="B1607" s="37" t="n">
        <v>10</v>
      </c>
      <c r="C1607" s="37" t="n">
        <v>15</v>
      </c>
      <c r="D1607" s="37" t="n">
        <v>0</v>
      </c>
      <c r="E1607" s="37" t="n">
        <v>0</v>
      </c>
      <c r="F1607" s="37" t="n">
        <v>0</v>
      </c>
      <c r="G1607" s="37" t="s">
        <v>195</v>
      </c>
      <c r="H1607" s="38" t="n">
        <v>199.171798192211</v>
      </c>
      <c r="I1607" s="38" t="n">
        <v>203.466806866163</v>
      </c>
      <c r="J1607" s="38" t="n">
        <v>223.164857382793</v>
      </c>
      <c r="K1607" s="38" t="n">
        <v>261.369869318272</v>
      </c>
      <c r="L1607" s="38" t="n">
        <v>62.791228182072</v>
      </c>
      <c r="M1607" s="38" t="n">
        <v>110.124227274217</v>
      </c>
      <c r="N1607" s="38" t="n">
        <v>135.967764620994</v>
      </c>
      <c r="O1607" s="38" t="n">
        <v>70.3563620261502</v>
      </c>
      <c r="P1607" s="37" t="n">
        <v>0</v>
      </c>
      <c r="Q1607" s="38" t="n">
        <v>0</v>
      </c>
      <c r="R1607" s="38" t="n">
        <v>68.6014076591401</v>
      </c>
      <c r="S1607" s="37" t="n">
        <v>0</v>
      </c>
    </row>
    <row r="1608" customFormat="false" ht="15" hidden="false" customHeight="false" outlineLevel="0" collapsed="false">
      <c r="A1608" s="37" t="n">
        <v>5</v>
      </c>
      <c r="B1608" s="37" t="n">
        <v>10</v>
      </c>
      <c r="C1608" s="37" t="n">
        <v>15</v>
      </c>
      <c r="D1608" s="37" t="n">
        <v>0</v>
      </c>
      <c r="E1608" s="37" t="n">
        <v>0</v>
      </c>
      <c r="F1608" s="37" t="n">
        <v>0</v>
      </c>
      <c r="G1608" s="37" t="s">
        <v>197</v>
      </c>
      <c r="H1608" s="38" t="n">
        <v>199.171798192211</v>
      </c>
      <c r="I1608" s="38" t="n">
        <v>203.396865643278</v>
      </c>
      <c r="J1608" s="38" t="n">
        <v>225.6729250559</v>
      </c>
      <c r="K1608" s="38" t="n">
        <v>267.369722767765</v>
      </c>
      <c r="L1608" s="38" t="n">
        <v>64.9456747902601</v>
      </c>
      <c r="M1608" s="38" t="n">
        <v>106.734912586728</v>
      </c>
      <c r="N1608" s="38" t="n">
        <v>129.428459174158</v>
      </c>
      <c r="O1608" s="38" t="n">
        <v>69.6562111432552</v>
      </c>
      <c r="P1608" s="37" t="n">
        <v>0</v>
      </c>
      <c r="Q1608" s="38" t="n">
        <v>0</v>
      </c>
      <c r="R1608" s="38" t="n">
        <v>70.5</v>
      </c>
      <c r="S1608" s="37" t="n">
        <v>0</v>
      </c>
    </row>
    <row r="1609" customFormat="false" ht="15" hidden="false" customHeight="false" outlineLevel="0" collapsed="false">
      <c r="A1609" s="37" t="n">
        <v>5</v>
      </c>
      <c r="B1609" s="37" t="n">
        <v>10</v>
      </c>
      <c r="C1609" s="37" t="n">
        <v>15</v>
      </c>
      <c r="D1609" s="37" t="n">
        <v>0</v>
      </c>
      <c r="E1609" s="37" t="n">
        <v>0</v>
      </c>
      <c r="F1609" s="37" t="n">
        <v>0</v>
      </c>
      <c r="G1609" s="37" t="s">
        <v>196</v>
      </c>
      <c r="H1609" s="38" t="n">
        <v>199.171798192211</v>
      </c>
      <c r="I1609" s="38" t="n">
        <v>203.423814492627</v>
      </c>
      <c r="J1609" s="38" t="n">
        <v>237.22645994714</v>
      </c>
      <c r="K1609" s="38" t="n">
        <v>275.099592388698</v>
      </c>
      <c r="L1609" s="38" t="n">
        <v>70.3798423593382</v>
      </c>
      <c r="M1609" s="38" t="n">
        <v>110.445704616335</v>
      </c>
      <c r="N1609" s="38" t="n">
        <v>149.196256209726</v>
      </c>
      <c r="O1609" s="38" t="n">
        <v>76.5505374913255</v>
      </c>
      <c r="P1609" s="37" t="n">
        <v>0</v>
      </c>
      <c r="Q1609" s="38" t="n">
        <v>0</v>
      </c>
      <c r="R1609" s="38" t="n">
        <v>69.3872688946514</v>
      </c>
      <c r="S1609" s="37" t="n">
        <v>0</v>
      </c>
    </row>
    <row r="1610" customFormat="false" ht="15" hidden="false" customHeight="false" outlineLevel="0" collapsed="false">
      <c r="A1610" s="37" t="n">
        <v>5</v>
      </c>
      <c r="B1610" s="37" t="n">
        <v>15</v>
      </c>
      <c r="C1610" s="37" t="n">
        <v>0</v>
      </c>
      <c r="D1610" s="37" t="n">
        <v>0</v>
      </c>
      <c r="E1610" s="37" t="n">
        <v>0</v>
      </c>
      <c r="F1610" s="37" t="n">
        <v>10</v>
      </c>
      <c r="G1610" s="37" t="s">
        <v>188</v>
      </c>
      <c r="H1610" s="38" t="n">
        <v>198.65837396803</v>
      </c>
      <c r="I1610" s="38" t="n">
        <v>196.884945637546</v>
      </c>
      <c r="J1610" s="38" t="n">
        <v>191.462683056418</v>
      </c>
      <c r="K1610" s="38" t="n">
        <v>207.789860115606</v>
      </c>
      <c r="L1610" s="38" t="n">
        <v>82.6061843074812</v>
      </c>
      <c r="M1610" s="38" t="n">
        <v>95.962756625532</v>
      </c>
      <c r="N1610" s="38" t="n">
        <v>91.0802523003623</v>
      </c>
      <c r="O1610" s="38" t="n">
        <v>59.3178647740959</v>
      </c>
      <c r="P1610" s="37" t="n">
        <v>0</v>
      </c>
      <c r="Q1610" s="38" t="n">
        <v>0</v>
      </c>
      <c r="R1610" s="38" t="n">
        <v>70.5</v>
      </c>
      <c r="S1610" s="37" t="n">
        <v>0</v>
      </c>
    </row>
    <row r="1611" customFormat="false" ht="15" hidden="false" customHeight="false" outlineLevel="0" collapsed="false">
      <c r="A1611" s="37" t="n">
        <v>5</v>
      </c>
      <c r="B1611" s="37" t="n">
        <v>15</v>
      </c>
      <c r="C1611" s="37" t="n">
        <v>0</v>
      </c>
      <c r="D1611" s="37" t="n">
        <v>0</v>
      </c>
      <c r="E1611" s="37" t="n">
        <v>0</v>
      </c>
      <c r="F1611" s="37" t="n">
        <v>10</v>
      </c>
      <c r="G1611" s="37" t="s">
        <v>192</v>
      </c>
      <c r="H1611" s="38" t="n">
        <v>198.65837396803</v>
      </c>
      <c r="I1611" s="38" t="n">
        <v>196.849301842563</v>
      </c>
      <c r="J1611" s="38" t="n">
        <v>202.795697069821</v>
      </c>
      <c r="K1611" s="38" t="n">
        <v>216.157486059238</v>
      </c>
      <c r="L1611" s="38" t="n">
        <v>81.7142055666706</v>
      </c>
      <c r="M1611" s="38" t="n">
        <v>95.8746938303777</v>
      </c>
      <c r="N1611" s="38" t="n">
        <v>103.769462851927</v>
      </c>
      <c r="O1611" s="38" t="n">
        <v>63.9759634166903</v>
      </c>
      <c r="P1611" s="37" t="n">
        <v>0</v>
      </c>
      <c r="Q1611" s="38" t="n">
        <v>0</v>
      </c>
      <c r="R1611" s="38" t="n">
        <v>70.5</v>
      </c>
      <c r="S1611" s="37" t="n">
        <v>1</v>
      </c>
    </row>
    <row r="1612" customFormat="false" ht="15" hidden="false" customHeight="false" outlineLevel="0" collapsed="false">
      <c r="A1612" s="37" t="n">
        <v>5</v>
      </c>
      <c r="B1612" s="37" t="n">
        <v>15</v>
      </c>
      <c r="C1612" s="37" t="n">
        <v>0</v>
      </c>
      <c r="D1612" s="37" t="n">
        <v>0</v>
      </c>
      <c r="E1612" s="37" t="n">
        <v>0</v>
      </c>
      <c r="F1612" s="37" t="n">
        <v>10</v>
      </c>
      <c r="G1612" s="37" t="s">
        <v>195</v>
      </c>
      <c r="H1612" s="38" t="n">
        <v>198.65837396803</v>
      </c>
      <c r="I1612" s="38" t="n">
        <v>196.843689579924</v>
      </c>
      <c r="J1612" s="38" t="n">
        <v>189.434398086037</v>
      </c>
      <c r="K1612" s="38" t="n">
        <v>201.103744907219</v>
      </c>
      <c r="L1612" s="38" t="n">
        <v>81.9808904813082</v>
      </c>
      <c r="M1612" s="38" t="n">
        <v>93.8795778622913</v>
      </c>
      <c r="N1612" s="38" t="n">
        <v>81.5353294457178</v>
      </c>
      <c r="O1612" s="38" t="n">
        <v>54.1899135033893</v>
      </c>
      <c r="P1612" s="37" t="n">
        <v>0</v>
      </c>
      <c r="Q1612" s="38" t="n">
        <v>0</v>
      </c>
      <c r="R1612" s="38" t="n">
        <v>68.4381436722268</v>
      </c>
      <c r="S1612" s="37" t="n">
        <v>0</v>
      </c>
    </row>
    <row r="1613" customFormat="false" ht="15" hidden="false" customHeight="false" outlineLevel="0" collapsed="false">
      <c r="A1613" s="37" t="n">
        <v>5</v>
      </c>
      <c r="B1613" s="37" t="n">
        <v>15</v>
      </c>
      <c r="C1613" s="37" t="n">
        <v>0</v>
      </c>
      <c r="D1613" s="37" t="n">
        <v>0</v>
      </c>
      <c r="E1613" s="37" t="n">
        <v>0</v>
      </c>
      <c r="F1613" s="37" t="n">
        <v>10</v>
      </c>
      <c r="G1613" s="37" t="s">
        <v>197</v>
      </c>
      <c r="H1613" s="38" t="n">
        <v>198.65837396803</v>
      </c>
      <c r="I1613" s="38" t="n">
        <v>196.84442054557</v>
      </c>
      <c r="J1613" s="38" t="n">
        <v>193.095019860738</v>
      </c>
      <c r="K1613" s="38" t="n">
        <v>209.623407007345</v>
      </c>
      <c r="L1613" s="38" t="n">
        <v>86.9063530511241</v>
      </c>
      <c r="M1613" s="38" t="n">
        <v>95.6816378736939</v>
      </c>
      <c r="N1613" s="38" t="n">
        <v>88.4724001893389</v>
      </c>
      <c r="O1613" s="38" t="n">
        <v>56.8414581067558</v>
      </c>
      <c r="P1613" s="37" t="n">
        <v>0</v>
      </c>
      <c r="Q1613" s="38" t="n">
        <v>0</v>
      </c>
      <c r="R1613" s="38" t="n">
        <v>70.5</v>
      </c>
      <c r="S1613" s="37" t="n">
        <v>0</v>
      </c>
    </row>
    <row r="1614" customFormat="false" ht="15" hidden="false" customHeight="false" outlineLevel="0" collapsed="false">
      <c r="A1614" s="37" t="n">
        <v>5</v>
      </c>
      <c r="B1614" s="37" t="n">
        <v>15</v>
      </c>
      <c r="C1614" s="37" t="n">
        <v>0</v>
      </c>
      <c r="D1614" s="37" t="n">
        <v>0</v>
      </c>
      <c r="E1614" s="37" t="n">
        <v>0</v>
      </c>
      <c r="F1614" s="37" t="n">
        <v>10</v>
      </c>
      <c r="G1614" s="37" t="s">
        <v>196</v>
      </c>
      <c r="H1614" s="38" t="n">
        <v>198.65837396803</v>
      </c>
      <c r="I1614" s="38" t="n">
        <v>196.849464970857</v>
      </c>
      <c r="J1614" s="38" t="n">
        <v>194.278173832026</v>
      </c>
      <c r="K1614" s="38" t="n">
        <v>211.301266514181</v>
      </c>
      <c r="L1614" s="38" t="n">
        <v>95.2434622303619</v>
      </c>
      <c r="M1614" s="38" t="n">
        <v>97.9564419099834</v>
      </c>
      <c r="N1614" s="38" t="n">
        <v>97.7216593771546</v>
      </c>
      <c r="O1614" s="38" t="n">
        <v>61.8121291968755</v>
      </c>
      <c r="P1614" s="37" t="n">
        <v>0</v>
      </c>
      <c r="Q1614" s="38" t="n">
        <v>0</v>
      </c>
      <c r="R1614" s="38" t="n">
        <v>69.5994603052167</v>
      </c>
      <c r="S1614" s="37" t="n">
        <v>0</v>
      </c>
    </row>
    <row r="1615" customFormat="false" ht="15" hidden="false" customHeight="false" outlineLevel="0" collapsed="false">
      <c r="A1615" s="37" t="n">
        <v>5</v>
      </c>
      <c r="B1615" s="37" t="n">
        <v>15</v>
      </c>
      <c r="C1615" s="37" t="n">
        <v>0</v>
      </c>
      <c r="D1615" s="37" t="n">
        <v>0</v>
      </c>
      <c r="E1615" s="37" t="n">
        <v>5</v>
      </c>
      <c r="F1615" s="37" t="n">
        <v>5</v>
      </c>
      <c r="G1615" s="37" t="s">
        <v>188</v>
      </c>
      <c r="H1615" s="38" t="n">
        <v>198.678094434227</v>
      </c>
      <c r="I1615" s="38" t="n">
        <v>197.100526616087</v>
      </c>
      <c r="J1615" s="38" t="n">
        <v>194.050130944771</v>
      </c>
      <c r="K1615" s="38" t="n">
        <v>212.179256258035</v>
      </c>
      <c r="L1615" s="38" t="n">
        <v>47.2340123221125</v>
      </c>
      <c r="M1615" s="38" t="n">
        <v>97.1417169313879</v>
      </c>
      <c r="N1615" s="38" t="n">
        <v>97.8753040976124</v>
      </c>
      <c r="O1615" s="38" t="n">
        <v>59.1204814099499</v>
      </c>
      <c r="P1615" s="37" t="n">
        <v>0</v>
      </c>
      <c r="Q1615" s="38" t="n">
        <v>0</v>
      </c>
      <c r="R1615" s="38" t="n">
        <v>70.5</v>
      </c>
      <c r="S1615" s="37" t="n">
        <v>0</v>
      </c>
    </row>
    <row r="1616" customFormat="false" ht="15" hidden="false" customHeight="false" outlineLevel="0" collapsed="false">
      <c r="A1616" s="37" t="n">
        <v>5</v>
      </c>
      <c r="B1616" s="37" t="n">
        <v>15</v>
      </c>
      <c r="C1616" s="37" t="n">
        <v>0</v>
      </c>
      <c r="D1616" s="37" t="n">
        <v>0</v>
      </c>
      <c r="E1616" s="37" t="n">
        <v>5</v>
      </c>
      <c r="F1616" s="37" t="n">
        <v>5</v>
      </c>
      <c r="G1616" s="37" t="s">
        <v>192</v>
      </c>
      <c r="H1616" s="38" t="n">
        <v>198.678094434227</v>
      </c>
      <c r="I1616" s="38" t="n">
        <v>197.067291015072</v>
      </c>
      <c r="J1616" s="38" t="n">
        <v>205.334524915346</v>
      </c>
      <c r="K1616" s="38" t="n">
        <v>220.444752132028</v>
      </c>
      <c r="L1616" s="38" t="n">
        <v>46.0134333732086</v>
      </c>
      <c r="M1616" s="38" t="n">
        <v>96.9836242138593</v>
      </c>
      <c r="N1616" s="38" t="n">
        <v>110.385883122772</v>
      </c>
      <c r="O1616" s="38" t="n">
        <v>63.9785040856158</v>
      </c>
      <c r="P1616" s="37" t="n">
        <v>0</v>
      </c>
      <c r="Q1616" s="38" t="n">
        <v>0</v>
      </c>
      <c r="R1616" s="38" t="n">
        <v>70.5</v>
      </c>
      <c r="S1616" s="37" t="n">
        <v>1</v>
      </c>
    </row>
    <row r="1617" customFormat="false" ht="15" hidden="false" customHeight="false" outlineLevel="0" collapsed="false">
      <c r="A1617" s="37" t="n">
        <v>5</v>
      </c>
      <c r="B1617" s="37" t="n">
        <v>15</v>
      </c>
      <c r="C1617" s="37" t="n">
        <v>0</v>
      </c>
      <c r="D1617" s="37" t="n">
        <v>0</v>
      </c>
      <c r="E1617" s="37" t="n">
        <v>5</v>
      </c>
      <c r="F1617" s="37" t="n">
        <v>5</v>
      </c>
      <c r="G1617" s="37" t="s">
        <v>195</v>
      </c>
      <c r="H1617" s="38" t="n">
        <v>198.678094434227</v>
      </c>
      <c r="I1617" s="38" t="n">
        <v>197.062113845859</v>
      </c>
      <c r="J1617" s="38" t="n">
        <v>191.738248434889</v>
      </c>
      <c r="K1617" s="38" t="n">
        <v>205.206836791963</v>
      </c>
      <c r="L1617" s="38" t="n">
        <v>46.0042580677065</v>
      </c>
      <c r="M1617" s="38" t="n">
        <v>95.1228934977793</v>
      </c>
      <c r="N1617" s="38" t="n">
        <v>88.0327214198304</v>
      </c>
      <c r="O1617" s="38" t="n">
        <v>54.2852362710386</v>
      </c>
      <c r="P1617" s="37" t="n">
        <v>0</v>
      </c>
      <c r="Q1617" s="38" t="n">
        <v>0</v>
      </c>
      <c r="R1617" s="38" t="n">
        <v>68.414226382723</v>
      </c>
      <c r="S1617" s="37" t="n">
        <v>0</v>
      </c>
    </row>
    <row r="1618" customFormat="false" ht="15" hidden="false" customHeight="false" outlineLevel="0" collapsed="false">
      <c r="A1618" s="37" t="n">
        <v>5</v>
      </c>
      <c r="B1618" s="37" t="n">
        <v>15</v>
      </c>
      <c r="C1618" s="37" t="n">
        <v>0</v>
      </c>
      <c r="D1618" s="37" t="n">
        <v>0</v>
      </c>
      <c r="E1618" s="37" t="n">
        <v>5</v>
      </c>
      <c r="F1618" s="37" t="n">
        <v>5</v>
      </c>
      <c r="G1618" s="37" t="s">
        <v>197</v>
      </c>
      <c r="H1618" s="38" t="n">
        <v>198.678094434227</v>
      </c>
      <c r="I1618" s="38" t="n">
        <v>197.071654592244</v>
      </c>
      <c r="J1618" s="38" t="n">
        <v>196.219958692109</v>
      </c>
      <c r="K1618" s="38" t="n">
        <v>214.91339370421</v>
      </c>
      <c r="L1618" s="38" t="n">
        <v>52.7182728513853</v>
      </c>
      <c r="M1618" s="38" t="n">
        <v>100.182033976618</v>
      </c>
      <c r="N1618" s="38" t="n">
        <v>104.375302014849</v>
      </c>
      <c r="O1618" s="38" t="n">
        <v>60.845305302953</v>
      </c>
      <c r="P1618" s="37" t="n">
        <v>0</v>
      </c>
      <c r="Q1618" s="38" t="n">
        <v>0</v>
      </c>
      <c r="R1618" s="38" t="n">
        <v>70.5</v>
      </c>
      <c r="S1618" s="37" t="n">
        <v>0</v>
      </c>
    </row>
    <row r="1619" customFormat="false" ht="15" hidden="false" customHeight="false" outlineLevel="0" collapsed="false">
      <c r="A1619" s="37" t="n">
        <v>5</v>
      </c>
      <c r="B1619" s="37" t="n">
        <v>15</v>
      </c>
      <c r="C1619" s="37" t="n">
        <v>0</v>
      </c>
      <c r="D1619" s="37" t="n">
        <v>0</v>
      </c>
      <c r="E1619" s="37" t="n">
        <v>5</v>
      </c>
      <c r="F1619" s="37" t="n">
        <v>5</v>
      </c>
      <c r="G1619" s="37" t="s">
        <v>196</v>
      </c>
      <c r="H1619" s="38" t="n">
        <v>198.678094434227</v>
      </c>
      <c r="I1619" s="38" t="n">
        <v>197.069091513405</v>
      </c>
      <c r="J1619" s="38" t="n">
        <v>196.5751598577</v>
      </c>
      <c r="K1619" s="38" t="n">
        <v>215.409196688212</v>
      </c>
      <c r="L1619" s="38" t="n">
        <v>58.9170172796823</v>
      </c>
      <c r="M1619" s="38" t="n">
        <v>99.7773984935014</v>
      </c>
      <c r="N1619" s="38" t="n">
        <v>105.655498314828</v>
      </c>
      <c r="O1619" s="38" t="n">
        <v>62.9740793264985</v>
      </c>
      <c r="P1619" s="37" t="n">
        <v>0</v>
      </c>
      <c r="Q1619" s="38" t="n">
        <v>0</v>
      </c>
      <c r="R1619" s="38" t="n">
        <v>69.4952102752863</v>
      </c>
      <c r="S1619" s="37" t="n">
        <v>0</v>
      </c>
    </row>
    <row r="1620" customFormat="false" ht="15" hidden="false" customHeight="false" outlineLevel="0" collapsed="false">
      <c r="A1620" s="37" t="n">
        <v>5</v>
      </c>
      <c r="B1620" s="37" t="n">
        <v>15</v>
      </c>
      <c r="C1620" s="37" t="n">
        <v>0</v>
      </c>
      <c r="D1620" s="37" t="n">
        <v>0</v>
      </c>
      <c r="E1620" s="37" t="n">
        <v>10</v>
      </c>
      <c r="F1620" s="37" t="n">
        <v>0</v>
      </c>
      <c r="G1620" s="37" t="s">
        <v>188</v>
      </c>
      <c r="H1620" s="38" t="n">
        <v>198.697598781045</v>
      </c>
      <c r="I1620" s="38" t="n">
        <v>197.342112628807</v>
      </c>
      <c r="J1620" s="38" t="n">
        <v>196.081041306096</v>
      </c>
      <c r="K1620" s="38" t="n">
        <v>215.974669795563</v>
      </c>
      <c r="L1620" s="38" t="n">
        <v>24.9983984475587</v>
      </c>
      <c r="M1620" s="38" t="n">
        <v>98.2665577999033</v>
      </c>
      <c r="N1620" s="38" t="n">
        <v>89.7180776027512</v>
      </c>
      <c r="O1620" s="38" t="n">
        <v>56.1530870156094</v>
      </c>
      <c r="P1620" s="37" t="n">
        <v>0</v>
      </c>
      <c r="Q1620" s="38" t="n">
        <v>0.00160155244128646</v>
      </c>
      <c r="R1620" s="38" t="n">
        <v>70.5</v>
      </c>
      <c r="S1620" s="37" t="n">
        <v>0</v>
      </c>
    </row>
    <row r="1621" customFormat="false" ht="15" hidden="false" customHeight="false" outlineLevel="0" collapsed="false">
      <c r="A1621" s="37" t="n">
        <v>5</v>
      </c>
      <c r="B1621" s="37" t="n">
        <v>15</v>
      </c>
      <c r="C1621" s="37" t="n">
        <v>0</v>
      </c>
      <c r="D1621" s="37" t="n">
        <v>0</v>
      </c>
      <c r="E1621" s="37" t="n">
        <v>10</v>
      </c>
      <c r="F1621" s="37" t="n">
        <v>0</v>
      </c>
      <c r="G1621" s="37" t="s">
        <v>192</v>
      </c>
      <c r="H1621" s="38" t="n">
        <v>198.697598781045</v>
      </c>
      <c r="I1621" s="38" t="n">
        <v>197.311090846526</v>
      </c>
      <c r="J1621" s="38" t="n">
        <v>205.348832704687</v>
      </c>
      <c r="K1621" s="38" t="n">
        <v>237.198848423367</v>
      </c>
      <c r="L1621" s="38" t="n">
        <v>36.8094430354355</v>
      </c>
      <c r="M1621" s="38" t="n">
        <v>98.0534243923455</v>
      </c>
      <c r="N1621" s="38" t="n">
        <v>113.379982184548</v>
      </c>
      <c r="O1621" s="38" t="n">
        <v>58.2710924530201</v>
      </c>
      <c r="P1621" s="37" t="n">
        <v>0</v>
      </c>
      <c r="Q1621" s="38" t="n">
        <v>0</v>
      </c>
      <c r="R1621" s="38" t="n">
        <v>61.5</v>
      </c>
      <c r="S1621" s="37" t="n">
        <v>1</v>
      </c>
    </row>
    <row r="1622" customFormat="false" ht="15" hidden="false" customHeight="false" outlineLevel="0" collapsed="false">
      <c r="A1622" s="37" t="n">
        <v>5</v>
      </c>
      <c r="B1622" s="37" t="n">
        <v>15</v>
      </c>
      <c r="C1622" s="37" t="n">
        <v>0</v>
      </c>
      <c r="D1622" s="37" t="n">
        <v>0</v>
      </c>
      <c r="E1622" s="37" t="n">
        <v>10</v>
      </c>
      <c r="F1622" s="37" t="n">
        <v>0</v>
      </c>
      <c r="G1622" s="37" t="s">
        <v>195</v>
      </c>
      <c r="H1622" s="38" t="n">
        <v>198.697598781045</v>
      </c>
      <c r="I1622" s="38" t="n">
        <v>197.304898085084</v>
      </c>
      <c r="J1622" s="38" t="n">
        <v>193.591454248296</v>
      </c>
      <c r="K1622" s="38" t="n">
        <v>208.781360297603</v>
      </c>
      <c r="L1622" s="38" t="n">
        <v>24.9911255721724</v>
      </c>
      <c r="M1622" s="38" t="n">
        <v>96.2952286460241</v>
      </c>
      <c r="N1622" s="38" t="n">
        <v>79.7628999482071</v>
      </c>
      <c r="O1622" s="38" t="n">
        <v>51.5583641091809</v>
      </c>
      <c r="P1622" s="37" t="n">
        <v>0</v>
      </c>
      <c r="Q1622" s="38" t="n">
        <v>0.0088744278275783</v>
      </c>
      <c r="R1622" s="38" t="n">
        <v>68.3984877862017</v>
      </c>
      <c r="S1622" s="37" t="n">
        <v>0</v>
      </c>
    </row>
    <row r="1623" customFormat="false" ht="15" hidden="false" customHeight="false" outlineLevel="0" collapsed="false">
      <c r="A1623" s="37" t="n">
        <v>5</v>
      </c>
      <c r="B1623" s="37" t="n">
        <v>15</v>
      </c>
      <c r="C1623" s="37" t="n">
        <v>0</v>
      </c>
      <c r="D1623" s="37" t="n">
        <v>0</v>
      </c>
      <c r="E1623" s="37" t="n">
        <v>10</v>
      </c>
      <c r="F1623" s="37" t="n">
        <v>0</v>
      </c>
      <c r="G1623" s="37" t="s">
        <v>197</v>
      </c>
      <c r="H1623" s="38" t="n">
        <v>198.697598781045</v>
      </c>
      <c r="I1623" s="38" t="n">
        <v>197.333379069776</v>
      </c>
      <c r="J1623" s="38" t="n">
        <v>199.106074249809</v>
      </c>
      <c r="K1623" s="38" t="n">
        <v>219.970146243729</v>
      </c>
      <c r="L1623" s="38" t="n">
        <v>33.4429940048671</v>
      </c>
      <c r="M1623" s="38" t="n">
        <v>103.894693384063</v>
      </c>
      <c r="N1623" s="38" t="n">
        <v>111.681923957226</v>
      </c>
      <c r="O1623" s="38" t="n">
        <v>60.1355148731683</v>
      </c>
      <c r="P1623" s="37" t="n">
        <v>0</v>
      </c>
      <c r="Q1623" s="38" t="n">
        <v>0</v>
      </c>
      <c r="R1623" s="38" t="n">
        <v>70.5</v>
      </c>
      <c r="S1623" s="37" t="n">
        <v>0</v>
      </c>
    </row>
    <row r="1624" customFormat="false" ht="15" hidden="false" customHeight="false" outlineLevel="0" collapsed="false">
      <c r="A1624" s="37" t="n">
        <v>5</v>
      </c>
      <c r="B1624" s="37" t="n">
        <v>15</v>
      </c>
      <c r="C1624" s="37" t="n">
        <v>0</v>
      </c>
      <c r="D1624" s="37" t="n">
        <v>0</v>
      </c>
      <c r="E1624" s="37" t="n">
        <v>10</v>
      </c>
      <c r="F1624" s="37" t="n">
        <v>0</v>
      </c>
      <c r="G1624" s="37" t="s">
        <v>196</v>
      </c>
      <c r="H1624" s="38" t="n">
        <v>198.697598781045</v>
      </c>
      <c r="I1624" s="38" t="n">
        <v>197.314263470158</v>
      </c>
      <c r="J1624" s="38" t="n">
        <v>198.534107630314</v>
      </c>
      <c r="K1624" s="38" t="n">
        <v>219.158105706911</v>
      </c>
      <c r="L1624" s="38" t="n">
        <v>33.1574067671389</v>
      </c>
      <c r="M1624" s="38" t="n">
        <v>101.39256262213</v>
      </c>
      <c r="N1624" s="38" t="n">
        <v>106.005344055428</v>
      </c>
      <c r="O1624" s="38" t="n">
        <v>60.6560066801216</v>
      </c>
      <c r="P1624" s="37" t="n">
        <v>0</v>
      </c>
      <c r="Q1624" s="38" t="n">
        <v>0</v>
      </c>
      <c r="R1624" s="38" t="n">
        <v>69.4798322544548</v>
      </c>
      <c r="S1624" s="37" t="n">
        <v>0</v>
      </c>
    </row>
    <row r="1625" customFormat="false" ht="15" hidden="false" customHeight="false" outlineLevel="0" collapsed="false">
      <c r="A1625" s="37" t="n">
        <v>5</v>
      </c>
      <c r="B1625" s="37" t="n">
        <v>15</v>
      </c>
      <c r="C1625" s="37" t="n">
        <v>0</v>
      </c>
      <c r="D1625" s="37" t="n">
        <v>5</v>
      </c>
      <c r="E1625" s="37" t="n">
        <v>0</v>
      </c>
      <c r="F1625" s="37" t="n">
        <v>5</v>
      </c>
      <c r="G1625" s="37" t="s">
        <v>188</v>
      </c>
      <c r="H1625" s="38" t="n">
        <v>198.814632542936</v>
      </c>
      <c r="I1625" s="38" t="n">
        <v>197.845839811532</v>
      </c>
      <c r="J1625" s="38" t="n">
        <v>196.126309208105</v>
      </c>
      <c r="K1625" s="38" t="n">
        <v>204.494801006412</v>
      </c>
      <c r="L1625" s="38" t="n">
        <v>39.9437666626715</v>
      </c>
      <c r="M1625" s="38" t="n">
        <v>96.8696401209146</v>
      </c>
      <c r="N1625" s="38" t="n">
        <v>94.5282337590164</v>
      </c>
      <c r="O1625" s="38" t="n">
        <v>62.502809767112</v>
      </c>
      <c r="P1625" s="37" t="n">
        <v>0</v>
      </c>
      <c r="Q1625" s="38" t="n">
        <v>0</v>
      </c>
      <c r="R1625" s="38" t="n">
        <v>72</v>
      </c>
      <c r="S1625" s="37" t="n">
        <v>0</v>
      </c>
    </row>
    <row r="1626" customFormat="false" ht="15" hidden="false" customHeight="false" outlineLevel="0" collapsed="false">
      <c r="A1626" s="37" t="n">
        <v>5</v>
      </c>
      <c r="B1626" s="37" t="n">
        <v>15</v>
      </c>
      <c r="C1626" s="37" t="n">
        <v>0</v>
      </c>
      <c r="D1626" s="37" t="n">
        <v>5</v>
      </c>
      <c r="E1626" s="37" t="n">
        <v>0</v>
      </c>
      <c r="F1626" s="37" t="n">
        <v>5</v>
      </c>
      <c r="G1626" s="37" t="s">
        <v>192</v>
      </c>
      <c r="H1626" s="38" t="n">
        <v>198.814632542936</v>
      </c>
      <c r="I1626" s="38" t="n">
        <v>197.805802261967</v>
      </c>
      <c r="J1626" s="38" t="n">
        <v>207.399611300757</v>
      </c>
      <c r="K1626" s="38" t="n">
        <v>212.510033989023</v>
      </c>
      <c r="L1626" s="38" t="n">
        <v>39.0243537356088</v>
      </c>
      <c r="M1626" s="38" t="n">
        <v>96.7121278435477</v>
      </c>
      <c r="N1626" s="38" t="n">
        <v>106.051971549093</v>
      </c>
      <c r="O1626" s="38" t="n">
        <v>66.8022799081445</v>
      </c>
      <c r="P1626" s="37" t="n">
        <v>0</v>
      </c>
      <c r="Q1626" s="38" t="n">
        <v>0</v>
      </c>
      <c r="R1626" s="38" t="n">
        <v>72</v>
      </c>
      <c r="S1626" s="37" t="n">
        <v>1</v>
      </c>
    </row>
    <row r="1627" customFormat="false" ht="15" hidden="false" customHeight="false" outlineLevel="0" collapsed="false">
      <c r="A1627" s="37" t="n">
        <v>5</v>
      </c>
      <c r="B1627" s="37" t="n">
        <v>15</v>
      </c>
      <c r="C1627" s="37" t="n">
        <v>0</v>
      </c>
      <c r="D1627" s="37" t="n">
        <v>5</v>
      </c>
      <c r="E1627" s="37" t="n">
        <v>0</v>
      </c>
      <c r="F1627" s="37" t="n">
        <v>5</v>
      </c>
      <c r="G1627" s="37" t="s">
        <v>195</v>
      </c>
      <c r="H1627" s="38" t="n">
        <v>198.814632542936</v>
      </c>
      <c r="I1627" s="38" t="n">
        <v>197.828994375585</v>
      </c>
      <c r="J1627" s="38" t="n">
        <v>195.860664542696</v>
      </c>
      <c r="K1627" s="38" t="n">
        <v>200.927992618813</v>
      </c>
      <c r="L1627" s="38" t="n">
        <v>43.1364821098107</v>
      </c>
      <c r="M1627" s="38" t="n">
        <v>96.4208968968224</v>
      </c>
      <c r="N1627" s="38" t="n">
        <v>91.7888095121469</v>
      </c>
      <c r="O1627" s="38" t="n">
        <v>60.1779094100084</v>
      </c>
      <c r="P1627" s="37" t="n">
        <v>0</v>
      </c>
      <c r="Q1627" s="38" t="n">
        <v>0</v>
      </c>
      <c r="R1627" s="38" t="n">
        <v>70.3375468472993</v>
      </c>
      <c r="S1627" s="37" t="n">
        <v>0</v>
      </c>
    </row>
    <row r="1628" customFormat="false" ht="15" hidden="false" customHeight="false" outlineLevel="0" collapsed="false">
      <c r="A1628" s="37" t="n">
        <v>5</v>
      </c>
      <c r="B1628" s="37" t="n">
        <v>15</v>
      </c>
      <c r="C1628" s="37" t="n">
        <v>0</v>
      </c>
      <c r="D1628" s="37" t="n">
        <v>5</v>
      </c>
      <c r="E1628" s="37" t="n">
        <v>0</v>
      </c>
      <c r="F1628" s="37" t="n">
        <v>5</v>
      </c>
      <c r="G1628" s="37" t="s">
        <v>197</v>
      </c>
      <c r="H1628" s="38" t="n">
        <v>198.814632542936</v>
      </c>
      <c r="I1628" s="38" t="n">
        <v>197.799557802958</v>
      </c>
      <c r="J1628" s="38" t="n">
        <v>197.566723771876</v>
      </c>
      <c r="K1628" s="38" t="n">
        <v>206.027320894733</v>
      </c>
      <c r="L1628" s="38" t="n">
        <v>43.5590551098544</v>
      </c>
      <c r="M1628" s="38" t="n">
        <v>96.6070881925981</v>
      </c>
      <c r="N1628" s="38" t="n">
        <v>91.7774196911723</v>
      </c>
      <c r="O1628" s="38" t="n">
        <v>59.8924632365136</v>
      </c>
      <c r="P1628" s="37" t="n">
        <v>0</v>
      </c>
      <c r="Q1628" s="38" t="n">
        <v>0</v>
      </c>
      <c r="R1628" s="38" t="n">
        <v>72</v>
      </c>
      <c r="S1628" s="37" t="n">
        <v>0</v>
      </c>
    </row>
    <row r="1629" customFormat="false" ht="15" hidden="false" customHeight="false" outlineLevel="0" collapsed="false">
      <c r="A1629" s="37" t="n">
        <v>5</v>
      </c>
      <c r="B1629" s="37" t="n">
        <v>15</v>
      </c>
      <c r="C1629" s="37" t="n">
        <v>0</v>
      </c>
      <c r="D1629" s="37" t="n">
        <v>5</v>
      </c>
      <c r="E1629" s="37" t="n">
        <v>0</v>
      </c>
      <c r="F1629" s="37" t="n">
        <v>5</v>
      </c>
      <c r="G1629" s="37" t="s">
        <v>196</v>
      </c>
      <c r="H1629" s="38" t="n">
        <v>198.814632542936</v>
      </c>
      <c r="I1629" s="38" t="n">
        <v>197.806149817705</v>
      </c>
      <c r="J1629" s="38" t="n">
        <v>198.77400168</v>
      </c>
      <c r="K1629" s="38" t="n">
        <v>207.715743311071</v>
      </c>
      <c r="L1629" s="38" t="n">
        <v>51.6696968337206</v>
      </c>
      <c r="M1629" s="38" t="n">
        <v>99.4569396364298</v>
      </c>
      <c r="N1629" s="38" t="n">
        <v>102.330300195179</v>
      </c>
      <c r="O1629" s="38" t="n">
        <v>64.4924605401057</v>
      </c>
      <c r="P1629" s="37" t="n">
        <v>0</v>
      </c>
      <c r="Q1629" s="38" t="n">
        <v>0</v>
      </c>
      <c r="R1629" s="38" t="n">
        <v>71.1022821787692</v>
      </c>
      <c r="S1629" s="37" t="n">
        <v>0</v>
      </c>
    </row>
    <row r="1630" customFormat="false" ht="15" hidden="false" customHeight="false" outlineLevel="0" collapsed="false">
      <c r="A1630" s="37" t="n">
        <v>5</v>
      </c>
      <c r="B1630" s="37" t="n">
        <v>15</v>
      </c>
      <c r="C1630" s="37" t="n">
        <v>0</v>
      </c>
      <c r="D1630" s="37" t="n">
        <v>5</v>
      </c>
      <c r="E1630" s="37" t="n">
        <v>5</v>
      </c>
      <c r="F1630" s="37" t="n">
        <v>0</v>
      </c>
      <c r="G1630" s="37" t="s">
        <v>188</v>
      </c>
      <c r="H1630" s="38" t="n">
        <v>198.815878549572</v>
      </c>
      <c r="I1630" s="38" t="n">
        <v>198.00122918558</v>
      </c>
      <c r="J1630" s="38" t="n">
        <v>198.604241908737</v>
      </c>
      <c r="K1630" s="38" t="n">
        <v>208.703128915763</v>
      </c>
      <c r="L1630" s="38" t="n">
        <v>24.9803372400491</v>
      </c>
      <c r="M1630" s="38" t="n">
        <v>97.8922166717649</v>
      </c>
      <c r="N1630" s="38" t="n">
        <v>87.7252847507691</v>
      </c>
      <c r="O1630" s="38" t="n">
        <v>59.6356031183652</v>
      </c>
      <c r="P1630" s="37" t="n">
        <v>0</v>
      </c>
      <c r="Q1630" s="38" t="n">
        <v>0.0196627599509007</v>
      </c>
      <c r="R1630" s="38" t="n">
        <v>72</v>
      </c>
      <c r="S1630" s="37" t="n">
        <v>0</v>
      </c>
    </row>
    <row r="1631" customFormat="false" ht="15" hidden="false" customHeight="false" outlineLevel="0" collapsed="false">
      <c r="A1631" s="37" t="n">
        <v>5</v>
      </c>
      <c r="B1631" s="37" t="n">
        <v>15</v>
      </c>
      <c r="C1631" s="37" t="n">
        <v>0</v>
      </c>
      <c r="D1631" s="37" t="n">
        <v>5</v>
      </c>
      <c r="E1631" s="37" t="n">
        <v>5</v>
      </c>
      <c r="F1631" s="37" t="n">
        <v>0</v>
      </c>
      <c r="G1631" s="37" t="s">
        <v>192</v>
      </c>
      <c r="H1631" s="38" t="n">
        <v>198.815878549572</v>
      </c>
      <c r="I1631" s="38" t="n">
        <v>197.964043765498</v>
      </c>
      <c r="J1631" s="38" t="n">
        <v>207.692290211375</v>
      </c>
      <c r="K1631" s="38" t="n">
        <v>229.590284531477</v>
      </c>
      <c r="L1631" s="38" t="n">
        <v>30.0410436448364</v>
      </c>
      <c r="M1631" s="38" t="n">
        <v>97.6256600959593</v>
      </c>
      <c r="N1631" s="38" t="n">
        <v>105.259459729563</v>
      </c>
      <c r="O1631" s="38" t="n">
        <v>61.7732888415274</v>
      </c>
      <c r="P1631" s="37" t="n">
        <v>0</v>
      </c>
      <c r="Q1631" s="38" t="n">
        <v>0</v>
      </c>
      <c r="R1631" s="38" t="n">
        <v>63</v>
      </c>
      <c r="S1631" s="37" t="n">
        <v>1</v>
      </c>
    </row>
    <row r="1632" customFormat="false" ht="15" hidden="false" customHeight="false" outlineLevel="0" collapsed="false">
      <c r="A1632" s="37" t="n">
        <v>5</v>
      </c>
      <c r="B1632" s="37" t="n">
        <v>15</v>
      </c>
      <c r="C1632" s="37" t="n">
        <v>0</v>
      </c>
      <c r="D1632" s="37" t="n">
        <v>5</v>
      </c>
      <c r="E1632" s="37" t="n">
        <v>5</v>
      </c>
      <c r="F1632" s="37" t="n">
        <v>0</v>
      </c>
      <c r="G1632" s="37" t="s">
        <v>195</v>
      </c>
      <c r="H1632" s="38" t="n">
        <v>198.815878549572</v>
      </c>
      <c r="I1632" s="38" t="n">
        <v>197.991599112507</v>
      </c>
      <c r="J1632" s="38" t="n">
        <v>198.154283625836</v>
      </c>
      <c r="K1632" s="38" t="n">
        <v>204.828358320788</v>
      </c>
      <c r="L1632" s="38" t="n">
        <v>24.9764780232323</v>
      </c>
      <c r="M1632" s="38" t="n">
        <v>97.4782528143478</v>
      </c>
      <c r="N1632" s="38" t="n">
        <v>84.740867972064</v>
      </c>
      <c r="O1632" s="38" t="n">
        <v>57.459698991714</v>
      </c>
      <c r="P1632" s="37" t="n">
        <v>0</v>
      </c>
      <c r="Q1632" s="38" t="n">
        <v>0.0235219767677393</v>
      </c>
      <c r="R1632" s="38" t="n">
        <v>70.2976325005787</v>
      </c>
      <c r="S1632" s="37" t="n">
        <v>0</v>
      </c>
    </row>
    <row r="1633" customFormat="false" ht="15" hidden="false" customHeight="false" outlineLevel="0" collapsed="false">
      <c r="A1633" s="37" t="n">
        <v>5</v>
      </c>
      <c r="B1633" s="37" t="n">
        <v>15</v>
      </c>
      <c r="C1633" s="37" t="n">
        <v>0</v>
      </c>
      <c r="D1633" s="37" t="n">
        <v>5</v>
      </c>
      <c r="E1633" s="37" t="n">
        <v>5</v>
      </c>
      <c r="F1633" s="37" t="n">
        <v>0</v>
      </c>
      <c r="G1633" s="37" t="s">
        <v>197</v>
      </c>
      <c r="H1633" s="38" t="n">
        <v>198.815878549572</v>
      </c>
      <c r="I1633" s="38" t="n">
        <v>197.968158700611</v>
      </c>
      <c r="J1633" s="38" t="n">
        <v>200.743216217979</v>
      </c>
      <c r="K1633" s="38" t="n">
        <v>211.168390019378</v>
      </c>
      <c r="L1633" s="38" t="n">
        <v>24.996188897046</v>
      </c>
      <c r="M1633" s="38" t="n">
        <v>100.877660487099</v>
      </c>
      <c r="N1633" s="38" t="n">
        <v>94.1531062987301</v>
      </c>
      <c r="O1633" s="38" t="n">
        <v>61.2705945551542</v>
      </c>
      <c r="P1633" s="37" t="n">
        <v>0</v>
      </c>
      <c r="Q1633" s="38" t="n">
        <v>0.00381110295401754</v>
      </c>
      <c r="R1633" s="38" t="n">
        <v>72</v>
      </c>
      <c r="S1633" s="37" t="n">
        <v>0</v>
      </c>
    </row>
    <row r="1634" customFormat="false" ht="15" hidden="false" customHeight="false" outlineLevel="0" collapsed="false">
      <c r="A1634" s="37" t="n">
        <v>5</v>
      </c>
      <c r="B1634" s="37" t="n">
        <v>15</v>
      </c>
      <c r="C1634" s="37" t="n">
        <v>0</v>
      </c>
      <c r="D1634" s="37" t="n">
        <v>5</v>
      </c>
      <c r="E1634" s="37" t="n">
        <v>5</v>
      </c>
      <c r="F1634" s="37" t="n">
        <v>0</v>
      </c>
      <c r="G1634" s="37" t="s">
        <v>196</v>
      </c>
      <c r="H1634" s="38" t="n">
        <v>198.815878549572</v>
      </c>
      <c r="I1634" s="38" t="n">
        <v>197.966746624273</v>
      </c>
      <c r="J1634" s="38" t="n">
        <v>201.095161479999</v>
      </c>
      <c r="K1634" s="38" t="n">
        <v>211.651525460626</v>
      </c>
      <c r="L1634" s="38" t="n">
        <v>25.7316176060408</v>
      </c>
      <c r="M1634" s="38" t="n">
        <v>101.068091066953</v>
      </c>
      <c r="N1634" s="38" t="n">
        <v>97.7441172817923</v>
      </c>
      <c r="O1634" s="38" t="n">
        <v>62.9558502961068</v>
      </c>
      <c r="P1634" s="37" t="n">
        <v>0</v>
      </c>
      <c r="Q1634" s="38" t="n">
        <v>0</v>
      </c>
      <c r="R1634" s="38" t="n">
        <v>70.9992221148996</v>
      </c>
      <c r="S1634" s="37" t="n">
        <v>0</v>
      </c>
    </row>
    <row r="1635" customFormat="false" ht="15" hidden="false" customHeight="false" outlineLevel="0" collapsed="false">
      <c r="A1635" s="37" t="n">
        <v>5</v>
      </c>
      <c r="B1635" s="37" t="n">
        <v>15</v>
      </c>
      <c r="C1635" s="37" t="n">
        <v>0</v>
      </c>
      <c r="D1635" s="37" t="n">
        <v>10</v>
      </c>
      <c r="E1635" s="37" t="n">
        <v>0</v>
      </c>
      <c r="F1635" s="37" t="n">
        <v>0</v>
      </c>
      <c r="G1635" s="37" t="s">
        <v>188</v>
      </c>
      <c r="H1635" s="38" t="n">
        <v>199.024852546109</v>
      </c>
      <c r="I1635" s="38" t="n">
        <v>198.712373321264</v>
      </c>
      <c r="J1635" s="38" t="n">
        <v>199.429554812176</v>
      </c>
      <c r="K1635" s="38" t="n">
        <v>204.454183460775</v>
      </c>
      <c r="L1635" s="38" t="n">
        <v>24.9682134883283</v>
      </c>
      <c r="M1635" s="38" t="n">
        <v>97.5507895391895</v>
      </c>
      <c r="N1635" s="38" t="n">
        <v>84.1090388406308</v>
      </c>
      <c r="O1635" s="38" t="n">
        <v>60.8590184801104</v>
      </c>
      <c r="P1635" s="37" t="n">
        <v>0</v>
      </c>
      <c r="Q1635" s="38" t="n">
        <v>0.0317865116716689</v>
      </c>
      <c r="R1635" s="38" t="n">
        <v>72</v>
      </c>
      <c r="S1635" s="37" t="n">
        <v>0</v>
      </c>
    </row>
    <row r="1636" customFormat="false" ht="15" hidden="false" customHeight="false" outlineLevel="0" collapsed="false">
      <c r="A1636" s="37" t="n">
        <v>5</v>
      </c>
      <c r="B1636" s="37" t="n">
        <v>15</v>
      </c>
      <c r="C1636" s="37" t="n">
        <v>0</v>
      </c>
      <c r="D1636" s="37" t="n">
        <v>10</v>
      </c>
      <c r="E1636" s="37" t="n">
        <v>0</v>
      </c>
      <c r="F1636" s="37" t="n">
        <v>0</v>
      </c>
      <c r="G1636" s="37" t="s">
        <v>192</v>
      </c>
      <c r="H1636" s="38" t="n">
        <v>199.024852546109</v>
      </c>
      <c r="I1636" s="38" t="n">
        <v>198.667606441087</v>
      </c>
      <c r="J1636" s="38" t="n">
        <v>208.624607281296</v>
      </c>
      <c r="K1636" s="38" t="n">
        <v>225.401817008991</v>
      </c>
      <c r="L1636" s="38" t="n">
        <v>26.6825737895324</v>
      </c>
      <c r="M1636" s="38" t="n">
        <v>97.3518323666118</v>
      </c>
      <c r="N1636" s="38" t="n">
        <v>99.0249739282058</v>
      </c>
      <c r="O1636" s="38" t="n">
        <v>63.6801943990189</v>
      </c>
      <c r="P1636" s="37" t="n">
        <v>0</v>
      </c>
      <c r="Q1636" s="38" t="n">
        <v>0</v>
      </c>
      <c r="R1636" s="38" t="n">
        <v>63</v>
      </c>
      <c r="S1636" s="37" t="n">
        <v>1</v>
      </c>
    </row>
    <row r="1637" customFormat="false" ht="15" hidden="false" customHeight="false" outlineLevel="0" collapsed="false">
      <c r="A1637" s="37" t="n">
        <v>5</v>
      </c>
      <c r="B1637" s="37" t="n">
        <v>15</v>
      </c>
      <c r="C1637" s="37" t="n">
        <v>0</v>
      </c>
      <c r="D1637" s="37" t="n">
        <v>10</v>
      </c>
      <c r="E1637" s="37" t="n">
        <v>0</v>
      </c>
      <c r="F1637" s="37" t="n">
        <v>0</v>
      </c>
      <c r="G1637" s="37" t="s">
        <v>195</v>
      </c>
      <c r="H1637" s="38" t="n">
        <v>199.024852546109</v>
      </c>
      <c r="I1637" s="38" t="n">
        <v>198.745823233751</v>
      </c>
      <c r="J1637" s="38" t="n">
        <v>199.607858612495</v>
      </c>
      <c r="K1637" s="38" t="n">
        <v>204.342313035901</v>
      </c>
      <c r="L1637" s="38" t="n">
        <v>24.9888991384625</v>
      </c>
      <c r="M1637" s="38" t="n">
        <v>98.3794065527797</v>
      </c>
      <c r="N1637" s="38" t="n">
        <v>86.154677978877</v>
      </c>
      <c r="O1637" s="38" t="n">
        <v>59.6127600777463</v>
      </c>
      <c r="P1637" s="37" t="n">
        <v>0</v>
      </c>
      <c r="Q1637" s="38" t="n">
        <v>0.0111008615374999</v>
      </c>
      <c r="R1637" s="38" t="n">
        <v>67.2663326679175</v>
      </c>
      <c r="S1637" s="37" t="n">
        <v>0</v>
      </c>
    </row>
    <row r="1638" customFormat="false" ht="15" hidden="false" customHeight="false" outlineLevel="0" collapsed="false">
      <c r="A1638" s="37" t="n">
        <v>5</v>
      </c>
      <c r="B1638" s="37" t="n">
        <v>15</v>
      </c>
      <c r="C1638" s="37" t="n">
        <v>0</v>
      </c>
      <c r="D1638" s="37" t="n">
        <v>10</v>
      </c>
      <c r="E1638" s="37" t="n">
        <v>0</v>
      </c>
      <c r="F1638" s="37" t="n">
        <v>0</v>
      </c>
      <c r="G1638" s="37" t="s">
        <v>197</v>
      </c>
      <c r="H1638" s="38" t="n">
        <v>199.024852546109</v>
      </c>
      <c r="I1638" s="38" t="n">
        <v>198.661284382194</v>
      </c>
      <c r="J1638" s="38" t="n">
        <v>200.880486799455</v>
      </c>
      <c r="K1638" s="38" t="n">
        <v>205.629611483347</v>
      </c>
      <c r="L1638" s="38" t="n">
        <v>24.9721921454364</v>
      </c>
      <c r="M1638" s="38" t="n">
        <v>97.2905030685746</v>
      </c>
      <c r="N1638" s="38" t="n">
        <v>81.0517894348459</v>
      </c>
      <c r="O1638" s="38" t="n">
        <v>58.1402918349918</v>
      </c>
      <c r="P1638" s="37" t="n">
        <v>0</v>
      </c>
      <c r="Q1638" s="38" t="n">
        <v>0.0278078545636049</v>
      </c>
      <c r="R1638" s="38" t="n">
        <v>72</v>
      </c>
      <c r="S1638" s="37" t="n">
        <v>0</v>
      </c>
    </row>
    <row r="1639" customFormat="false" ht="15" hidden="false" customHeight="false" outlineLevel="0" collapsed="false">
      <c r="A1639" s="37" t="n">
        <v>5</v>
      </c>
      <c r="B1639" s="37" t="n">
        <v>15</v>
      </c>
      <c r="C1639" s="37" t="n">
        <v>0</v>
      </c>
      <c r="D1639" s="37" t="n">
        <v>10</v>
      </c>
      <c r="E1639" s="37" t="n">
        <v>0</v>
      </c>
      <c r="F1639" s="37" t="n">
        <v>0</v>
      </c>
      <c r="G1639" s="37" t="s">
        <v>196</v>
      </c>
      <c r="H1639" s="38" t="n">
        <v>199.024852546109</v>
      </c>
      <c r="I1639" s="38" t="n">
        <v>198.668039550843</v>
      </c>
      <c r="J1639" s="38" t="n">
        <v>194.539191660438</v>
      </c>
      <c r="K1639" s="38" t="n">
        <v>208.407768140746</v>
      </c>
      <c r="L1639" s="38" t="n">
        <v>25.4077681407457</v>
      </c>
      <c r="M1639" s="38" t="n">
        <v>100.574705486873</v>
      </c>
      <c r="N1639" s="38" t="n">
        <v>91.3064462674875</v>
      </c>
      <c r="O1639" s="38" t="n">
        <v>60.8798068581344</v>
      </c>
      <c r="P1639" s="37" t="n">
        <v>0</v>
      </c>
      <c r="Q1639" s="38" t="n">
        <v>0</v>
      </c>
      <c r="R1639" s="38" t="n">
        <v>70.604</v>
      </c>
      <c r="S1639" s="37" t="n">
        <v>0</v>
      </c>
    </row>
    <row r="1640" customFormat="false" ht="15" hidden="false" customHeight="false" outlineLevel="0" collapsed="false">
      <c r="A1640" s="37" t="n">
        <v>5</v>
      </c>
      <c r="B1640" s="37" t="n">
        <v>15</v>
      </c>
      <c r="C1640" s="37" t="n">
        <v>5</v>
      </c>
      <c r="D1640" s="37" t="n">
        <v>0</v>
      </c>
      <c r="E1640" s="37" t="n">
        <v>0</v>
      </c>
      <c r="F1640" s="37" t="n">
        <v>5</v>
      </c>
      <c r="G1640" s="37" t="s">
        <v>188</v>
      </c>
      <c r="H1640" s="38" t="n">
        <v>198.763043733825</v>
      </c>
      <c r="I1640" s="38" t="n">
        <v>198.760472145472</v>
      </c>
      <c r="J1640" s="38" t="n">
        <v>209.36482953918</v>
      </c>
      <c r="K1640" s="38" t="n">
        <v>234.917850982616</v>
      </c>
      <c r="L1640" s="38" t="n">
        <v>70.8468590489818</v>
      </c>
      <c r="M1640" s="38" t="n">
        <v>101.280763954637</v>
      </c>
      <c r="N1640" s="38" t="n">
        <v>123.555854052175</v>
      </c>
      <c r="O1640" s="38" t="n">
        <v>68.5534075740945</v>
      </c>
      <c r="P1640" s="37" t="n">
        <v>0</v>
      </c>
      <c r="Q1640" s="38" t="n">
        <v>0</v>
      </c>
      <c r="R1640" s="38" t="n">
        <v>70.5</v>
      </c>
      <c r="S1640" s="37" t="n">
        <v>0</v>
      </c>
    </row>
    <row r="1641" customFormat="false" ht="15" hidden="false" customHeight="false" outlineLevel="0" collapsed="false">
      <c r="A1641" s="37" t="n">
        <v>5</v>
      </c>
      <c r="B1641" s="37" t="n">
        <v>15</v>
      </c>
      <c r="C1641" s="37" t="n">
        <v>5</v>
      </c>
      <c r="D1641" s="37" t="n">
        <v>0</v>
      </c>
      <c r="E1641" s="37" t="n">
        <v>0</v>
      </c>
      <c r="F1641" s="37" t="n">
        <v>5</v>
      </c>
      <c r="G1641" s="37" t="s">
        <v>192</v>
      </c>
      <c r="H1641" s="38" t="n">
        <v>198.763043733825</v>
      </c>
      <c r="I1641" s="38" t="n">
        <v>198.693964108005</v>
      </c>
      <c r="J1641" s="38" t="n">
        <v>219.399436210924</v>
      </c>
      <c r="K1641" s="38" t="n">
        <v>240.563842026951</v>
      </c>
      <c r="L1641" s="38" t="n">
        <v>67.7780685903983</v>
      </c>
      <c r="M1641" s="38" t="n">
        <v>101.018906566186</v>
      </c>
      <c r="N1641" s="38" t="n">
        <v>133.252501189568</v>
      </c>
      <c r="O1641" s="38" t="n">
        <v>72.4677256331763</v>
      </c>
      <c r="P1641" s="37" t="n">
        <v>0</v>
      </c>
      <c r="Q1641" s="38" t="n">
        <v>0</v>
      </c>
      <c r="R1641" s="38" t="n">
        <v>70.5</v>
      </c>
      <c r="S1641" s="37" t="n">
        <v>1</v>
      </c>
    </row>
    <row r="1642" customFormat="false" ht="15" hidden="false" customHeight="false" outlineLevel="0" collapsed="false">
      <c r="A1642" s="37" t="n">
        <v>5</v>
      </c>
      <c r="B1642" s="37" t="n">
        <v>15</v>
      </c>
      <c r="C1642" s="37" t="n">
        <v>5</v>
      </c>
      <c r="D1642" s="37" t="n">
        <v>0</v>
      </c>
      <c r="E1642" s="37" t="n">
        <v>0</v>
      </c>
      <c r="F1642" s="37" t="n">
        <v>5</v>
      </c>
      <c r="G1642" s="37" t="s">
        <v>195</v>
      </c>
      <c r="H1642" s="38" t="n">
        <v>198.763043733825</v>
      </c>
      <c r="I1642" s="38" t="n">
        <v>198.685377514109</v>
      </c>
      <c r="J1642" s="38" t="n">
        <v>204.820495434869</v>
      </c>
      <c r="K1642" s="38" t="n">
        <v>224.988661928379</v>
      </c>
      <c r="L1642" s="38" t="n">
        <v>65.9726257802907</v>
      </c>
      <c r="M1642" s="38" t="n">
        <v>99.1647451443556</v>
      </c>
      <c r="N1642" s="38" t="n">
        <v>110.29631579032</v>
      </c>
      <c r="O1642" s="38" t="n">
        <v>61.4760134474505</v>
      </c>
      <c r="P1642" s="37" t="n">
        <v>0</v>
      </c>
      <c r="Q1642" s="38" t="n">
        <v>0</v>
      </c>
      <c r="R1642" s="38" t="n">
        <v>68.4701891555735</v>
      </c>
      <c r="S1642" s="37" t="n">
        <v>0</v>
      </c>
    </row>
    <row r="1643" customFormat="false" ht="15" hidden="false" customHeight="false" outlineLevel="0" collapsed="false">
      <c r="A1643" s="37" t="n">
        <v>5</v>
      </c>
      <c r="B1643" s="37" t="n">
        <v>15</v>
      </c>
      <c r="C1643" s="37" t="n">
        <v>5</v>
      </c>
      <c r="D1643" s="37" t="n">
        <v>0</v>
      </c>
      <c r="E1643" s="37" t="n">
        <v>0</v>
      </c>
      <c r="F1643" s="37" t="n">
        <v>5</v>
      </c>
      <c r="G1643" s="37" t="s">
        <v>197</v>
      </c>
      <c r="H1643" s="38" t="n">
        <v>198.763043733825</v>
      </c>
      <c r="I1643" s="38" t="n">
        <v>198.674894185599</v>
      </c>
      <c r="J1643" s="38" t="n">
        <v>208.592461801173</v>
      </c>
      <c r="K1643" s="38" t="n">
        <v>233.261145524975</v>
      </c>
      <c r="L1643" s="38" t="n">
        <v>70.66521088044</v>
      </c>
      <c r="M1643" s="38" t="n">
        <v>98.7284867984302</v>
      </c>
      <c r="N1643" s="38" t="n">
        <v>111.820339687577</v>
      </c>
      <c r="O1643" s="38" t="n">
        <v>63.2787229414017</v>
      </c>
      <c r="P1643" s="37" t="n">
        <v>0</v>
      </c>
      <c r="Q1643" s="38" t="n">
        <v>0</v>
      </c>
      <c r="R1643" s="38" t="n">
        <v>70.5</v>
      </c>
      <c r="S1643" s="37" t="n">
        <v>0</v>
      </c>
    </row>
    <row r="1644" customFormat="false" ht="15" hidden="false" customHeight="false" outlineLevel="0" collapsed="false">
      <c r="A1644" s="37" t="n">
        <v>5</v>
      </c>
      <c r="B1644" s="37" t="n">
        <v>15</v>
      </c>
      <c r="C1644" s="37" t="n">
        <v>5</v>
      </c>
      <c r="D1644" s="37" t="n">
        <v>0</v>
      </c>
      <c r="E1644" s="37" t="n">
        <v>0</v>
      </c>
      <c r="F1644" s="37" t="n">
        <v>5</v>
      </c>
      <c r="G1644" s="37" t="s">
        <v>196</v>
      </c>
      <c r="H1644" s="38" t="n">
        <v>198.763043733825</v>
      </c>
      <c r="I1644" s="38" t="n">
        <v>198.692026051592</v>
      </c>
      <c r="J1644" s="38" t="n">
        <v>209.688797992632</v>
      </c>
      <c r="K1644" s="38" t="n">
        <v>235.010192819217</v>
      </c>
      <c r="L1644" s="38" t="n">
        <v>78.4528790018558</v>
      </c>
      <c r="M1644" s="38" t="n">
        <v>101.813646752139</v>
      </c>
      <c r="N1644" s="38" t="n">
        <v>122.774575330552</v>
      </c>
      <c r="O1644" s="38" t="n">
        <v>68.7465920011643</v>
      </c>
      <c r="P1644" s="37" t="n">
        <v>0</v>
      </c>
      <c r="Q1644" s="38" t="n">
        <v>0</v>
      </c>
      <c r="R1644" s="38" t="n">
        <v>69.4795780171666</v>
      </c>
      <c r="S1644" s="37" t="n">
        <v>0</v>
      </c>
    </row>
    <row r="1645" customFormat="false" ht="15" hidden="false" customHeight="false" outlineLevel="0" collapsed="false">
      <c r="A1645" s="37" t="n">
        <v>5</v>
      </c>
      <c r="B1645" s="37" t="n">
        <v>15</v>
      </c>
      <c r="C1645" s="37" t="n">
        <v>5</v>
      </c>
      <c r="D1645" s="37" t="n">
        <v>0</v>
      </c>
      <c r="E1645" s="37" t="n">
        <v>5</v>
      </c>
      <c r="F1645" s="37" t="n">
        <v>0</v>
      </c>
      <c r="G1645" s="37" t="s">
        <v>188</v>
      </c>
      <c r="H1645" s="38" t="n">
        <v>198.747101929868</v>
      </c>
      <c r="I1645" s="38" t="n">
        <v>198.632011989779</v>
      </c>
      <c r="J1645" s="38" t="n">
        <v>209.659877804187</v>
      </c>
      <c r="K1645" s="38" t="n">
        <v>234.471121395883</v>
      </c>
      <c r="L1645" s="38" t="n">
        <v>41.6794259785268</v>
      </c>
      <c r="M1645" s="38" t="n">
        <v>101.477952308051</v>
      </c>
      <c r="N1645" s="38" t="n">
        <v>125.747714476948</v>
      </c>
      <c r="O1645" s="38" t="n">
        <v>64.6247541558108</v>
      </c>
      <c r="P1645" s="37" t="n">
        <v>0</v>
      </c>
      <c r="Q1645" s="38" t="n">
        <v>0</v>
      </c>
      <c r="R1645" s="38" t="n">
        <v>70.5</v>
      </c>
      <c r="S1645" s="37" t="n">
        <v>0</v>
      </c>
    </row>
    <row r="1646" customFormat="false" ht="15" hidden="false" customHeight="false" outlineLevel="0" collapsed="false">
      <c r="A1646" s="37" t="n">
        <v>5</v>
      </c>
      <c r="B1646" s="37" t="n">
        <v>15</v>
      </c>
      <c r="C1646" s="37" t="n">
        <v>5</v>
      </c>
      <c r="D1646" s="37" t="n">
        <v>0</v>
      </c>
      <c r="E1646" s="37" t="n">
        <v>5</v>
      </c>
      <c r="F1646" s="37" t="n">
        <v>0</v>
      </c>
      <c r="G1646" s="37" t="s">
        <v>192</v>
      </c>
      <c r="H1646" s="38" t="n">
        <v>198.747101929868</v>
      </c>
      <c r="I1646" s="38" t="n">
        <v>198.577381711542</v>
      </c>
      <c r="J1646" s="38" t="n">
        <v>219.822650103061</v>
      </c>
      <c r="K1646" s="38" t="n">
        <v>240.355344063028</v>
      </c>
      <c r="L1646" s="38" t="n">
        <v>76.070366447941</v>
      </c>
      <c r="M1646" s="38" t="n">
        <v>101.069531728341</v>
      </c>
      <c r="N1646" s="38" t="n">
        <v>134.072447088702</v>
      </c>
      <c r="O1646" s="38" t="n">
        <v>71.1260540287525</v>
      </c>
      <c r="P1646" s="37" t="n">
        <v>0</v>
      </c>
      <c r="Q1646" s="38" t="n">
        <v>0</v>
      </c>
      <c r="R1646" s="38" t="n">
        <v>70.5</v>
      </c>
      <c r="S1646" s="37" t="n">
        <v>1</v>
      </c>
    </row>
    <row r="1647" customFormat="false" ht="15" hidden="false" customHeight="false" outlineLevel="0" collapsed="false">
      <c r="A1647" s="37" t="n">
        <v>5</v>
      </c>
      <c r="B1647" s="37" t="n">
        <v>15</v>
      </c>
      <c r="C1647" s="37" t="n">
        <v>5</v>
      </c>
      <c r="D1647" s="37" t="n">
        <v>0</v>
      </c>
      <c r="E1647" s="37" t="n">
        <v>5</v>
      </c>
      <c r="F1647" s="37" t="n">
        <v>0</v>
      </c>
      <c r="G1647" s="37" t="s">
        <v>195</v>
      </c>
      <c r="H1647" s="38" t="n">
        <v>198.747101929868</v>
      </c>
      <c r="I1647" s="38" t="n">
        <v>198.564314241632</v>
      </c>
      <c r="J1647" s="38" t="n">
        <v>204.773077161005</v>
      </c>
      <c r="K1647" s="38" t="n">
        <v>224.160197792302</v>
      </c>
      <c r="L1647" s="38" t="n">
        <v>36.2458634359214</v>
      </c>
      <c r="M1647" s="38" t="n">
        <v>99.4995098015802</v>
      </c>
      <c r="N1647" s="38" t="n">
        <v>108.73426595221</v>
      </c>
      <c r="O1647" s="38" t="n">
        <v>57.5878867091185</v>
      </c>
      <c r="P1647" s="37" t="n">
        <v>0</v>
      </c>
      <c r="Q1647" s="38" t="n">
        <v>0</v>
      </c>
      <c r="R1647" s="38" t="n">
        <v>68.425699693086</v>
      </c>
      <c r="S1647" s="37" t="n">
        <v>0</v>
      </c>
    </row>
    <row r="1648" customFormat="false" ht="15" hidden="false" customHeight="false" outlineLevel="0" collapsed="false">
      <c r="A1648" s="37" t="n">
        <v>5</v>
      </c>
      <c r="B1648" s="37" t="n">
        <v>15</v>
      </c>
      <c r="C1648" s="37" t="n">
        <v>5</v>
      </c>
      <c r="D1648" s="37" t="n">
        <v>0</v>
      </c>
      <c r="E1648" s="37" t="n">
        <v>5</v>
      </c>
      <c r="F1648" s="37" t="n">
        <v>0</v>
      </c>
      <c r="G1648" s="37" t="s">
        <v>197</v>
      </c>
      <c r="H1648" s="38" t="n">
        <v>198.747101929868</v>
      </c>
      <c r="I1648" s="38" t="n">
        <v>198.565297994096</v>
      </c>
      <c r="J1648" s="38" t="n">
        <v>209.691731727209</v>
      </c>
      <c r="K1648" s="38" t="n">
        <v>234.030818767462</v>
      </c>
      <c r="L1648" s="38" t="n">
        <v>31.8690966500584</v>
      </c>
      <c r="M1648" s="38" t="n">
        <v>102.218139670087</v>
      </c>
      <c r="N1648" s="38" t="n">
        <v>116.389295446185</v>
      </c>
      <c r="O1648" s="38" t="n">
        <v>65.9177252221769</v>
      </c>
      <c r="P1648" s="37" t="n">
        <v>0</v>
      </c>
      <c r="Q1648" s="38" t="n">
        <v>0</v>
      </c>
      <c r="R1648" s="38" t="n">
        <v>70.5</v>
      </c>
      <c r="S1648" s="37" t="n">
        <v>0</v>
      </c>
    </row>
    <row r="1649" customFormat="false" ht="15" hidden="false" customHeight="false" outlineLevel="0" collapsed="false">
      <c r="A1649" s="37" t="n">
        <v>5</v>
      </c>
      <c r="B1649" s="37" t="n">
        <v>15</v>
      </c>
      <c r="C1649" s="37" t="n">
        <v>5</v>
      </c>
      <c r="D1649" s="37" t="n">
        <v>0</v>
      </c>
      <c r="E1649" s="37" t="n">
        <v>5</v>
      </c>
      <c r="F1649" s="37" t="n">
        <v>0</v>
      </c>
      <c r="G1649" s="37" t="s">
        <v>196</v>
      </c>
      <c r="H1649" s="38" t="n">
        <v>198.747101929868</v>
      </c>
      <c r="I1649" s="38" t="n">
        <v>198.578491229413</v>
      </c>
      <c r="J1649" s="38" t="n">
        <v>210.141258166794</v>
      </c>
      <c r="K1649" s="38" t="n">
        <v>234.900207148842</v>
      </c>
      <c r="L1649" s="38" t="n">
        <v>37.8765504118703</v>
      </c>
      <c r="M1649" s="38" t="n">
        <v>102.695042682243</v>
      </c>
      <c r="N1649" s="38" t="n">
        <v>125.56862127711</v>
      </c>
      <c r="O1649" s="38" t="n">
        <v>68.5697513867415</v>
      </c>
      <c r="P1649" s="37" t="n">
        <v>0</v>
      </c>
      <c r="Q1649" s="38" t="n">
        <v>0</v>
      </c>
      <c r="R1649" s="38" t="n">
        <v>69.3676557164603</v>
      </c>
      <c r="S1649" s="37" t="n">
        <v>0</v>
      </c>
    </row>
    <row r="1650" customFormat="false" ht="15" hidden="false" customHeight="false" outlineLevel="0" collapsed="false">
      <c r="A1650" s="37" t="n">
        <v>5</v>
      </c>
      <c r="B1650" s="37" t="n">
        <v>15</v>
      </c>
      <c r="C1650" s="37" t="n">
        <v>5</v>
      </c>
      <c r="D1650" s="37" t="n">
        <v>5</v>
      </c>
      <c r="E1650" s="37" t="n">
        <v>0</v>
      </c>
      <c r="F1650" s="37" t="n">
        <v>0</v>
      </c>
      <c r="G1650" s="37" t="s">
        <v>188</v>
      </c>
      <c r="H1650" s="38" t="n">
        <v>198.918487107036</v>
      </c>
      <c r="I1650" s="38" t="n">
        <v>199.874617067014</v>
      </c>
      <c r="J1650" s="38" t="n">
        <v>218.033909309761</v>
      </c>
      <c r="K1650" s="38" t="n">
        <v>237.051362848393</v>
      </c>
      <c r="L1650" s="38" t="n">
        <v>82.6139206146686</v>
      </c>
      <c r="M1650" s="38" t="n">
        <v>102.3525726876</v>
      </c>
      <c r="N1650" s="38" t="n">
        <v>131.066283602408</v>
      </c>
      <c r="O1650" s="38" t="n">
        <v>74.6829762713617</v>
      </c>
      <c r="P1650" s="37" t="n">
        <v>0</v>
      </c>
      <c r="Q1650" s="38" t="n">
        <v>0</v>
      </c>
      <c r="R1650" s="38" t="n">
        <v>72</v>
      </c>
      <c r="S1650" s="37" t="n">
        <v>0</v>
      </c>
    </row>
    <row r="1651" customFormat="false" ht="15" hidden="false" customHeight="false" outlineLevel="0" collapsed="false">
      <c r="A1651" s="37" t="n">
        <v>5</v>
      </c>
      <c r="B1651" s="37" t="n">
        <v>15</v>
      </c>
      <c r="C1651" s="37" t="n">
        <v>5</v>
      </c>
      <c r="D1651" s="37" t="n">
        <v>5</v>
      </c>
      <c r="E1651" s="37" t="n">
        <v>0</v>
      </c>
      <c r="F1651" s="37" t="n">
        <v>0</v>
      </c>
      <c r="G1651" s="37" t="s">
        <v>192</v>
      </c>
      <c r="H1651" s="38" t="n">
        <v>198.918487107036</v>
      </c>
      <c r="I1651" s="38" t="n">
        <v>199.805669109948</v>
      </c>
      <c r="J1651" s="38" t="n">
        <v>227.519269755562</v>
      </c>
      <c r="K1651" s="38" t="n">
        <v>242.020424300551</v>
      </c>
      <c r="L1651" s="38" t="n">
        <v>78.9547150479435</v>
      </c>
      <c r="M1651" s="38" t="n">
        <v>101.948066541844</v>
      </c>
      <c r="N1651" s="38" t="n">
        <v>139.460271169672</v>
      </c>
      <c r="O1651" s="38" t="n">
        <v>76.6643173661705</v>
      </c>
      <c r="P1651" s="37" t="n">
        <v>0</v>
      </c>
      <c r="Q1651" s="38" t="n">
        <v>0</v>
      </c>
      <c r="R1651" s="38" t="n">
        <v>72</v>
      </c>
      <c r="S1651" s="37" t="n">
        <v>1</v>
      </c>
    </row>
    <row r="1652" customFormat="false" ht="15" hidden="false" customHeight="false" outlineLevel="0" collapsed="false">
      <c r="A1652" s="37" t="n">
        <v>5</v>
      </c>
      <c r="B1652" s="37" t="n">
        <v>15</v>
      </c>
      <c r="C1652" s="37" t="n">
        <v>5</v>
      </c>
      <c r="D1652" s="37" t="n">
        <v>5</v>
      </c>
      <c r="E1652" s="37" t="n">
        <v>0</v>
      </c>
      <c r="F1652" s="37" t="n">
        <v>0</v>
      </c>
      <c r="G1652" s="37" t="s">
        <v>195</v>
      </c>
      <c r="H1652" s="38" t="n">
        <v>198.918487107036</v>
      </c>
      <c r="I1652" s="38" t="n">
        <v>199.858702234514</v>
      </c>
      <c r="J1652" s="38" t="n">
        <v>215.960509355033</v>
      </c>
      <c r="K1652" s="38" t="n">
        <v>231.364336407676</v>
      </c>
      <c r="L1652" s="38" t="n">
        <v>33.7291506716364</v>
      </c>
      <c r="M1652" s="38" t="n">
        <v>101.900131171995</v>
      </c>
      <c r="N1652" s="38" t="n">
        <v>121.6804296269</v>
      </c>
      <c r="O1652" s="38" t="n">
        <v>71.16094281555</v>
      </c>
      <c r="P1652" s="37" t="n">
        <v>0</v>
      </c>
      <c r="Q1652" s="38" t="n">
        <v>0</v>
      </c>
      <c r="R1652" s="38" t="n">
        <v>70.3844442791882</v>
      </c>
      <c r="S1652" s="37" t="n">
        <v>0</v>
      </c>
    </row>
    <row r="1653" customFormat="false" ht="15" hidden="false" customHeight="false" outlineLevel="0" collapsed="false">
      <c r="A1653" s="37" t="n">
        <v>5</v>
      </c>
      <c r="B1653" s="37" t="n">
        <v>15</v>
      </c>
      <c r="C1653" s="37" t="n">
        <v>5</v>
      </c>
      <c r="D1653" s="37" t="n">
        <v>5</v>
      </c>
      <c r="E1653" s="37" t="n">
        <v>0</v>
      </c>
      <c r="F1653" s="37" t="n">
        <v>0</v>
      </c>
      <c r="G1653" s="37" t="s">
        <v>197</v>
      </c>
      <c r="H1653" s="38" t="n">
        <v>198.918487107036</v>
      </c>
      <c r="I1653" s="38" t="n">
        <v>199.7796007535</v>
      </c>
      <c r="J1653" s="38" t="n">
        <v>216.427729710105</v>
      </c>
      <c r="K1653" s="38" t="n">
        <v>234.355069990156</v>
      </c>
      <c r="L1653" s="38" t="n">
        <v>31.988719757984</v>
      </c>
      <c r="M1653" s="38" t="n">
        <v>99.9508732723861</v>
      </c>
      <c r="N1653" s="38" t="n">
        <v>113.057806894615</v>
      </c>
      <c r="O1653" s="38" t="n">
        <v>69.2059979367818</v>
      </c>
      <c r="P1653" s="37" t="n">
        <v>0</v>
      </c>
      <c r="Q1653" s="38" t="n">
        <v>0</v>
      </c>
      <c r="R1653" s="38" t="n">
        <v>72</v>
      </c>
      <c r="S1653" s="37" t="n">
        <v>0</v>
      </c>
    </row>
    <row r="1654" customFormat="false" ht="15" hidden="false" customHeight="false" outlineLevel="0" collapsed="false">
      <c r="A1654" s="37" t="n">
        <v>5</v>
      </c>
      <c r="B1654" s="37" t="n">
        <v>15</v>
      </c>
      <c r="C1654" s="37" t="n">
        <v>5</v>
      </c>
      <c r="D1654" s="37" t="n">
        <v>5</v>
      </c>
      <c r="E1654" s="37" t="n">
        <v>0</v>
      </c>
      <c r="F1654" s="37" t="n">
        <v>0</v>
      </c>
      <c r="G1654" s="37" t="s">
        <v>196</v>
      </c>
      <c r="H1654" s="38" t="n">
        <v>198.918487107036</v>
      </c>
      <c r="I1654" s="38" t="n">
        <v>199.802504925795</v>
      </c>
      <c r="J1654" s="38" t="n">
        <v>217.642380520927</v>
      </c>
      <c r="K1654" s="38" t="n">
        <v>236.267618274775</v>
      </c>
      <c r="L1654" s="38" t="n">
        <v>39.72734934274</v>
      </c>
      <c r="M1654" s="38" t="n">
        <v>103.478110283187</v>
      </c>
      <c r="N1654" s="38" t="n">
        <v>131.979430398858</v>
      </c>
      <c r="O1654" s="38" t="n">
        <v>74.4019648149839</v>
      </c>
      <c r="P1654" s="37" t="n">
        <v>0</v>
      </c>
      <c r="Q1654" s="38" t="n">
        <v>0</v>
      </c>
      <c r="R1654" s="38" t="n">
        <v>70.9836687896449</v>
      </c>
      <c r="S1654" s="37" t="n">
        <v>0</v>
      </c>
    </row>
    <row r="1655" customFormat="false" ht="15" hidden="false" customHeight="false" outlineLevel="0" collapsed="false">
      <c r="A1655" s="37" t="n">
        <v>5</v>
      </c>
      <c r="B1655" s="37" t="n">
        <v>15</v>
      </c>
      <c r="C1655" s="37" t="n">
        <v>10</v>
      </c>
      <c r="D1655" s="37" t="n">
        <v>0</v>
      </c>
      <c r="E1655" s="37" t="n">
        <v>0</v>
      </c>
      <c r="F1655" s="37" t="n">
        <v>0</v>
      </c>
      <c r="G1655" s="37" t="s">
        <v>188</v>
      </c>
      <c r="H1655" s="38" t="n">
        <v>198.95227249851</v>
      </c>
      <c r="I1655" s="38" t="n">
        <v>201.650159429463</v>
      </c>
      <c r="J1655" s="38" t="n">
        <v>223.455581751864</v>
      </c>
      <c r="K1655" s="38" t="n">
        <v>259.990922947741</v>
      </c>
      <c r="L1655" s="38" t="n">
        <v>57.327925839712</v>
      </c>
      <c r="M1655" s="38" t="n">
        <v>107.910263825666</v>
      </c>
      <c r="N1655" s="38" t="n">
        <v>143.181557277794</v>
      </c>
      <c r="O1655" s="38" t="n">
        <v>74.7787734860089</v>
      </c>
      <c r="P1655" s="37" t="n">
        <v>0</v>
      </c>
      <c r="Q1655" s="38" t="n">
        <v>0</v>
      </c>
      <c r="R1655" s="38" t="n">
        <v>70.5</v>
      </c>
      <c r="S1655" s="37" t="n">
        <v>0</v>
      </c>
    </row>
    <row r="1656" customFormat="false" ht="15" hidden="false" customHeight="false" outlineLevel="0" collapsed="false">
      <c r="A1656" s="37" t="n">
        <v>5</v>
      </c>
      <c r="B1656" s="37" t="n">
        <v>15</v>
      </c>
      <c r="C1656" s="37" t="n">
        <v>10</v>
      </c>
      <c r="D1656" s="37" t="n">
        <v>0</v>
      </c>
      <c r="E1656" s="37" t="n">
        <v>0</v>
      </c>
      <c r="F1656" s="37" t="n">
        <v>0</v>
      </c>
      <c r="G1656" s="37" t="s">
        <v>192</v>
      </c>
      <c r="H1656" s="38" t="n">
        <v>198.95227249851</v>
      </c>
      <c r="I1656" s="38" t="n">
        <v>201.54051284443</v>
      </c>
      <c r="J1656" s="38" t="n">
        <v>232.332309041341</v>
      </c>
      <c r="K1656" s="38" t="n">
        <v>263.660459398887</v>
      </c>
      <c r="L1656" s="38" t="n">
        <v>52.8211751156849</v>
      </c>
      <c r="M1656" s="38" t="n">
        <v>107.398557697425</v>
      </c>
      <c r="N1656" s="38" t="n">
        <v>151.191566296438</v>
      </c>
      <c r="O1656" s="38" t="n">
        <v>76.8124240790072</v>
      </c>
      <c r="P1656" s="37" t="n">
        <v>0</v>
      </c>
      <c r="Q1656" s="38" t="n">
        <v>0</v>
      </c>
      <c r="R1656" s="38" t="n">
        <v>70.5</v>
      </c>
      <c r="S1656" s="37" t="n">
        <v>1</v>
      </c>
    </row>
    <row r="1657" customFormat="false" ht="15" hidden="false" customHeight="false" outlineLevel="0" collapsed="false">
      <c r="A1657" s="37" t="n">
        <v>5</v>
      </c>
      <c r="B1657" s="37" t="n">
        <v>15</v>
      </c>
      <c r="C1657" s="37" t="n">
        <v>10</v>
      </c>
      <c r="D1657" s="37" t="n">
        <v>0</v>
      </c>
      <c r="E1657" s="37" t="n">
        <v>0</v>
      </c>
      <c r="F1657" s="37" t="n">
        <v>0</v>
      </c>
      <c r="G1657" s="37" t="s">
        <v>195</v>
      </c>
      <c r="H1657" s="38" t="n">
        <v>198.95227249851</v>
      </c>
      <c r="I1657" s="38" t="n">
        <v>201.54122677082</v>
      </c>
      <c r="J1657" s="38" t="n">
        <v>217.464545370666</v>
      </c>
      <c r="K1657" s="38" t="n">
        <v>248.073392497804</v>
      </c>
      <c r="L1657" s="38" t="n">
        <v>49.3435754876297</v>
      </c>
      <c r="M1657" s="38" t="n">
        <v>105.755811345503</v>
      </c>
      <c r="N1657" s="38" t="n">
        <v>128.745652111169</v>
      </c>
      <c r="O1657" s="38" t="n">
        <v>67.7290591417265</v>
      </c>
      <c r="P1657" s="37" t="n">
        <v>0</v>
      </c>
      <c r="Q1657" s="38" t="n">
        <v>0</v>
      </c>
      <c r="R1657" s="38" t="n">
        <v>68.5560548969478</v>
      </c>
      <c r="S1657" s="37" t="n">
        <v>0</v>
      </c>
    </row>
    <row r="1658" customFormat="false" ht="15" hidden="false" customHeight="false" outlineLevel="0" collapsed="false">
      <c r="A1658" s="37" t="n">
        <v>5</v>
      </c>
      <c r="B1658" s="37" t="n">
        <v>15</v>
      </c>
      <c r="C1658" s="37" t="n">
        <v>10</v>
      </c>
      <c r="D1658" s="37" t="n">
        <v>0</v>
      </c>
      <c r="E1658" s="37" t="n">
        <v>0</v>
      </c>
      <c r="F1658" s="37" t="n">
        <v>0</v>
      </c>
      <c r="G1658" s="37" t="s">
        <v>197</v>
      </c>
      <c r="H1658" s="38" t="n">
        <v>198.95227249851</v>
      </c>
      <c r="I1658" s="38" t="n">
        <v>201.496419829573</v>
      </c>
      <c r="J1658" s="38" t="n">
        <v>220.733316703004</v>
      </c>
      <c r="K1658" s="38" t="n">
        <v>255.286830663171</v>
      </c>
      <c r="L1658" s="38" t="n">
        <v>52.7991380692615</v>
      </c>
      <c r="M1658" s="38" t="n">
        <v>103.569867853894</v>
      </c>
      <c r="N1658" s="38" t="n">
        <v>125.234391743621</v>
      </c>
      <c r="O1658" s="38" t="n">
        <v>68.053464443009</v>
      </c>
      <c r="P1658" s="37" t="n">
        <v>0</v>
      </c>
      <c r="Q1658" s="38" t="n">
        <v>0</v>
      </c>
      <c r="R1658" s="38" t="n">
        <v>70.5</v>
      </c>
      <c r="S1658" s="37" t="n">
        <v>0</v>
      </c>
    </row>
    <row r="1659" customFormat="false" ht="15" hidden="false" customHeight="false" outlineLevel="0" collapsed="false">
      <c r="A1659" s="37" t="n">
        <v>5</v>
      </c>
      <c r="B1659" s="37" t="n">
        <v>15</v>
      </c>
      <c r="C1659" s="37" t="n">
        <v>10</v>
      </c>
      <c r="D1659" s="37" t="n">
        <v>0</v>
      </c>
      <c r="E1659" s="37" t="n">
        <v>0</v>
      </c>
      <c r="F1659" s="37" t="n">
        <v>0</v>
      </c>
      <c r="G1659" s="37" t="s">
        <v>196</v>
      </c>
      <c r="H1659" s="38" t="n">
        <v>198.95227249851</v>
      </c>
      <c r="I1659" s="38" t="n">
        <v>201.535040863171</v>
      </c>
      <c r="J1659" s="38" t="n">
        <v>232.270370080029</v>
      </c>
      <c r="K1659" s="38" t="n">
        <v>263.148961763368</v>
      </c>
      <c r="L1659" s="38" t="n">
        <v>57.6977325333723</v>
      </c>
      <c r="M1659" s="38" t="n">
        <v>107.250922658856</v>
      </c>
      <c r="N1659" s="38" t="n">
        <v>144.397023187505</v>
      </c>
      <c r="O1659" s="38" t="n">
        <v>74.4536059377324</v>
      </c>
      <c r="P1659" s="37" t="n">
        <v>0</v>
      </c>
      <c r="Q1659" s="38" t="n">
        <v>0</v>
      </c>
      <c r="R1659" s="38" t="n">
        <v>69.3946303173493</v>
      </c>
      <c r="S1659" s="37" t="n">
        <v>0</v>
      </c>
    </row>
    <row r="1660" customFormat="false" ht="15" hidden="false" customHeight="false" outlineLevel="0" collapsed="false">
      <c r="A1660" s="37" t="n">
        <v>5</v>
      </c>
      <c r="B1660" s="37" t="n">
        <v>20</v>
      </c>
      <c r="C1660" s="37" t="n">
        <v>0</v>
      </c>
      <c r="D1660" s="37" t="n">
        <v>0</v>
      </c>
      <c r="E1660" s="37" t="n">
        <v>0</v>
      </c>
      <c r="F1660" s="37" t="n">
        <v>5</v>
      </c>
      <c r="G1660" s="37" t="s">
        <v>188</v>
      </c>
      <c r="H1660" s="38" t="n">
        <v>198.689170687333</v>
      </c>
      <c r="I1660" s="38" t="n">
        <v>197.054050521774</v>
      </c>
      <c r="J1660" s="38" t="n">
        <v>192.430127960158</v>
      </c>
      <c r="K1660" s="38" t="n">
        <v>204.389306069074</v>
      </c>
      <c r="L1660" s="38" t="n">
        <v>39.204990012308</v>
      </c>
      <c r="M1660" s="38" t="n">
        <v>95.820830707572</v>
      </c>
      <c r="N1660" s="38" t="n">
        <v>90.4771857549673</v>
      </c>
      <c r="O1660" s="38" t="n">
        <v>57.9391577768343</v>
      </c>
      <c r="P1660" s="37" t="n">
        <v>0</v>
      </c>
      <c r="Q1660" s="38" t="n">
        <v>0</v>
      </c>
      <c r="R1660" s="38" t="n">
        <v>70.5</v>
      </c>
      <c r="S1660" s="37" t="n">
        <v>0</v>
      </c>
    </row>
    <row r="1661" customFormat="false" ht="15" hidden="false" customHeight="false" outlineLevel="0" collapsed="false">
      <c r="A1661" s="37" t="n">
        <v>5</v>
      </c>
      <c r="B1661" s="37" t="n">
        <v>20</v>
      </c>
      <c r="C1661" s="37" t="n">
        <v>0</v>
      </c>
      <c r="D1661" s="37" t="n">
        <v>0</v>
      </c>
      <c r="E1661" s="37" t="n">
        <v>0</v>
      </c>
      <c r="F1661" s="37" t="n">
        <v>5</v>
      </c>
      <c r="G1661" s="37" t="s">
        <v>192</v>
      </c>
      <c r="H1661" s="38" t="n">
        <v>198.689170687333</v>
      </c>
      <c r="I1661" s="38" t="n">
        <v>197.021625870896</v>
      </c>
      <c r="J1661" s="38" t="n">
        <v>204.30996695014</v>
      </c>
      <c r="K1661" s="38" t="n">
        <v>213.310689095054</v>
      </c>
      <c r="L1661" s="38" t="n">
        <v>39.1857068108516</v>
      </c>
      <c r="M1661" s="38" t="n">
        <v>96.7593685406863</v>
      </c>
      <c r="N1661" s="38" t="n">
        <v>104.224738323646</v>
      </c>
      <c r="O1661" s="38" t="n">
        <v>63.1049030558833</v>
      </c>
      <c r="P1661" s="37" t="n">
        <v>0</v>
      </c>
      <c r="Q1661" s="38" t="n">
        <v>0</v>
      </c>
      <c r="R1661" s="38" t="n">
        <v>70.5</v>
      </c>
      <c r="S1661" s="37" t="n">
        <v>1</v>
      </c>
    </row>
    <row r="1662" customFormat="false" ht="15" hidden="false" customHeight="false" outlineLevel="0" collapsed="false">
      <c r="A1662" s="37" t="n">
        <v>5</v>
      </c>
      <c r="B1662" s="37" t="n">
        <v>20</v>
      </c>
      <c r="C1662" s="37" t="n">
        <v>0</v>
      </c>
      <c r="D1662" s="37" t="n">
        <v>0</v>
      </c>
      <c r="E1662" s="37" t="n">
        <v>0</v>
      </c>
      <c r="F1662" s="37" t="n">
        <v>5</v>
      </c>
      <c r="G1662" s="37" t="s">
        <v>195</v>
      </c>
      <c r="H1662" s="38" t="n">
        <v>198.689170687333</v>
      </c>
      <c r="I1662" s="38" t="n">
        <v>197.01418995284</v>
      </c>
      <c r="J1662" s="38" t="n">
        <v>190.392512862676</v>
      </c>
      <c r="K1662" s="38" t="n">
        <v>197.669573173169</v>
      </c>
      <c r="L1662" s="38" t="n">
        <v>38.4919888904113</v>
      </c>
      <c r="M1662" s="38" t="n">
        <v>93.7801043337696</v>
      </c>
      <c r="N1662" s="38" t="n">
        <v>80.4485888531763</v>
      </c>
      <c r="O1662" s="38" t="n">
        <v>52.8657604655173</v>
      </c>
      <c r="P1662" s="37" t="n">
        <v>0</v>
      </c>
      <c r="Q1662" s="38" t="n">
        <v>0</v>
      </c>
      <c r="R1662" s="38" t="n">
        <v>68.4217247151726</v>
      </c>
      <c r="S1662" s="37" t="n">
        <v>0</v>
      </c>
    </row>
    <row r="1663" customFormat="false" ht="15" hidden="false" customHeight="false" outlineLevel="0" collapsed="false">
      <c r="A1663" s="37" t="n">
        <v>5</v>
      </c>
      <c r="B1663" s="37" t="n">
        <v>20</v>
      </c>
      <c r="C1663" s="37" t="n">
        <v>0</v>
      </c>
      <c r="D1663" s="37" t="n">
        <v>0</v>
      </c>
      <c r="E1663" s="37" t="n">
        <v>0</v>
      </c>
      <c r="F1663" s="37" t="n">
        <v>5</v>
      </c>
      <c r="G1663" s="37" t="s">
        <v>197</v>
      </c>
      <c r="H1663" s="38" t="n">
        <v>198.689170687333</v>
      </c>
      <c r="I1663" s="38" t="n">
        <v>197.014974382415</v>
      </c>
      <c r="J1663" s="38" t="n">
        <v>194.120378448003</v>
      </c>
      <c r="K1663" s="38" t="n">
        <v>206.305598649815</v>
      </c>
      <c r="L1663" s="38" t="n">
        <v>43.5899008091567</v>
      </c>
      <c r="M1663" s="38" t="n">
        <v>95.5822825214752</v>
      </c>
      <c r="N1663" s="38" t="n">
        <v>88.771046730977</v>
      </c>
      <c r="O1663" s="38" t="n">
        <v>55.5608499513755</v>
      </c>
      <c r="P1663" s="37" t="n">
        <v>0</v>
      </c>
      <c r="Q1663" s="38" t="n">
        <v>0</v>
      </c>
      <c r="R1663" s="38" t="n">
        <v>70.5</v>
      </c>
      <c r="S1663" s="37" t="n">
        <v>0</v>
      </c>
    </row>
    <row r="1664" customFormat="false" ht="15" hidden="false" customHeight="false" outlineLevel="0" collapsed="false">
      <c r="A1664" s="37" t="n">
        <v>5</v>
      </c>
      <c r="B1664" s="37" t="n">
        <v>20</v>
      </c>
      <c r="C1664" s="37" t="n">
        <v>0</v>
      </c>
      <c r="D1664" s="37" t="n">
        <v>0</v>
      </c>
      <c r="E1664" s="37" t="n">
        <v>0</v>
      </c>
      <c r="F1664" s="37" t="n">
        <v>5</v>
      </c>
      <c r="G1664" s="37" t="s">
        <v>196</v>
      </c>
      <c r="H1664" s="38" t="n">
        <v>198.689170687333</v>
      </c>
      <c r="I1664" s="38" t="n">
        <v>197.020349344196</v>
      </c>
      <c r="J1664" s="38" t="n">
        <v>195.281344038659</v>
      </c>
      <c r="K1664" s="38" t="n">
        <v>207.960783493327</v>
      </c>
      <c r="L1664" s="38" t="n">
        <v>51.8109254431246</v>
      </c>
      <c r="M1664" s="38" t="n">
        <v>98.2168932431146</v>
      </c>
      <c r="N1664" s="38" t="n">
        <v>97.9529317750518</v>
      </c>
      <c r="O1664" s="38" t="n">
        <v>60.4442751719739</v>
      </c>
      <c r="P1664" s="37" t="n">
        <v>0</v>
      </c>
      <c r="Q1664" s="38" t="n">
        <v>0</v>
      </c>
      <c r="R1664" s="38" t="n">
        <v>69.5773674012847</v>
      </c>
      <c r="S1664" s="37" t="n">
        <v>0</v>
      </c>
    </row>
    <row r="1665" customFormat="false" ht="15" hidden="false" customHeight="false" outlineLevel="0" collapsed="false">
      <c r="A1665" s="37" t="n">
        <v>5</v>
      </c>
      <c r="B1665" s="37" t="n">
        <v>20</v>
      </c>
      <c r="C1665" s="37" t="n">
        <v>0</v>
      </c>
      <c r="D1665" s="37" t="n">
        <v>0</v>
      </c>
      <c r="E1665" s="37" t="n">
        <v>5</v>
      </c>
      <c r="F1665" s="37" t="n">
        <v>0</v>
      </c>
      <c r="G1665" s="37" t="s">
        <v>188</v>
      </c>
      <c r="H1665" s="38" t="n">
        <v>198.704841680748</v>
      </c>
      <c r="I1665" s="38" t="n">
        <v>197.243713918557</v>
      </c>
      <c r="J1665" s="38" t="n">
        <v>194.710024674269</v>
      </c>
      <c r="K1665" s="38" t="n">
        <v>208.43501372042</v>
      </c>
      <c r="L1665" s="38" t="n">
        <v>24.9934517850366</v>
      </c>
      <c r="M1665" s="38" t="n">
        <v>96.92242483084</v>
      </c>
      <c r="N1665" s="38" t="n">
        <v>84.0503376954368</v>
      </c>
      <c r="O1665" s="38" t="n">
        <v>55.3444830567016</v>
      </c>
      <c r="P1665" s="37" t="n">
        <v>0</v>
      </c>
      <c r="Q1665" s="38" t="n">
        <v>0.00654821496340574</v>
      </c>
      <c r="R1665" s="38" t="n">
        <v>70.5</v>
      </c>
      <c r="S1665" s="37" t="n">
        <v>0</v>
      </c>
    </row>
    <row r="1666" customFormat="false" ht="15" hidden="false" customHeight="false" outlineLevel="0" collapsed="false">
      <c r="A1666" s="37" t="n">
        <v>5</v>
      </c>
      <c r="B1666" s="37" t="n">
        <v>20</v>
      </c>
      <c r="C1666" s="37" t="n">
        <v>0</v>
      </c>
      <c r="D1666" s="37" t="n">
        <v>0</v>
      </c>
      <c r="E1666" s="37" t="n">
        <v>5</v>
      </c>
      <c r="F1666" s="37" t="n">
        <v>0</v>
      </c>
      <c r="G1666" s="37" t="s">
        <v>192</v>
      </c>
      <c r="H1666" s="38" t="n">
        <v>198.704841680748</v>
      </c>
      <c r="I1666" s="38" t="n">
        <v>197.214351609171</v>
      </c>
      <c r="J1666" s="38" t="n">
        <v>204.622096569132</v>
      </c>
      <c r="K1666" s="38" t="n">
        <v>230.221148419018</v>
      </c>
      <c r="L1666" s="38" t="n">
        <v>30.1065044652389</v>
      </c>
      <c r="M1666" s="38" t="n">
        <v>97.7473942563998</v>
      </c>
      <c r="N1666" s="38" t="n">
        <v>103.214332308791</v>
      </c>
      <c r="O1666" s="38" t="n">
        <v>57.4516788992379</v>
      </c>
      <c r="P1666" s="37" t="n">
        <v>0</v>
      </c>
      <c r="Q1666" s="38" t="n">
        <v>0</v>
      </c>
      <c r="R1666" s="38" t="n">
        <v>61.5</v>
      </c>
      <c r="S1666" s="37" t="n">
        <v>1</v>
      </c>
    </row>
    <row r="1667" customFormat="false" ht="15" hidden="false" customHeight="false" outlineLevel="0" collapsed="false">
      <c r="A1667" s="37" t="n">
        <v>5</v>
      </c>
      <c r="B1667" s="37" t="n">
        <v>20</v>
      </c>
      <c r="C1667" s="37" t="n">
        <v>0</v>
      </c>
      <c r="D1667" s="37" t="n">
        <v>0</v>
      </c>
      <c r="E1667" s="37" t="n">
        <v>5</v>
      </c>
      <c r="F1667" s="37" t="n">
        <v>0</v>
      </c>
      <c r="G1667" s="37" t="s">
        <v>195</v>
      </c>
      <c r="H1667" s="38" t="n">
        <v>198.704841680748</v>
      </c>
      <c r="I1667" s="38" t="n">
        <v>197.205287145022</v>
      </c>
      <c r="J1667" s="38" t="n">
        <v>192.405131869906</v>
      </c>
      <c r="K1667" s="38" t="n">
        <v>201.291023170962</v>
      </c>
      <c r="L1667" s="38" t="n">
        <v>24.9720020824379</v>
      </c>
      <c r="M1667" s="38" t="n">
        <v>94.9493651136168</v>
      </c>
      <c r="N1667" s="38" t="n">
        <v>74.2913516314953</v>
      </c>
      <c r="O1667" s="38" t="n">
        <v>50.4711975338469</v>
      </c>
      <c r="P1667" s="37" t="n">
        <v>0</v>
      </c>
      <c r="Q1667" s="38" t="n">
        <v>0.0279979175621428</v>
      </c>
      <c r="R1667" s="38" t="n">
        <v>68.3977920328966</v>
      </c>
      <c r="S1667" s="37" t="n">
        <v>0</v>
      </c>
    </row>
    <row r="1668" customFormat="false" ht="15" hidden="false" customHeight="false" outlineLevel="0" collapsed="false">
      <c r="A1668" s="37" t="n">
        <v>5</v>
      </c>
      <c r="B1668" s="37" t="n">
        <v>20</v>
      </c>
      <c r="C1668" s="37" t="n">
        <v>0</v>
      </c>
      <c r="D1668" s="37" t="n">
        <v>0</v>
      </c>
      <c r="E1668" s="37" t="n">
        <v>5</v>
      </c>
      <c r="F1668" s="37" t="n">
        <v>0</v>
      </c>
      <c r="G1668" s="37" t="s">
        <v>197</v>
      </c>
      <c r="H1668" s="38" t="n">
        <v>198.704841680748</v>
      </c>
      <c r="I1668" s="38" t="n">
        <v>197.21613596296</v>
      </c>
      <c r="J1668" s="38" t="n">
        <v>197.039641472006</v>
      </c>
      <c r="K1668" s="38" t="n">
        <v>211.208077153656</v>
      </c>
      <c r="L1668" s="38" t="n">
        <v>24.9972561301441</v>
      </c>
      <c r="M1668" s="38" t="n">
        <v>99.9377894012878</v>
      </c>
      <c r="N1668" s="38" t="n">
        <v>90.5774334758038</v>
      </c>
      <c r="O1668" s="38" t="n">
        <v>56.9222332710537</v>
      </c>
      <c r="P1668" s="37" t="n">
        <v>0</v>
      </c>
      <c r="Q1668" s="38" t="n">
        <v>0.00274386985586261</v>
      </c>
      <c r="R1668" s="38" t="n">
        <v>70.5</v>
      </c>
      <c r="S1668" s="37" t="n">
        <v>0</v>
      </c>
    </row>
    <row r="1669" customFormat="false" ht="15" hidden="false" customHeight="false" outlineLevel="0" collapsed="false">
      <c r="A1669" s="37" t="n">
        <v>5</v>
      </c>
      <c r="B1669" s="37" t="n">
        <v>20</v>
      </c>
      <c r="C1669" s="37" t="n">
        <v>0</v>
      </c>
      <c r="D1669" s="37" t="n">
        <v>0</v>
      </c>
      <c r="E1669" s="37" t="n">
        <v>5</v>
      </c>
      <c r="F1669" s="37" t="n">
        <v>0</v>
      </c>
      <c r="G1669" s="37" t="s">
        <v>196</v>
      </c>
      <c r="H1669" s="38" t="n">
        <v>198.704841680748</v>
      </c>
      <c r="I1669" s="38" t="n">
        <v>197.214773609065</v>
      </c>
      <c r="J1669" s="38" t="n">
        <v>197.381246837803</v>
      </c>
      <c r="K1669" s="38" t="n">
        <v>211.722592160835</v>
      </c>
      <c r="L1669" s="38" t="n">
        <v>25.6929035000145</v>
      </c>
      <c r="M1669" s="38" t="n">
        <v>99.9325421943101</v>
      </c>
      <c r="N1669" s="38" t="n">
        <v>92.9751777494365</v>
      </c>
      <c r="O1669" s="38" t="n">
        <v>58.9767721366146</v>
      </c>
      <c r="P1669" s="37" t="n">
        <v>0</v>
      </c>
      <c r="Q1669" s="38" t="n">
        <v>0</v>
      </c>
      <c r="R1669" s="38" t="n">
        <v>69.472874721403</v>
      </c>
      <c r="S1669" s="37" t="n">
        <v>0</v>
      </c>
    </row>
    <row r="1670" customFormat="false" ht="15" hidden="false" customHeight="false" outlineLevel="0" collapsed="false">
      <c r="A1670" s="37" t="n">
        <v>5</v>
      </c>
      <c r="B1670" s="37" t="n">
        <v>20</v>
      </c>
      <c r="C1670" s="37" t="n">
        <v>0</v>
      </c>
      <c r="D1670" s="37" t="n">
        <v>5</v>
      </c>
      <c r="E1670" s="37" t="n">
        <v>0</v>
      </c>
      <c r="F1670" s="37" t="n">
        <v>0</v>
      </c>
      <c r="G1670" s="37" t="s">
        <v>188</v>
      </c>
      <c r="H1670" s="38" t="n">
        <v>198.840120941917</v>
      </c>
      <c r="I1670" s="38" t="n">
        <v>197.990056802695</v>
      </c>
      <c r="J1670" s="38" t="n">
        <v>196.793040779778</v>
      </c>
      <c r="K1670" s="38" t="n">
        <v>201.05763804099</v>
      </c>
      <c r="L1670" s="38" t="n">
        <v>24.9642948669938</v>
      </c>
      <c r="M1670" s="38" t="n">
        <v>96.6875865203649</v>
      </c>
      <c r="N1670" s="38" t="n">
        <v>81.047305344015</v>
      </c>
      <c r="O1670" s="38" t="n">
        <v>58.7216250654162</v>
      </c>
      <c r="P1670" s="37" t="n">
        <v>0</v>
      </c>
      <c r="Q1670" s="38" t="n">
        <v>0.0357051330062461</v>
      </c>
      <c r="R1670" s="38" t="n">
        <v>72</v>
      </c>
      <c r="S1670" s="37" t="n">
        <v>0</v>
      </c>
    </row>
    <row r="1671" customFormat="false" ht="15" hidden="false" customHeight="false" outlineLevel="0" collapsed="false">
      <c r="A1671" s="37" t="n">
        <v>5</v>
      </c>
      <c r="B1671" s="37" t="n">
        <v>20</v>
      </c>
      <c r="C1671" s="37" t="n">
        <v>0</v>
      </c>
      <c r="D1671" s="37" t="n">
        <v>5</v>
      </c>
      <c r="E1671" s="37" t="n">
        <v>0</v>
      </c>
      <c r="F1671" s="37" t="n">
        <v>0</v>
      </c>
      <c r="G1671" s="37" t="s">
        <v>192</v>
      </c>
      <c r="H1671" s="38" t="n">
        <v>198.840120941917</v>
      </c>
      <c r="I1671" s="38" t="n">
        <v>197.953910512105</v>
      </c>
      <c r="J1671" s="38" t="n">
        <v>206.297362128186</v>
      </c>
      <c r="K1671" s="38" t="n">
        <v>222.42377009442</v>
      </c>
      <c r="L1671" s="38" t="n">
        <v>25.6227769353826</v>
      </c>
      <c r="M1671" s="38" t="n">
        <v>97.5396852454723</v>
      </c>
      <c r="N1671" s="38" t="n">
        <v>95.7865707229638</v>
      </c>
      <c r="O1671" s="38" t="n">
        <v>60.7723811682736</v>
      </c>
      <c r="P1671" s="37" t="n">
        <v>0</v>
      </c>
      <c r="Q1671" s="38" t="n">
        <v>0.0184438229239277</v>
      </c>
      <c r="R1671" s="38" t="n">
        <v>63</v>
      </c>
      <c r="S1671" s="37" t="n">
        <v>1</v>
      </c>
    </row>
    <row r="1672" customFormat="false" ht="15" hidden="false" customHeight="false" outlineLevel="0" collapsed="false">
      <c r="A1672" s="37" t="n">
        <v>5</v>
      </c>
      <c r="B1672" s="37" t="n">
        <v>20</v>
      </c>
      <c r="C1672" s="37" t="n">
        <v>0</v>
      </c>
      <c r="D1672" s="37" t="n">
        <v>5</v>
      </c>
      <c r="E1672" s="37" t="n">
        <v>0</v>
      </c>
      <c r="F1672" s="37" t="n">
        <v>0</v>
      </c>
      <c r="G1672" s="37" t="s">
        <v>195</v>
      </c>
      <c r="H1672" s="38" t="n">
        <v>198.840120941917</v>
      </c>
      <c r="I1672" s="38" t="n">
        <v>197.974595919031</v>
      </c>
      <c r="J1672" s="38" t="n">
        <v>196.499663430823</v>
      </c>
      <c r="K1672" s="38" t="n">
        <v>197.12570004216</v>
      </c>
      <c r="L1672" s="38" t="n">
        <v>24.9519572900628</v>
      </c>
      <c r="M1672" s="38" t="n">
        <v>96.2496027575376</v>
      </c>
      <c r="N1672" s="38" t="n">
        <v>78.0671891544764</v>
      </c>
      <c r="O1672" s="38" t="n">
        <v>56.3164812973853</v>
      </c>
      <c r="P1672" s="37" t="n">
        <v>0</v>
      </c>
      <c r="Q1672" s="38" t="n">
        <v>0.0480427099372207</v>
      </c>
      <c r="R1672" s="38" t="n">
        <v>70.3155458894233</v>
      </c>
      <c r="S1672" s="37" t="n">
        <v>0</v>
      </c>
    </row>
    <row r="1673" customFormat="false" ht="15" hidden="false" customHeight="false" outlineLevel="0" collapsed="false">
      <c r="A1673" s="37" t="n">
        <v>5</v>
      </c>
      <c r="B1673" s="37" t="n">
        <v>20</v>
      </c>
      <c r="C1673" s="37" t="n">
        <v>0</v>
      </c>
      <c r="D1673" s="37" t="n">
        <v>5</v>
      </c>
      <c r="E1673" s="37" t="n">
        <v>0</v>
      </c>
      <c r="F1673" s="37" t="n">
        <v>0</v>
      </c>
      <c r="G1673" s="37" t="s">
        <v>197</v>
      </c>
      <c r="H1673" s="38" t="n">
        <v>198.840120941917</v>
      </c>
      <c r="I1673" s="38" t="n">
        <v>197.945446451053</v>
      </c>
      <c r="J1673" s="38" t="n">
        <v>198.410927061334</v>
      </c>
      <c r="K1673" s="38" t="n">
        <v>202.479999309393</v>
      </c>
      <c r="L1673" s="38" t="n">
        <v>24.9618060941394</v>
      </c>
      <c r="M1673" s="38" t="n">
        <v>96.4665916098138</v>
      </c>
      <c r="N1673" s="38" t="n">
        <v>78.2199625117012</v>
      </c>
      <c r="O1673" s="38" t="n">
        <v>56.1935378247185</v>
      </c>
      <c r="P1673" s="37" t="n">
        <v>0</v>
      </c>
      <c r="Q1673" s="38" t="n">
        <v>0.0381939058606129</v>
      </c>
      <c r="R1673" s="38" t="n">
        <v>72</v>
      </c>
      <c r="S1673" s="37" t="n">
        <v>0</v>
      </c>
    </row>
    <row r="1674" customFormat="false" ht="15" hidden="false" customHeight="false" outlineLevel="0" collapsed="false">
      <c r="A1674" s="37" t="n">
        <v>5</v>
      </c>
      <c r="B1674" s="37" t="n">
        <v>20</v>
      </c>
      <c r="C1674" s="37" t="n">
        <v>0</v>
      </c>
      <c r="D1674" s="37" t="n">
        <v>5</v>
      </c>
      <c r="E1674" s="37" t="n">
        <v>0</v>
      </c>
      <c r="F1674" s="37" t="n">
        <v>0</v>
      </c>
      <c r="G1674" s="37" t="s">
        <v>196</v>
      </c>
      <c r="H1674" s="38" t="n">
        <v>198.840120941917</v>
      </c>
      <c r="I1674" s="38" t="n">
        <v>197.952324693586</v>
      </c>
      <c r="J1674" s="38" t="n">
        <v>199.604264940127</v>
      </c>
      <c r="K1674" s="38" t="n">
        <v>204.092749287803</v>
      </c>
      <c r="L1674" s="38" t="n">
        <v>24.9738344581159</v>
      </c>
      <c r="M1674" s="38" t="n">
        <v>99.6588302554424</v>
      </c>
      <c r="N1674" s="38" t="n">
        <v>89.0970428191336</v>
      </c>
      <c r="O1674" s="38" t="n">
        <v>60.6023683124795</v>
      </c>
      <c r="P1674" s="37" t="n">
        <v>0</v>
      </c>
      <c r="Q1674" s="38" t="n">
        <v>0.0261655418840938</v>
      </c>
      <c r="R1674" s="38" t="n">
        <v>71.0874829090703</v>
      </c>
      <c r="S1674" s="37" t="n">
        <v>0</v>
      </c>
    </row>
    <row r="1675" customFormat="false" ht="15" hidden="false" customHeight="false" outlineLevel="0" collapsed="false">
      <c r="A1675" s="37" t="n">
        <v>5</v>
      </c>
      <c r="B1675" s="37" t="n">
        <v>20</v>
      </c>
      <c r="C1675" s="37" t="n">
        <v>5</v>
      </c>
      <c r="D1675" s="37" t="n">
        <v>0</v>
      </c>
      <c r="E1675" s="37" t="n">
        <v>0</v>
      </c>
      <c r="F1675" s="37" t="n">
        <v>0</v>
      </c>
      <c r="G1675" s="37" t="s">
        <v>188</v>
      </c>
      <c r="H1675" s="38" t="n">
        <v>198.773251935651</v>
      </c>
      <c r="I1675" s="38" t="n">
        <v>198.733490760164</v>
      </c>
      <c r="J1675" s="38" t="n">
        <v>209.009537162861</v>
      </c>
      <c r="K1675" s="38" t="n">
        <v>228.750120644627</v>
      </c>
      <c r="L1675" s="38" t="n">
        <v>35.8173784469864</v>
      </c>
      <c r="M1675" s="38" t="n">
        <v>100.63145303545</v>
      </c>
      <c r="N1675" s="38" t="n">
        <v>117.504945979494</v>
      </c>
      <c r="O1675" s="38" t="n">
        <v>63.951143008143</v>
      </c>
      <c r="P1675" s="37" t="n">
        <v>0</v>
      </c>
      <c r="Q1675" s="38" t="n">
        <v>0</v>
      </c>
      <c r="R1675" s="38" t="n">
        <v>70.5</v>
      </c>
      <c r="S1675" s="37" t="n">
        <v>0</v>
      </c>
    </row>
    <row r="1676" customFormat="false" ht="15" hidden="false" customHeight="false" outlineLevel="0" collapsed="false">
      <c r="A1676" s="37" t="n">
        <v>5</v>
      </c>
      <c r="B1676" s="37" t="n">
        <v>20</v>
      </c>
      <c r="C1676" s="37" t="n">
        <v>5</v>
      </c>
      <c r="D1676" s="37" t="n">
        <v>0</v>
      </c>
      <c r="E1676" s="37" t="n">
        <v>0</v>
      </c>
      <c r="F1676" s="37" t="n">
        <v>0</v>
      </c>
      <c r="G1676" s="37" t="s">
        <v>192</v>
      </c>
      <c r="H1676" s="38" t="n">
        <v>198.773251935651</v>
      </c>
      <c r="I1676" s="38" t="n">
        <v>198.677741569393</v>
      </c>
      <c r="J1676" s="38" t="n">
        <v>216.98486024196</v>
      </c>
      <c r="K1676" s="38" t="n">
        <v>247.180286338529</v>
      </c>
      <c r="L1676" s="38" t="n">
        <v>83.5565317636505</v>
      </c>
      <c r="M1676" s="38" t="n">
        <v>101.313299090686</v>
      </c>
      <c r="N1676" s="38" t="n">
        <v>130.255747489919</v>
      </c>
      <c r="O1676" s="38" t="n">
        <v>66.4536221771396</v>
      </c>
      <c r="P1676" s="37" t="n">
        <v>0</v>
      </c>
      <c r="Q1676" s="38" t="n">
        <v>0</v>
      </c>
      <c r="R1676" s="38" t="n">
        <v>61.5</v>
      </c>
      <c r="S1676" s="37" t="n">
        <v>1</v>
      </c>
    </row>
    <row r="1677" customFormat="false" ht="15" hidden="false" customHeight="false" outlineLevel="0" collapsed="false">
      <c r="A1677" s="37" t="n">
        <v>5</v>
      </c>
      <c r="B1677" s="37" t="n">
        <v>20</v>
      </c>
      <c r="C1677" s="37" t="n">
        <v>5</v>
      </c>
      <c r="D1677" s="37" t="n">
        <v>0</v>
      </c>
      <c r="E1677" s="37" t="n">
        <v>0</v>
      </c>
      <c r="F1677" s="37" t="n">
        <v>0</v>
      </c>
      <c r="G1677" s="37" t="s">
        <v>195</v>
      </c>
      <c r="H1677" s="38" t="n">
        <v>198.773251935651</v>
      </c>
      <c r="I1677" s="38" t="n">
        <v>198.660338045863</v>
      </c>
      <c r="J1677" s="38" t="n">
        <v>204.40834973867</v>
      </c>
      <c r="K1677" s="38" t="n">
        <v>218.68931929586</v>
      </c>
      <c r="L1677" s="38" t="n">
        <v>30.8367876206416</v>
      </c>
      <c r="M1677" s="38" t="n">
        <v>98.5874902562028</v>
      </c>
      <c r="N1677" s="38" t="n">
        <v>99.9062589613717</v>
      </c>
      <c r="O1677" s="38" t="n">
        <v>56.7582628688471</v>
      </c>
      <c r="P1677" s="37" t="n">
        <v>0</v>
      </c>
      <c r="Q1677" s="38" t="n">
        <v>0</v>
      </c>
      <c r="R1677" s="38" t="n">
        <v>68.4442404974344</v>
      </c>
      <c r="S1677" s="37" t="n">
        <v>0</v>
      </c>
    </row>
    <row r="1678" customFormat="false" ht="15" hidden="false" customHeight="false" outlineLevel="0" collapsed="false">
      <c r="A1678" s="37" t="n">
        <v>5</v>
      </c>
      <c r="B1678" s="37" t="n">
        <v>20</v>
      </c>
      <c r="C1678" s="37" t="n">
        <v>5</v>
      </c>
      <c r="D1678" s="37" t="n">
        <v>0</v>
      </c>
      <c r="E1678" s="37" t="n">
        <v>0</v>
      </c>
      <c r="F1678" s="37" t="n">
        <v>0</v>
      </c>
      <c r="G1678" s="37" t="s">
        <v>197</v>
      </c>
      <c r="H1678" s="38" t="n">
        <v>198.773251935651</v>
      </c>
      <c r="I1678" s="38" t="n">
        <v>198.65053156997</v>
      </c>
      <c r="J1678" s="38" t="n">
        <v>208.419676372569</v>
      </c>
      <c r="K1678" s="38" t="n">
        <v>227.260187275623</v>
      </c>
      <c r="L1678" s="38" t="n">
        <v>39.6594245952329</v>
      </c>
      <c r="M1678" s="38" t="n">
        <v>98.2341253351167</v>
      </c>
      <c r="N1678" s="38" t="n">
        <v>109.618422079571</v>
      </c>
      <c r="O1678" s="38" t="n">
        <v>59.0231265541851</v>
      </c>
      <c r="P1678" s="37" t="n">
        <v>0</v>
      </c>
      <c r="Q1678" s="38" t="n">
        <v>0</v>
      </c>
      <c r="R1678" s="38" t="n">
        <v>70.5</v>
      </c>
      <c r="S1678" s="37" t="n">
        <v>0</v>
      </c>
    </row>
    <row r="1679" customFormat="false" ht="15" hidden="false" customHeight="false" outlineLevel="0" collapsed="false">
      <c r="A1679" s="37" t="n">
        <v>5</v>
      </c>
      <c r="B1679" s="37" t="n">
        <v>20</v>
      </c>
      <c r="C1679" s="37" t="n">
        <v>5</v>
      </c>
      <c r="D1679" s="37" t="n">
        <v>0</v>
      </c>
      <c r="E1679" s="37" t="n">
        <v>0</v>
      </c>
      <c r="F1679" s="37" t="n">
        <v>0</v>
      </c>
      <c r="G1679" s="37" t="s">
        <v>196</v>
      </c>
      <c r="H1679" s="38" t="n">
        <v>198.773251935651</v>
      </c>
      <c r="I1679" s="38" t="n">
        <v>198.672423132447</v>
      </c>
      <c r="J1679" s="38" t="n">
        <v>209.597540437899</v>
      </c>
      <c r="K1679" s="38" t="n">
        <v>229.213086408982</v>
      </c>
      <c r="L1679" s="38" t="n">
        <v>43.1170003837459</v>
      </c>
      <c r="M1679" s="38" t="n">
        <v>101.594132349609</v>
      </c>
      <c r="N1679" s="38" t="n">
        <v>121.266140853223</v>
      </c>
      <c r="O1679" s="38" t="n">
        <v>64.3504763107578</v>
      </c>
      <c r="P1679" s="37" t="n">
        <v>0</v>
      </c>
      <c r="Q1679" s="38" t="n">
        <v>0</v>
      </c>
      <c r="R1679" s="38" t="n">
        <v>69.4569393539434</v>
      </c>
      <c r="S1679" s="37" t="n">
        <v>0</v>
      </c>
    </row>
    <row r="1680" customFormat="false" ht="15" hidden="false" customHeight="false" outlineLevel="0" collapsed="false">
      <c r="A1680" s="37" t="n">
        <v>5</v>
      </c>
      <c r="B1680" s="37" t="n">
        <v>25</v>
      </c>
      <c r="C1680" s="37" t="n">
        <v>0</v>
      </c>
      <c r="D1680" s="37" t="n">
        <v>0</v>
      </c>
      <c r="E1680" s="37" t="n">
        <v>0</v>
      </c>
      <c r="F1680" s="37" t="n">
        <v>0</v>
      </c>
      <c r="G1680" s="37" t="s">
        <v>188</v>
      </c>
      <c r="H1680" s="38" t="n">
        <v>198.717106223704</v>
      </c>
      <c r="I1680" s="38" t="n">
        <v>197.203396249268</v>
      </c>
      <c r="J1680" s="38" t="n">
        <v>193.076804890597</v>
      </c>
      <c r="K1680" s="38" t="n">
        <v>200.938688025908</v>
      </c>
      <c r="L1680" s="38" t="n">
        <v>24.9875463687096</v>
      </c>
      <c r="M1680" s="38" t="n">
        <v>95.5812154523756</v>
      </c>
      <c r="N1680" s="38" t="n">
        <v>77.6986232292174</v>
      </c>
      <c r="O1680" s="38" t="n">
        <v>54.4957822294204</v>
      </c>
      <c r="P1680" s="37" t="n">
        <v>0</v>
      </c>
      <c r="Q1680" s="38" t="n">
        <v>0.0124536312903807</v>
      </c>
      <c r="R1680" s="38" t="n">
        <v>70.5</v>
      </c>
      <c r="S1680" s="37" t="n">
        <v>0</v>
      </c>
    </row>
    <row r="1681" customFormat="false" ht="15" hidden="false" customHeight="false" outlineLevel="0" collapsed="false">
      <c r="A1681" s="37" t="n">
        <v>5</v>
      </c>
      <c r="B1681" s="37" t="n">
        <v>25</v>
      </c>
      <c r="C1681" s="37" t="n">
        <v>0</v>
      </c>
      <c r="D1681" s="37" t="n">
        <v>0</v>
      </c>
      <c r="E1681" s="37" t="n">
        <v>0</v>
      </c>
      <c r="F1681" s="37" t="n">
        <v>0</v>
      </c>
      <c r="G1681" s="37" t="s">
        <v>192</v>
      </c>
      <c r="H1681" s="38" t="n">
        <v>198.717106223704</v>
      </c>
      <c r="I1681" s="38" t="n">
        <v>197.174058839562</v>
      </c>
      <c r="J1681" s="38" t="n">
        <v>198.745139001768</v>
      </c>
      <c r="K1681" s="38" t="n">
        <v>216.877036304842</v>
      </c>
      <c r="L1681" s="38" t="n">
        <v>24.9815738557093</v>
      </c>
      <c r="M1681" s="38" t="n">
        <v>97.1620705685039</v>
      </c>
      <c r="N1681" s="38" t="n">
        <v>87.0904765259983</v>
      </c>
      <c r="O1681" s="38" t="n">
        <v>54.5404245781767</v>
      </c>
      <c r="P1681" s="37" t="n">
        <v>0</v>
      </c>
      <c r="Q1681" s="38" t="n">
        <v>0.0184261442906859</v>
      </c>
      <c r="R1681" s="38" t="n">
        <v>61.5</v>
      </c>
      <c r="S1681" s="37" t="n">
        <v>1</v>
      </c>
    </row>
    <row r="1682" customFormat="false" ht="15" hidden="false" customHeight="false" outlineLevel="0" collapsed="false">
      <c r="A1682" s="37" t="n">
        <v>5</v>
      </c>
      <c r="B1682" s="37" t="n">
        <v>25</v>
      </c>
      <c r="C1682" s="37" t="n">
        <v>0</v>
      </c>
      <c r="D1682" s="37" t="n">
        <v>0</v>
      </c>
      <c r="E1682" s="37" t="n">
        <v>0</v>
      </c>
      <c r="F1682" s="37" t="n">
        <v>0</v>
      </c>
      <c r="G1682" s="37" t="s">
        <v>195</v>
      </c>
      <c r="H1682" s="38" t="n">
        <v>198.717106223704</v>
      </c>
      <c r="I1682" s="38" t="n">
        <v>197.163809065514</v>
      </c>
      <c r="J1682" s="38" t="n">
        <v>190.989099468143</v>
      </c>
      <c r="K1682" s="38" t="n">
        <v>193.921356930268</v>
      </c>
      <c r="L1682" s="38" t="n">
        <v>24.9527604787277</v>
      </c>
      <c r="M1682" s="38" t="n">
        <v>93.5798432528568</v>
      </c>
      <c r="N1682" s="38" t="n">
        <v>68.1260462822965</v>
      </c>
      <c r="O1682" s="38" t="n">
        <v>49.2892567913879</v>
      </c>
      <c r="P1682" s="37" t="n">
        <v>0</v>
      </c>
      <c r="Q1682" s="38" t="n">
        <v>0.0472395212723029</v>
      </c>
      <c r="R1682" s="38" t="n">
        <v>68.4053057581185</v>
      </c>
      <c r="S1682" s="37" t="n">
        <v>0</v>
      </c>
    </row>
    <row r="1683" customFormat="false" ht="15" hidden="false" customHeight="false" outlineLevel="0" collapsed="false">
      <c r="A1683" s="37" t="n">
        <v>5</v>
      </c>
      <c r="B1683" s="37" t="n">
        <v>25</v>
      </c>
      <c r="C1683" s="37" t="n">
        <v>0</v>
      </c>
      <c r="D1683" s="37" t="n">
        <v>0</v>
      </c>
      <c r="E1683" s="37" t="n">
        <v>0</v>
      </c>
      <c r="F1683" s="37" t="n">
        <v>0</v>
      </c>
      <c r="G1683" s="37" t="s">
        <v>197</v>
      </c>
      <c r="H1683" s="38" t="n">
        <v>198.717106223704</v>
      </c>
      <c r="I1683" s="38" t="n">
        <v>197.165063028946</v>
      </c>
      <c r="J1683" s="38" t="n">
        <v>194.868309949727</v>
      </c>
      <c r="K1683" s="38" t="n">
        <v>202.656100385574</v>
      </c>
      <c r="L1683" s="38" t="n">
        <v>24.9742700456295</v>
      </c>
      <c r="M1683" s="38" t="n">
        <v>95.3832841560067</v>
      </c>
      <c r="N1683" s="38" t="n">
        <v>75.1428562794083</v>
      </c>
      <c r="O1683" s="38" t="n">
        <v>51.9966970241029</v>
      </c>
      <c r="P1683" s="37" t="n">
        <v>0</v>
      </c>
      <c r="Q1683" s="38" t="n">
        <v>0.0257299543705187</v>
      </c>
      <c r="R1683" s="38" t="n">
        <v>70.5</v>
      </c>
      <c r="S1683" s="37" t="n">
        <v>0</v>
      </c>
    </row>
    <row r="1684" customFormat="false" ht="15" hidden="false" customHeight="false" outlineLevel="0" collapsed="false">
      <c r="A1684" s="37" t="n">
        <v>5</v>
      </c>
      <c r="B1684" s="37" t="n">
        <v>25</v>
      </c>
      <c r="C1684" s="37" t="n">
        <v>0</v>
      </c>
      <c r="D1684" s="37" t="n">
        <v>0</v>
      </c>
      <c r="E1684" s="37" t="n">
        <v>0</v>
      </c>
      <c r="F1684" s="37" t="n">
        <v>0</v>
      </c>
      <c r="G1684" s="37" t="s">
        <v>196</v>
      </c>
      <c r="H1684" s="38" t="n">
        <v>198.717106223704</v>
      </c>
      <c r="I1684" s="38" t="n">
        <v>197.1714469499</v>
      </c>
      <c r="J1684" s="38" t="n">
        <v>196.01930344385</v>
      </c>
      <c r="K1684" s="38" t="n">
        <v>204.256603563771</v>
      </c>
      <c r="L1684" s="38" t="n">
        <v>24.9824087898933</v>
      </c>
      <c r="M1684" s="38" t="n">
        <v>98.2299570675586</v>
      </c>
      <c r="N1684" s="38" t="n">
        <v>84.6553434533116</v>
      </c>
      <c r="O1684" s="38" t="n">
        <v>56.6198899959547</v>
      </c>
      <c r="P1684" s="37" t="n">
        <v>0</v>
      </c>
      <c r="Q1684" s="38" t="n">
        <v>0.0175912101066764</v>
      </c>
      <c r="R1684" s="38" t="n">
        <v>69.5552744973527</v>
      </c>
      <c r="S1684" s="37" t="n">
        <v>0</v>
      </c>
    </row>
    <row r="1685" customFormat="false" ht="15" hidden="false" customHeight="false" outlineLevel="0" collapsed="false">
      <c r="A1685" s="37" t="n">
        <v>10</v>
      </c>
      <c r="B1685" s="37" t="n">
        <v>0</v>
      </c>
      <c r="C1685" s="37" t="n">
        <v>0</v>
      </c>
      <c r="D1685" s="37" t="n">
        <v>0</v>
      </c>
      <c r="E1685" s="37" t="n">
        <v>0</v>
      </c>
      <c r="F1685" s="37" t="n">
        <v>20</v>
      </c>
      <c r="G1685" s="37" t="s">
        <v>188</v>
      </c>
      <c r="H1685" s="38" t="n">
        <v>198.804527463207</v>
      </c>
      <c r="I1685" s="38" t="n">
        <v>197.589883410125</v>
      </c>
      <c r="J1685" s="38" t="n">
        <v>194.788775058902</v>
      </c>
      <c r="K1685" s="38" t="n">
        <v>232.219750121341</v>
      </c>
      <c r="L1685" s="38" t="n">
        <v>187.375788100874</v>
      </c>
      <c r="M1685" s="38" t="n">
        <v>99.6154740665137</v>
      </c>
      <c r="N1685" s="38" t="n">
        <v>99.4944027814325</v>
      </c>
      <c r="O1685" s="38" t="n">
        <v>62.9238779695182</v>
      </c>
      <c r="P1685" s="37" t="n">
        <v>0</v>
      </c>
      <c r="Q1685" s="38" t="n">
        <v>0</v>
      </c>
      <c r="R1685" s="38" t="n">
        <v>70.5</v>
      </c>
      <c r="S1685" s="37" t="n">
        <v>1</v>
      </c>
    </row>
    <row r="1686" customFormat="false" ht="15" hidden="false" customHeight="false" outlineLevel="0" collapsed="false">
      <c r="A1686" s="37" t="n">
        <v>10</v>
      </c>
      <c r="B1686" s="37" t="n">
        <v>0</v>
      </c>
      <c r="C1686" s="37" t="n">
        <v>0</v>
      </c>
      <c r="D1686" s="37" t="n">
        <v>0</v>
      </c>
      <c r="E1686" s="37" t="n">
        <v>0</v>
      </c>
      <c r="F1686" s="37" t="n">
        <v>20</v>
      </c>
      <c r="G1686" s="37" t="s">
        <v>192</v>
      </c>
      <c r="H1686" s="38" t="n">
        <v>198.804527463207</v>
      </c>
      <c r="I1686" s="38" t="n">
        <v>197.444530545328</v>
      </c>
      <c r="J1686" s="38" t="n">
        <v>193.290607435906</v>
      </c>
      <c r="K1686" s="38" t="n">
        <v>229.431372097634</v>
      </c>
      <c r="L1686" s="38" t="n">
        <v>187.619479998134</v>
      </c>
      <c r="M1686" s="38" t="n">
        <v>92.6120323393801</v>
      </c>
      <c r="N1686" s="38" t="n">
        <v>87.3810710228768</v>
      </c>
      <c r="O1686" s="38" t="n">
        <v>57.526989424901</v>
      </c>
      <c r="P1686" s="37" t="n">
        <v>0</v>
      </c>
      <c r="Q1686" s="38" t="n">
        <v>0</v>
      </c>
      <c r="R1686" s="38" t="n">
        <v>70.5</v>
      </c>
      <c r="S1686" s="37" t="n">
        <v>0</v>
      </c>
    </row>
    <row r="1687" customFormat="false" ht="15" hidden="false" customHeight="false" outlineLevel="0" collapsed="false">
      <c r="A1687" s="37" t="n">
        <v>10</v>
      </c>
      <c r="B1687" s="37" t="n">
        <v>0</v>
      </c>
      <c r="C1687" s="37" t="n">
        <v>0</v>
      </c>
      <c r="D1687" s="37" t="n">
        <v>0</v>
      </c>
      <c r="E1687" s="37" t="n">
        <v>0</v>
      </c>
      <c r="F1687" s="37" t="n">
        <v>20</v>
      </c>
      <c r="G1687" s="37" t="s">
        <v>195</v>
      </c>
      <c r="H1687" s="38" t="n">
        <v>198.804527463207</v>
      </c>
      <c r="I1687" s="38" t="n">
        <v>197.444158687161</v>
      </c>
      <c r="J1687" s="38" t="n">
        <v>188.876509367941</v>
      </c>
      <c r="K1687" s="38" t="n">
        <v>219.996799200711</v>
      </c>
      <c r="L1687" s="38" t="n">
        <v>180.966513486425</v>
      </c>
      <c r="M1687" s="38" t="n">
        <v>95.611068274454</v>
      </c>
      <c r="N1687" s="38" t="n">
        <v>82.2889411333442</v>
      </c>
      <c r="O1687" s="38" t="n">
        <v>56.0744329782402</v>
      </c>
      <c r="P1687" s="37" t="n">
        <v>0</v>
      </c>
      <c r="Q1687" s="38" t="n">
        <v>0</v>
      </c>
      <c r="R1687" s="38" t="n">
        <v>68.4659142857143</v>
      </c>
      <c r="S1687" s="37" t="n">
        <v>0</v>
      </c>
    </row>
    <row r="1688" customFormat="false" ht="15" hidden="false" customHeight="false" outlineLevel="0" collapsed="false">
      <c r="A1688" s="37" t="n">
        <v>10</v>
      </c>
      <c r="B1688" s="37" t="n">
        <v>0</v>
      </c>
      <c r="C1688" s="37" t="n">
        <v>0</v>
      </c>
      <c r="D1688" s="37" t="n">
        <v>0</v>
      </c>
      <c r="E1688" s="37" t="n">
        <v>0</v>
      </c>
      <c r="F1688" s="37" t="n">
        <v>20</v>
      </c>
      <c r="G1688" s="37" t="s">
        <v>197</v>
      </c>
      <c r="H1688" s="38" t="n">
        <v>198.804527463207</v>
      </c>
      <c r="I1688" s="38" t="n">
        <v>197.444645739354</v>
      </c>
      <c r="J1688" s="38" t="n">
        <v>192.539645446301</v>
      </c>
      <c r="K1688" s="38" t="n">
        <v>228.459947507337</v>
      </c>
      <c r="L1688" s="38" t="n">
        <v>185.745211496305</v>
      </c>
      <c r="M1688" s="38" t="n">
        <v>97.4123388473091</v>
      </c>
      <c r="N1688" s="38" t="n">
        <v>89.2145488172063</v>
      </c>
      <c r="O1688" s="38" t="n">
        <v>58.6290044368193</v>
      </c>
      <c r="P1688" s="37" t="n">
        <v>0</v>
      </c>
      <c r="Q1688" s="38" t="n">
        <v>0</v>
      </c>
      <c r="R1688" s="38" t="n">
        <v>70.5</v>
      </c>
      <c r="S1688" s="37" t="n">
        <v>0</v>
      </c>
    </row>
    <row r="1689" customFormat="false" ht="15" hidden="false" customHeight="false" outlineLevel="0" collapsed="false">
      <c r="A1689" s="37" t="n">
        <v>10</v>
      </c>
      <c r="B1689" s="37" t="n">
        <v>0</v>
      </c>
      <c r="C1689" s="37" t="n">
        <v>0</v>
      </c>
      <c r="D1689" s="37" t="n">
        <v>0</v>
      </c>
      <c r="E1689" s="37" t="n">
        <v>0</v>
      </c>
      <c r="F1689" s="37" t="n">
        <v>20</v>
      </c>
      <c r="G1689" s="37" t="s">
        <v>196</v>
      </c>
      <c r="H1689" s="38" t="n">
        <v>198.804527463207</v>
      </c>
      <c r="I1689" s="38" t="n">
        <v>197.446594009661</v>
      </c>
      <c r="J1689" s="38" t="n">
        <v>193.552022496491</v>
      </c>
      <c r="K1689" s="38" t="n">
        <v>229.897250930375</v>
      </c>
      <c r="L1689" s="38" t="n">
        <v>193.858600136724</v>
      </c>
      <c r="M1689" s="38" t="n">
        <v>98.3807962248825</v>
      </c>
      <c r="N1689" s="38" t="n">
        <v>95.1221767292256</v>
      </c>
      <c r="O1689" s="38" t="n">
        <v>60.8968156628721</v>
      </c>
      <c r="P1689" s="37" t="n">
        <v>0</v>
      </c>
      <c r="Q1689" s="38" t="n">
        <v>0</v>
      </c>
      <c r="R1689" s="38" t="n">
        <v>69.6040571428571</v>
      </c>
      <c r="S1689" s="37" t="n">
        <v>0</v>
      </c>
    </row>
    <row r="1690" customFormat="false" ht="15" hidden="false" customHeight="false" outlineLevel="0" collapsed="false">
      <c r="A1690" s="37" t="n">
        <v>10</v>
      </c>
      <c r="B1690" s="37" t="n">
        <v>0</v>
      </c>
      <c r="C1690" s="37" t="n">
        <v>0</v>
      </c>
      <c r="D1690" s="37" t="n">
        <v>0</v>
      </c>
      <c r="E1690" s="37" t="n">
        <v>5</v>
      </c>
      <c r="F1690" s="37" t="n">
        <v>15</v>
      </c>
      <c r="G1690" s="37" t="s">
        <v>188</v>
      </c>
      <c r="H1690" s="38" t="n">
        <v>198.838523615349</v>
      </c>
      <c r="I1690" s="38" t="n">
        <v>197.890155833809</v>
      </c>
      <c r="J1690" s="38" t="n">
        <v>198.451988188569</v>
      </c>
      <c r="K1690" s="38" t="n">
        <v>238.282532168798</v>
      </c>
      <c r="L1690" s="38" t="n">
        <v>153.701947124929</v>
      </c>
      <c r="M1690" s="38" t="n">
        <v>101.034788080726</v>
      </c>
      <c r="N1690" s="38" t="n">
        <v>108.163338365537</v>
      </c>
      <c r="O1690" s="38" t="n">
        <v>64.2942719026364</v>
      </c>
      <c r="P1690" s="37" t="n">
        <v>0</v>
      </c>
      <c r="Q1690" s="38" t="n">
        <v>0</v>
      </c>
      <c r="R1690" s="38" t="n">
        <v>70.5</v>
      </c>
      <c r="S1690" s="37" t="n">
        <v>1</v>
      </c>
    </row>
    <row r="1691" customFormat="false" ht="15" hidden="false" customHeight="false" outlineLevel="0" collapsed="false">
      <c r="A1691" s="37" t="n">
        <v>10</v>
      </c>
      <c r="B1691" s="37" t="n">
        <v>0</v>
      </c>
      <c r="C1691" s="37" t="n">
        <v>0</v>
      </c>
      <c r="D1691" s="37" t="n">
        <v>0</v>
      </c>
      <c r="E1691" s="37" t="n">
        <v>5</v>
      </c>
      <c r="F1691" s="37" t="n">
        <v>15</v>
      </c>
      <c r="G1691" s="37" t="s">
        <v>192</v>
      </c>
      <c r="H1691" s="38" t="n">
        <v>198.838523615349</v>
      </c>
      <c r="I1691" s="38" t="n">
        <v>197.744496648084</v>
      </c>
      <c r="J1691" s="38" t="n">
        <v>196.477048786612</v>
      </c>
      <c r="K1691" s="38" t="n">
        <v>235.029591214996</v>
      </c>
      <c r="L1691" s="38" t="n">
        <v>153.214751655909</v>
      </c>
      <c r="M1691" s="38" t="n">
        <v>94.0416678704109</v>
      </c>
      <c r="N1691" s="38" t="n">
        <v>95.1417164393463</v>
      </c>
      <c r="O1691" s="38" t="n">
        <v>58.8894407698838</v>
      </c>
      <c r="P1691" s="37" t="n">
        <v>0</v>
      </c>
      <c r="Q1691" s="38" t="n">
        <v>0</v>
      </c>
      <c r="R1691" s="38" t="n">
        <v>70.5</v>
      </c>
      <c r="S1691" s="37" t="n">
        <v>0</v>
      </c>
    </row>
    <row r="1692" customFormat="false" ht="15" hidden="false" customHeight="false" outlineLevel="0" collapsed="false">
      <c r="A1692" s="37" t="n">
        <v>10</v>
      </c>
      <c r="B1692" s="37" t="n">
        <v>0</v>
      </c>
      <c r="C1692" s="37" t="n">
        <v>0</v>
      </c>
      <c r="D1692" s="37" t="n">
        <v>0</v>
      </c>
      <c r="E1692" s="37" t="n">
        <v>5</v>
      </c>
      <c r="F1692" s="37" t="n">
        <v>15</v>
      </c>
      <c r="G1692" s="37" t="s">
        <v>195</v>
      </c>
      <c r="H1692" s="38" t="n">
        <v>198.838523615349</v>
      </c>
      <c r="I1692" s="38" t="n">
        <v>197.744243511543</v>
      </c>
      <c r="J1692" s="38" t="n">
        <v>191.835351482381</v>
      </c>
      <c r="K1692" s="38" t="n">
        <v>225.383358294678</v>
      </c>
      <c r="L1692" s="38" t="n">
        <v>146.331379033384</v>
      </c>
      <c r="M1692" s="38" t="n">
        <v>97.0407494310641</v>
      </c>
      <c r="N1692" s="38" t="n">
        <v>89.8206751868494</v>
      </c>
      <c r="O1692" s="38" t="n">
        <v>57.4749653020191</v>
      </c>
      <c r="P1692" s="37" t="n">
        <v>0</v>
      </c>
      <c r="Q1692" s="38" t="n">
        <v>0</v>
      </c>
      <c r="R1692" s="38" t="n">
        <v>68.4594062216119</v>
      </c>
      <c r="S1692" s="37" t="n">
        <v>0</v>
      </c>
    </row>
    <row r="1693" customFormat="false" ht="15" hidden="false" customHeight="false" outlineLevel="0" collapsed="false">
      <c r="A1693" s="37" t="n">
        <v>10</v>
      </c>
      <c r="B1693" s="37" t="n">
        <v>0</v>
      </c>
      <c r="C1693" s="37" t="n">
        <v>0</v>
      </c>
      <c r="D1693" s="37" t="n">
        <v>0</v>
      </c>
      <c r="E1693" s="37" t="n">
        <v>5</v>
      </c>
      <c r="F1693" s="37" t="n">
        <v>15</v>
      </c>
      <c r="G1693" s="37" t="s">
        <v>197</v>
      </c>
      <c r="H1693" s="38" t="n">
        <v>198.838523615349</v>
      </c>
      <c r="I1693" s="38" t="n">
        <v>197.754335164371</v>
      </c>
      <c r="J1693" s="38" t="n">
        <v>196.339748849758</v>
      </c>
      <c r="K1693" s="38" t="n">
        <v>235.033156566258</v>
      </c>
      <c r="L1693" s="38" t="n">
        <v>152.890589327235</v>
      </c>
      <c r="M1693" s="38" t="n">
        <v>102.237414867605</v>
      </c>
      <c r="N1693" s="38" t="n">
        <v>106.635113156316</v>
      </c>
      <c r="O1693" s="38" t="n">
        <v>64.1814635202632</v>
      </c>
      <c r="P1693" s="37" t="n">
        <v>0</v>
      </c>
      <c r="Q1693" s="38" t="n">
        <v>0</v>
      </c>
      <c r="R1693" s="38" t="n">
        <v>70.5</v>
      </c>
      <c r="S1693" s="37" t="n">
        <v>0</v>
      </c>
    </row>
    <row r="1694" customFormat="false" ht="15" hidden="false" customHeight="false" outlineLevel="0" collapsed="false">
      <c r="A1694" s="37" t="n">
        <v>10</v>
      </c>
      <c r="B1694" s="37" t="n">
        <v>0</v>
      </c>
      <c r="C1694" s="37" t="n">
        <v>0</v>
      </c>
      <c r="D1694" s="37" t="n">
        <v>0</v>
      </c>
      <c r="E1694" s="37" t="n">
        <v>5</v>
      </c>
      <c r="F1694" s="37" t="n">
        <v>15</v>
      </c>
      <c r="G1694" s="37" t="s">
        <v>196</v>
      </c>
      <c r="H1694" s="38" t="n">
        <v>198.838523615349</v>
      </c>
      <c r="I1694" s="38" t="n">
        <v>197.747947885275</v>
      </c>
      <c r="J1694" s="38" t="n">
        <v>196.540155410263</v>
      </c>
      <c r="K1694" s="38" t="n">
        <v>235.305947861473</v>
      </c>
      <c r="L1694" s="38" t="n">
        <v>159.267297067822</v>
      </c>
      <c r="M1694" s="38" t="n">
        <v>100.482444023927</v>
      </c>
      <c r="N1694" s="38" t="n">
        <v>104.187258220467</v>
      </c>
      <c r="O1694" s="38" t="n">
        <v>63.6800369609466</v>
      </c>
      <c r="P1694" s="37" t="n">
        <v>0</v>
      </c>
      <c r="Q1694" s="38" t="n">
        <v>0</v>
      </c>
      <c r="R1694" s="38" t="n">
        <v>69.6040571428571</v>
      </c>
      <c r="S1694" s="37" t="n">
        <v>0</v>
      </c>
    </row>
    <row r="1695" customFormat="false" ht="15" hidden="false" customHeight="false" outlineLevel="0" collapsed="false">
      <c r="A1695" s="37" t="n">
        <v>10</v>
      </c>
      <c r="B1695" s="37" t="n">
        <v>0</v>
      </c>
      <c r="C1695" s="37" t="n">
        <v>0</v>
      </c>
      <c r="D1695" s="37" t="n">
        <v>0</v>
      </c>
      <c r="E1695" s="37" t="n">
        <v>10</v>
      </c>
      <c r="F1695" s="37" t="n">
        <v>10</v>
      </c>
      <c r="G1695" s="37" t="s">
        <v>188</v>
      </c>
      <c r="H1695" s="38" t="n">
        <v>198.86541629669</v>
      </c>
      <c r="I1695" s="38" t="n">
        <v>198.181151827684</v>
      </c>
      <c r="J1695" s="38" t="n">
        <v>201.470482990126</v>
      </c>
      <c r="K1695" s="38" t="n">
        <v>243.404529931195</v>
      </c>
      <c r="L1695" s="38" t="n">
        <v>119.065810941368</v>
      </c>
      <c r="M1695" s="38" t="n">
        <v>102.310805696139</v>
      </c>
      <c r="N1695" s="38" t="n">
        <v>115.24123004405</v>
      </c>
      <c r="O1695" s="38" t="n">
        <v>64.4549234952923</v>
      </c>
      <c r="P1695" s="37" t="n">
        <v>0</v>
      </c>
      <c r="Q1695" s="38" t="n">
        <v>0</v>
      </c>
      <c r="R1695" s="38" t="n">
        <v>70.5</v>
      </c>
      <c r="S1695" s="37" t="n">
        <v>0</v>
      </c>
    </row>
    <row r="1696" customFormat="false" ht="15" hidden="false" customHeight="false" outlineLevel="0" collapsed="false">
      <c r="A1696" s="37" t="n">
        <v>10</v>
      </c>
      <c r="B1696" s="37" t="n">
        <v>0</v>
      </c>
      <c r="C1696" s="37" t="n">
        <v>0</v>
      </c>
      <c r="D1696" s="37" t="n">
        <v>0</v>
      </c>
      <c r="E1696" s="37" t="n">
        <v>10</v>
      </c>
      <c r="F1696" s="37" t="n">
        <v>10</v>
      </c>
      <c r="G1696" s="37" t="s">
        <v>192</v>
      </c>
      <c r="H1696" s="38" t="n">
        <v>198.86541629669</v>
      </c>
      <c r="I1696" s="38" t="n">
        <v>198.03479031347</v>
      </c>
      <c r="J1696" s="38" t="n">
        <v>198.896412506868</v>
      </c>
      <c r="K1696" s="38" t="n">
        <v>239.565053664461</v>
      </c>
      <c r="L1696" s="38" t="n">
        <v>117.747260612759</v>
      </c>
      <c r="M1696" s="38" t="n">
        <v>95.3493799071202</v>
      </c>
      <c r="N1696" s="38" t="n">
        <v>101.039454557434</v>
      </c>
      <c r="O1696" s="38" t="n">
        <v>58.9655198160573</v>
      </c>
      <c r="P1696" s="37" t="n">
        <v>0</v>
      </c>
      <c r="Q1696" s="38" t="n">
        <v>0</v>
      </c>
      <c r="R1696" s="38" t="n">
        <v>70.5</v>
      </c>
      <c r="S1696" s="37" t="n">
        <v>0</v>
      </c>
    </row>
    <row r="1697" customFormat="false" ht="15" hidden="false" customHeight="false" outlineLevel="0" collapsed="false">
      <c r="A1697" s="37" t="n">
        <v>10</v>
      </c>
      <c r="B1697" s="37" t="n">
        <v>0</v>
      </c>
      <c r="C1697" s="37" t="n">
        <v>0</v>
      </c>
      <c r="D1697" s="37" t="n">
        <v>0</v>
      </c>
      <c r="E1697" s="37" t="n">
        <v>10</v>
      </c>
      <c r="F1697" s="37" t="n">
        <v>10</v>
      </c>
      <c r="G1697" s="37" t="s">
        <v>195</v>
      </c>
      <c r="H1697" s="38" t="n">
        <v>198.86541629669</v>
      </c>
      <c r="I1697" s="38" t="n">
        <v>198.035660210014</v>
      </c>
      <c r="J1697" s="38" t="n">
        <v>194.276165947953</v>
      </c>
      <c r="K1697" s="38" t="n">
        <v>229.942952481115</v>
      </c>
      <c r="L1697" s="38" t="n">
        <v>110.838665159139</v>
      </c>
      <c r="M1697" s="38" t="n">
        <v>98.3511436415558</v>
      </c>
      <c r="N1697" s="38" t="n">
        <v>95.9607317241166</v>
      </c>
      <c r="O1697" s="38" t="n">
        <v>57.6153351729643</v>
      </c>
      <c r="P1697" s="37" t="n">
        <v>0</v>
      </c>
      <c r="Q1697" s="38" t="n">
        <v>0</v>
      </c>
      <c r="R1697" s="38" t="n">
        <v>68.4437138034074</v>
      </c>
      <c r="S1697" s="37" t="n">
        <v>0</v>
      </c>
    </row>
    <row r="1698" customFormat="false" ht="15" hidden="false" customHeight="false" outlineLevel="0" collapsed="false">
      <c r="A1698" s="37" t="n">
        <v>10</v>
      </c>
      <c r="B1698" s="37" t="n">
        <v>0</v>
      </c>
      <c r="C1698" s="37" t="n">
        <v>0</v>
      </c>
      <c r="D1698" s="37" t="n">
        <v>0</v>
      </c>
      <c r="E1698" s="37" t="n">
        <v>10</v>
      </c>
      <c r="F1698" s="37" t="n">
        <v>10</v>
      </c>
      <c r="G1698" s="37" t="s">
        <v>197</v>
      </c>
      <c r="H1698" s="38" t="n">
        <v>198.86541629669</v>
      </c>
      <c r="I1698" s="38" t="n">
        <v>198.066890404691</v>
      </c>
      <c r="J1698" s="38" t="n">
        <v>199.75529657987</v>
      </c>
      <c r="K1698" s="38" t="n">
        <v>241.04356492319</v>
      </c>
      <c r="L1698" s="38" t="n">
        <v>119.62871898965</v>
      </c>
      <c r="M1698" s="38" t="n">
        <v>106.277380148438</v>
      </c>
      <c r="N1698" s="38" t="n">
        <v>121.103281260175</v>
      </c>
      <c r="O1698" s="38" t="n">
        <v>65.9148000412202</v>
      </c>
      <c r="P1698" s="37" t="n">
        <v>0</v>
      </c>
      <c r="Q1698" s="38" t="n">
        <v>0</v>
      </c>
      <c r="R1698" s="38" t="n">
        <v>70.5</v>
      </c>
      <c r="S1698" s="37" t="n">
        <v>1</v>
      </c>
    </row>
    <row r="1699" customFormat="false" ht="15" hidden="false" customHeight="false" outlineLevel="0" collapsed="false">
      <c r="A1699" s="37" t="n">
        <v>10</v>
      </c>
      <c r="B1699" s="37" t="n">
        <v>0</v>
      </c>
      <c r="C1699" s="37" t="n">
        <v>0</v>
      </c>
      <c r="D1699" s="37" t="n">
        <v>0</v>
      </c>
      <c r="E1699" s="37" t="n">
        <v>10</v>
      </c>
      <c r="F1699" s="37" t="n">
        <v>10</v>
      </c>
      <c r="G1699" s="37" t="s">
        <v>196</v>
      </c>
      <c r="H1699" s="38" t="n">
        <v>198.86541629669</v>
      </c>
      <c r="I1699" s="38" t="n">
        <v>198.041981198912</v>
      </c>
      <c r="J1699" s="38" t="n">
        <v>199.00108367721</v>
      </c>
      <c r="K1699" s="38" t="n">
        <v>239.930921977398</v>
      </c>
      <c r="L1699" s="38" t="n">
        <v>123.892271183748</v>
      </c>
      <c r="M1699" s="38" t="n">
        <v>102.315830056322</v>
      </c>
      <c r="N1699" s="38" t="n">
        <v>111.519293827865</v>
      </c>
      <c r="O1699" s="38" t="n">
        <v>64.4915069492739</v>
      </c>
      <c r="P1699" s="37" t="n">
        <v>0</v>
      </c>
      <c r="Q1699" s="38" t="n">
        <v>0</v>
      </c>
      <c r="R1699" s="38" t="n">
        <v>69.6040571428571</v>
      </c>
      <c r="S1699" s="37" t="n">
        <v>0</v>
      </c>
    </row>
    <row r="1700" customFormat="false" ht="15" hidden="false" customHeight="false" outlineLevel="0" collapsed="false">
      <c r="A1700" s="37" t="n">
        <v>10</v>
      </c>
      <c r="B1700" s="37" t="n">
        <v>0</v>
      </c>
      <c r="C1700" s="37" t="n">
        <v>0</v>
      </c>
      <c r="D1700" s="37" t="n">
        <v>0</v>
      </c>
      <c r="E1700" s="37" t="n">
        <v>15</v>
      </c>
      <c r="F1700" s="37" t="n">
        <v>5</v>
      </c>
      <c r="G1700" s="37" t="s">
        <v>188</v>
      </c>
      <c r="H1700" s="38" t="n">
        <v>198.88602353516</v>
      </c>
      <c r="I1700" s="38" t="n">
        <v>198.374863381864</v>
      </c>
      <c r="J1700" s="38" t="n">
        <v>203.124137299774</v>
      </c>
      <c r="K1700" s="38" t="n">
        <v>246.433229723541</v>
      </c>
      <c r="L1700" s="38" t="n">
        <v>82.3022104624872</v>
      </c>
      <c r="M1700" s="38" t="n">
        <v>103.22038516001</v>
      </c>
      <c r="N1700" s="38" t="n">
        <v>119.339982618129</v>
      </c>
      <c r="O1700" s="38" t="n">
        <v>64.0363165362308</v>
      </c>
      <c r="P1700" s="37" t="n">
        <v>0</v>
      </c>
      <c r="Q1700" s="38" t="n">
        <v>0</v>
      </c>
      <c r="R1700" s="38" t="n">
        <v>70.5</v>
      </c>
      <c r="S1700" s="37" t="n">
        <v>0</v>
      </c>
    </row>
    <row r="1701" customFormat="false" ht="15" hidden="false" customHeight="false" outlineLevel="0" collapsed="false">
      <c r="A1701" s="37" t="n">
        <v>10</v>
      </c>
      <c r="B1701" s="37" t="n">
        <v>0</v>
      </c>
      <c r="C1701" s="37" t="n">
        <v>0</v>
      </c>
      <c r="D1701" s="37" t="n">
        <v>0</v>
      </c>
      <c r="E1701" s="37" t="n">
        <v>15</v>
      </c>
      <c r="F1701" s="37" t="n">
        <v>5</v>
      </c>
      <c r="G1701" s="37" t="s">
        <v>192</v>
      </c>
      <c r="H1701" s="38" t="n">
        <v>198.88602353516</v>
      </c>
      <c r="I1701" s="38" t="n">
        <v>198.232103557762</v>
      </c>
      <c r="J1701" s="38" t="n">
        <v>200.556606634739</v>
      </c>
      <c r="K1701" s="38" t="n">
        <v>242.675953576285</v>
      </c>
      <c r="L1701" s="38" t="n">
        <v>80.8554439224838</v>
      </c>
      <c r="M1701" s="38" t="n">
        <v>96.3263223192506</v>
      </c>
      <c r="N1701" s="38" t="n">
        <v>105.125744017752</v>
      </c>
      <c r="O1701" s="38" t="n">
        <v>58.6368548152288</v>
      </c>
      <c r="P1701" s="37" t="n">
        <v>0</v>
      </c>
      <c r="Q1701" s="38" t="n">
        <v>0</v>
      </c>
      <c r="R1701" s="38" t="n">
        <v>70.5</v>
      </c>
      <c r="S1701" s="37" t="n">
        <v>0</v>
      </c>
    </row>
    <row r="1702" customFormat="false" ht="15" hidden="false" customHeight="false" outlineLevel="0" collapsed="false">
      <c r="A1702" s="37" t="n">
        <v>10</v>
      </c>
      <c r="B1702" s="37" t="n">
        <v>0</v>
      </c>
      <c r="C1702" s="37" t="n">
        <v>0</v>
      </c>
      <c r="D1702" s="37" t="n">
        <v>0</v>
      </c>
      <c r="E1702" s="37" t="n">
        <v>15</v>
      </c>
      <c r="F1702" s="37" t="n">
        <v>5</v>
      </c>
      <c r="G1702" s="37" t="s">
        <v>195</v>
      </c>
      <c r="H1702" s="38" t="n">
        <v>198.88602353516</v>
      </c>
      <c r="I1702" s="38" t="n">
        <v>198.234635754957</v>
      </c>
      <c r="J1702" s="38" t="n">
        <v>196.008571651677</v>
      </c>
      <c r="K1702" s="38" t="n">
        <v>233.148619237905</v>
      </c>
      <c r="L1702" s="38" t="n">
        <v>73.998777861645</v>
      </c>
      <c r="M1702" s="38" t="n">
        <v>99.3322007631191</v>
      </c>
      <c r="N1702" s="38" t="n">
        <v>100.287844313588</v>
      </c>
      <c r="O1702" s="38" t="n">
        <v>57.4276001086474</v>
      </c>
      <c r="P1702" s="37" t="n">
        <v>0</v>
      </c>
      <c r="Q1702" s="38" t="n">
        <v>0</v>
      </c>
      <c r="R1702" s="38" t="n">
        <v>68.4300475871219</v>
      </c>
      <c r="S1702" s="37" t="n">
        <v>0</v>
      </c>
    </row>
    <row r="1703" customFormat="false" ht="15" hidden="false" customHeight="false" outlineLevel="0" collapsed="false">
      <c r="A1703" s="37" t="n">
        <v>10</v>
      </c>
      <c r="B1703" s="37" t="n">
        <v>0</v>
      </c>
      <c r="C1703" s="37" t="n">
        <v>0</v>
      </c>
      <c r="D1703" s="37" t="n">
        <v>0</v>
      </c>
      <c r="E1703" s="37" t="n">
        <v>15</v>
      </c>
      <c r="F1703" s="37" t="n">
        <v>5</v>
      </c>
      <c r="G1703" s="37" t="s">
        <v>197</v>
      </c>
      <c r="H1703" s="38" t="n">
        <v>198.88602353516</v>
      </c>
      <c r="I1703" s="38" t="n">
        <v>198.28188921496</v>
      </c>
      <c r="J1703" s="38" t="n">
        <v>202.152820986918</v>
      </c>
      <c r="K1703" s="38" t="n">
        <v>245.238119476917</v>
      </c>
      <c r="L1703" s="38" t="n">
        <v>84.3016241900106</v>
      </c>
      <c r="M1703" s="38" t="n">
        <v>108.889453735032</v>
      </c>
      <c r="N1703" s="38" t="n">
        <v>127.283118876378</v>
      </c>
      <c r="O1703" s="38" t="n">
        <v>66.048445977879</v>
      </c>
      <c r="P1703" s="37" t="n">
        <v>0</v>
      </c>
      <c r="Q1703" s="38" t="n">
        <v>0</v>
      </c>
      <c r="R1703" s="38" t="n">
        <v>70.5</v>
      </c>
      <c r="S1703" s="37" t="n">
        <v>1</v>
      </c>
    </row>
    <row r="1704" customFormat="false" ht="15" hidden="false" customHeight="false" outlineLevel="0" collapsed="false">
      <c r="A1704" s="37" t="n">
        <v>10</v>
      </c>
      <c r="B1704" s="37" t="n">
        <v>0</v>
      </c>
      <c r="C1704" s="37" t="n">
        <v>0</v>
      </c>
      <c r="D1704" s="37" t="n">
        <v>0</v>
      </c>
      <c r="E1704" s="37" t="n">
        <v>15</v>
      </c>
      <c r="F1704" s="37" t="n">
        <v>5</v>
      </c>
      <c r="G1704" s="37" t="s">
        <v>196</v>
      </c>
      <c r="H1704" s="38" t="n">
        <v>198.88602353516</v>
      </c>
      <c r="I1704" s="38" t="n">
        <v>198.241761557995</v>
      </c>
      <c r="J1704" s="38" t="n">
        <v>200.685060036547</v>
      </c>
      <c r="K1704" s="38" t="n">
        <v>243.101334198313</v>
      </c>
      <c r="L1704" s="38" t="n">
        <v>87.022422753719</v>
      </c>
      <c r="M1704" s="38" t="n">
        <v>103.590491144021</v>
      </c>
      <c r="N1704" s="38" t="n">
        <v>115.712082612363</v>
      </c>
      <c r="O1704" s="38" t="n">
        <v>64.0638391554967</v>
      </c>
      <c r="P1704" s="37" t="n">
        <v>0</v>
      </c>
      <c r="Q1704" s="38" t="n">
        <v>0</v>
      </c>
      <c r="R1704" s="38" t="n">
        <v>69.5943945866308</v>
      </c>
      <c r="S1704" s="37" t="n">
        <v>0</v>
      </c>
    </row>
    <row r="1705" customFormat="false" ht="15" hidden="false" customHeight="false" outlineLevel="0" collapsed="false">
      <c r="A1705" s="37" t="n">
        <v>10</v>
      </c>
      <c r="B1705" s="37" t="n">
        <v>0</v>
      </c>
      <c r="C1705" s="37" t="n">
        <v>0</v>
      </c>
      <c r="D1705" s="37" t="n">
        <v>0</v>
      </c>
      <c r="E1705" s="37" t="n">
        <v>20</v>
      </c>
      <c r="F1705" s="37" t="n">
        <v>0</v>
      </c>
      <c r="G1705" s="37" t="s">
        <v>188</v>
      </c>
      <c r="H1705" s="38" t="n">
        <v>198.905570800589</v>
      </c>
      <c r="I1705" s="38" t="n">
        <v>198.554673449774</v>
      </c>
      <c r="J1705" s="38" t="n">
        <v>204.398304258533</v>
      </c>
      <c r="K1705" s="38" t="n">
        <v>248.942808305519</v>
      </c>
      <c r="L1705" s="38" t="n">
        <v>45.0068089763463</v>
      </c>
      <c r="M1705" s="38" t="n">
        <v>104.081241779203</v>
      </c>
      <c r="N1705" s="38" t="n">
        <v>122.521757013281</v>
      </c>
      <c r="O1705" s="38" t="n">
        <v>63.4832382769671</v>
      </c>
      <c r="P1705" s="37" t="n">
        <v>0</v>
      </c>
      <c r="Q1705" s="38" t="n">
        <v>0</v>
      </c>
      <c r="R1705" s="38" t="n">
        <v>70.5</v>
      </c>
      <c r="S1705" s="37" t="n">
        <v>0</v>
      </c>
    </row>
    <row r="1706" customFormat="false" ht="15" hidden="false" customHeight="false" outlineLevel="0" collapsed="false">
      <c r="A1706" s="37" t="n">
        <v>10</v>
      </c>
      <c r="B1706" s="37" t="n">
        <v>0</v>
      </c>
      <c r="C1706" s="37" t="n">
        <v>0</v>
      </c>
      <c r="D1706" s="37" t="n">
        <v>0</v>
      </c>
      <c r="E1706" s="37" t="n">
        <v>20</v>
      </c>
      <c r="F1706" s="37" t="n">
        <v>0</v>
      </c>
      <c r="G1706" s="37" t="s">
        <v>192</v>
      </c>
      <c r="H1706" s="38" t="n">
        <v>198.905570800589</v>
      </c>
      <c r="I1706" s="38" t="n">
        <v>198.416220541529</v>
      </c>
      <c r="J1706" s="38" t="n">
        <v>201.991216301158</v>
      </c>
      <c r="K1706" s="38" t="n">
        <v>245.429501148071</v>
      </c>
      <c r="L1706" s="38" t="n">
        <v>43.6063823058351</v>
      </c>
      <c r="M1706" s="38" t="n">
        <v>97.2586931172519</v>
      </c>
      <c r="N1706" s="38" t="n">
        <v>108.627177848687</v>
      </c>
      <c r="O1706" s="38" t="n">
        <v>58.2162935088116</v>
      </c>
      <c r="P1706" s="37" t="n">
        <v>0</v>
      </c>
      <c r="Q1706" s="38" t="n">
        <v>0</v>
      </c>
      <c r="R1706" s="38" t="n">
        <v>70.5</v>
      </c>
      <c r="S1706" s="37" t="n">
        <v>0</v>
      </c>
    </row>
    <row r="1707" customFormat="false" ht="15" hidden="false" customHeight="false" outlineLevel="0" collapsed="false">
      <c r="A1707" s="37" t="n">
        <v>10</v>
      </c>
      <c r="B1707" s="37" t="n">
        <v>0</v>
      </c>
      <c r="C1707" s="37" t="n">
        <v>0</v>
      </c>
      <c r="D1707" s="37" t="n">
        <v>0</v>
      </c>
      <c r="E1707" s="37" t="n">
        <v>20</v>
      </c>
      <c r="F1707" s="37" t="n">
        <v>0</v>
      </c>
      <c r="G1707" s="37" t="s">
        <v>195</v>
      </c>
      <c r="H1707" s="38" t="n">
        <v>198.905570800589</v>
      </c>
      <c r="I1707" s="38" t="n">
        <v>198.42089315206</v>
      </c>
      <c r="J1707" s="38" t="n">
        <v>197.510822595669</v>
      </c>
      <c r="K1707" s="38" t="n">
        <v>235.992956848154</v>
      </c>
      <c r="L1707" s="38" t="n">
        <v>36.7974895846716</v>
      </c>
      <c r="M1707" s="38" t="n">
        <v>100.269943305229</v>
      </c>
      <c r="N1707" s="38" t="n">
        <v>101.157973413247</v>
      </c>
      <c r="O1707" s="38" t="n">
        <v>57.1341961252636</v>
      </c>
      <c r="P1707" s="37" t="n">
        <v>0</v>
      </c>
      <c r="Q1707" s="38" t="n">
        <v>0</v>
      </c>
      <c r="R1707" s="38" t="n">
        <v>68.4163598209552</v>
      </c>
      <c r="S1707" s="37" t="n">
        <v>0</v>
      </c>
    </row>
    <row r="1708" customFormat="false" ht="15" hidden="false" customHeight="false" outlineLevel="0" collapsed="false">
      <c r="A1708" s="37" t="n">
        <v>10</v>
      </c>
      <c r="B1708" s="37" t="n">
        <v>0</v>
      </c>
      <c r="C1708" s="37" t="n">
        <v>0</v>
      </c>
      <c r="D1708" s="37" t="n">
        <v>0</v>
      </c>
      <c r="E1708" s="37" t="n">
        <v>20</v>
      </c>
      <c r="F1708" s="37" t="n">
        <v>0</v>
      </c>
      <c r="G1708" s="37" t="s">
        <v>197</v>
      </c>
      <c r="H1708" s="38" t="n">
        <v>198.905570800589</v>
      </c>
      <c r="I1708" s="38" t="n">
        <v>198.486095210697</v>
      </c>
      <c r="J1708" s="38" t="n">
        <v>204.264664479653</v>
      </c>
      <c r="K1708" s="38" t="n">
        <v>249.041216436557</v>
      </c>
      <c r="L1708" s="38" t="n">
        <v>53.2893339306814</v>
      </c>
      <c r="M1708" s="38" t="n">
        <v>111.422377265927</v>
      </c>
      <c r="N1708" s="38" t="n">
        <v>132.402619516606</v>
      </c>
      <c r="O1708" s="38" t="n">
        <v>66.1591731621278</v>
      </c>
      <c r="P1708" s="37" t="n">
        <v>0</v>
      </c>
      <c r="Q1708" s="38" t="n">
        <v>0</v>
      </c>
      <c r="R1708" s="38" t="n">
        <v>70.5</v>
      </c>
      <c r="S1708" s="37" t="n">
        <v>1</v>
      </c>
    </row>
    <row r="1709" customFormat="false" ht="15" hidden="false" customHeight="false" outlineLevel="0" collapsed="false">
      <c r="A1709" s="37" t="n">
        <v>10</v>
      </c>
      <c r="B1709" s="37" t="n">
        <v>0</v>
      </c>
      <c r="C1709" s="37" t="n">
        <v>0</v>
      </c>
      <c r="D1709" s="37" t="n">
        <v>0</v>
      </c>
      <c r="E1709" s="37" t="n">
        <v>20</v>
      </c>
      <c r="F1709" s="37" t="n">
        <v>0</v>
      </c>
      <c r="G1709" s="37" t="s">
        <v>196</v>
      </c>
      <c r="H1709" s="38" t="n">
        <v>198.905570800589</v>
      </c>
      <c r="I1709" s="38" t="n">
        <v>198.426059937861</v>
      </c>
      <c r="J1709" s="38" t="n">
        <v>202.14971141158</v>
      </c>
      <c r="K1709" s="38" t="n">
        <v>245.928428340955</v>
      </c>
      <c r="L1709" s="38" t="n">
        <v>49.7697025217925</v>
      </c>
      <c r="M1709" s="38" t="n">
        <v>104.798909820592</v>
      </c>
      <c r="N1709" s="38" t="n">
        <v>119.184641285525</v>
      </c>
      <c r="O1709" s="38" t="n">
        <v>63.5193067553641</v>
      </c>
      <c r="P1709" s="37" t="n">
        <v>0</v>
      </c>
      <c r="Q1709" s="38" t="n">
        <v>0</v>
      </c>
      <c r="R1709" s="38" t="n">
        <v>69.5752391367342</v>
      </c>
      <c r="S1709" s="37" t="n">
        <v>0</v>
      </c>
    </row>
    <row r="1710" customFormat="false" ht="15" hidden="false" customHeight="false" outlineLevel="0" collapsed="false">
      <c r="A1710" s="37" t="n">
        <v>10</v>
      </c>
      <c r="B1710" s="37" t="n">
        <v>0</v>
      </c>
      <c r="C1710" s="37" t="n">
        <v>0</v>
      </c>
      <c r="D1710" s="37" t="n">
        <v>5</v>
      </c>
      <c r="E1710" s="37" t="n">
        <v>0</v>
      </c>
      <c r="F1710" s="37" t="n">
        <v>15</v>
      </c>
      <c r="G1710" s="37" t="s">
        <v>188</v>
      </c>
      <c r="H1710" s="38" t="n">
        <v>198.980835065903</v>
      </c>
      <c r="I1710" s="38" t="n">
        <v>198.665219782458</v>
      </c>
      <c r="J1710" s="38" t="n">
        <v>200.260659503595</v>
      </c>
      <c r="K1710" s="38" t="n">
        <v>230.534940731123</v>
      </c>
      <c r="L1710" s="38" t="n">
        <v>146.360474449242</v>
      </c>
      <c r="M1710" s="38" t="n">
        <v>100.75887122933</v>
      </c>
      <c r="N1710" s="38" t="n">
        <v>103.924213160358</v>
      </c>
      <c r="O1710" s="38" t="n">
        <v>67.6716217357236</v>
      </c>
      <c r="P1710" s="37" t="n">
        <v>0</v>
      </c>
      <c r="Q1710" s="38" t="n">
        <v>0</v>
      </c>
      <c r="R1710" s="38" t="n">
        <v>72</v>
      </c>
      <c r="S1710" s="37" t="n">
        <v>1</v>
      </c>
    </row>
    <row r="1711" customFormat="false" ht="15" hidden="false" customHeight="false" outlineLevel="0" collapsed="false">
      <c r="A1711" s="37" t="n">
        <v>10</v>
      </c>
      <c r="B1711" s="37" t="n">
        <v>0</v>
      </c>
      <c r="C1711" s="37" t="n">
        <v>0</v>
      </c>
      <c r="D1711" s="37" t="n">
        <v>5</v>
      </c>
      <c r="E1711" s="37" t="n">
        <v>0</v>
      </c>
      <c r="F1711" s="37" t="n">
        <v>15</v>
      </c>
      <c r="G1711" s="37" t="s">
        <v>192</v>
      </c>
      <c r="H1711" s="38" t="n">
        <v>198.980835065903</v>
      </c>
      <c r="I1711" s="38" t="n">
        <v>198.503152451627</v>
      </c>
      <c r="J1711" s="38" t="n">
        <v>198.146819615375</v>
      </c>
      <c r="K1711" s="38" t="n">
        <v>226.855680328704</v>
      </c>
      <c r="L1711" s="38" t="n">
        <v>145.340852001874</v>
      </c>
      <c r="M1711" s="38" t="n">
        <v>93.7174875959192</v>
      </c>
      <c r="N1711" s="38" t="n">
        <v>90.9337790788433</v>
      </c>
      <c r="O1711" s="38" t="n">
        <v>61.6232402158344</v>
      </c>
      <c r="P1711" s="37" t="n">
        <v>0</v>
      </c>
      <c r="Q1711" s="38" t="n">
        <v>0</v>
      </c>
      <c r="R1711" s="38" t="n">
        <v>72</v>
      </c>
      <c r="S1711" s="37" t="n">
        <v>0</v>
      </c>
    </row>
    <row r="1712" customFormat="false" ht="15" hidden="false" customHeight="false" outlineLevel="0" collapsed="false">
      <c r="A1712" s="37" t="n">
        <v>10</v>
      </c>
      <c r="B1712" s="37" t="n">
        <v>0</v>
      </c>
      <c r="C1712" s="37" t="n">
        <v>0</v>
      </c>
      <c r="D1712" s="37" t="n">
        <v>5</v>
      </c>
      <c r="E1712" s="37" t="n">
        <v>0</v>
      </c>
      <c r="F1712" s="37" t="n">
        <v>15</v>
      </c>
      <c r="G1712" s="37" t="s">
        <v>195</v>
      </c>
      <c r="H1712" s="38" t="n">
        <v>198.980835065903</v>
      </c>
      <c r="I1712" s="38" t="n">
        <v>198.532606321561</v>
      </c>
      <c r="J1712" s="38" t="n">
        <v>195.893797280921</v>
      </c>
      <c r="K1712" s="38" t="n">
        <v>221.069611528873</v>
      </c>
      <c r="L1712" s="38" t="n">
        <v>143.354192672794</v>
      </c>
      <c r="M1712" s="38" t="n">
        <v>98.3886877592173</v>
      </c>
      <c r="N1712" s="38" t="n">
        <v>93.4089631292382</v>
      </c>
      <c r="O1712" s="38" t="n">
        <v>63.3884338911397</v>
      </c>
      <c r="P1712" s="37" t="n">
        <v>0</v>
      </c>
      <c r="Q1712" s="38" t="n">
        <v>0</v>
      </c>
      <c r="R1712" s="38" t="n">
        <v>70.3603743431762</v>
      </c>
      <c r="S1712" s="37" t="n">
        <v>0</v>
      </c>
    </row>
    <row r="1713" customFormat="false" ht="15" hidden="false" customHeight="false" outlineLevel="0" collapsed="false">
      <c r="A1713" s="37" t="n">
        <v>10</v>
      </c>
      <c r="B1713" s="37" t="n">
        <v>0</v>
      </c>
      <c r="C1713" s="37" t="n">
        <v>0</v>
      </c>
      <c r="D1713" s="37" t="n">
        <v>5</v>
      </c>
      <c r="E1713" s="37" t="n">
        <v>0</v>
      </c>
      <c r="F1713" s="37" t="n">
        <v>15</v>
      </c>
      <c r="G1713" s="37" t="s">
        <v>197</v>
      </c>
      <c r="H1713" s="38" t="n">
        <v>198.980835065903</v>
      </c>
      <c r="I1713" s="38" t="n">
        <v>198.503596879619</v>
      </c>
      <c r="J1713" s="38" t="n">
        <v>197.487456769254</v>
      </c>
      <c r="K1713" s="38" t="n">
        <v>225.994391644369</v>
      </c>
      <c r="L1713" s="38" t="n">
        <v>143.540242651016</v>
      </c>
      <c r="M1713" s="38" t="n">
        <v>98.5186121272855</v>
      </c>
      <c r="N1713" s="38" t="n">
        <v>93.0662866618573</v>
      </c>
      <c r="O1713" s="38" t="n">
        <v>63.076992016456</v>
      </c>
      <c r="P1713" s="37" t="n">
        <v>0</v>
      </c>
      <c r="Q1713" s="38" t="n">
        <v>0</v>
      </c>
      <c r="R1713" s="38" t="n">
        <v>72</v>
      </c>
      <c r="S1713" s="37" t="n">
        <v>0</v>
      </c>
    </row>
    <row r="1714" customFormat="false" ht="15" hidden="false" customHeight="false" outlineLevel="0" collapsed="false">
      <c r="A1714" s="37" t="n">
        <v>10</v>
      </c>
      <c r="B1714" s="37" t="n">
        <v>0</v>
      </c>
      <c r="C1714" s="37" t="n">
        <v>0</v>
      </c>
      <c r="D1714" s="37" t="n">
        <v>5</v>
      </c>
      <c r="E1714" s="37" t="n">
        <v>0</v>
      </c>
      <c r="F1714" s="37" t="n">
        <v>15</v>
      </c>
      <c r="G1714" s="37" t="s">
        <v>196</v>
      </c>
      <c r="H1714" s="38" t="n">
        <v>198.980835065903</v>
      </c>
      <c r="I1714" s="38" t="n">
        <v>198.505810803172</v>
      </c>
      <c r="J1714" s="38" t="n">
        <v>190.955488996673</v>
      </c>
      <c r="K1714" s="38" t="n">
        <v>228.487146221949</v>
      </c>
      <c r="L1714" s="38" t="n">
        <v>154.931590666394</v>
      </c>
      <c r="M1714" s="38" t="n">
        <v>100.127447598167</v>
      </c>
      <c r="N1714" s="38" t="n">
        <v>98.6261884969128</v>
      </c>
      <c r="O1714" s="38" t="n">
        <v>63.5640510240012</v>
      </c>
      <c r="P1714" s="37" t="n">
        <v>0</v>
      </c>
      <c r="Q1714" s="38" t="n">
        <v>0</v>
      </c>
      <c r="R1714" s="38" t="n">
        <v>70.640724444401</v>
      </c>
      <c r="S1714" s="37" t="n">
        <v>0</v>
      </c>
    </row>
    <row r="1715" customFormat="false" ht="15" hidden="false" customHeight="false" outlineLevel="0" collapsed="false">
      <c r="A1715" s="37" t="n">
        <v>10</v>
      </c>
      <c r="B1715" s="37" t="n">
        <v>0</v>
      </c>
      <c r="C1715" s="37" t="n">
        <v>0</v>
      </c>
      <c r="D1715" s="37" t="n">
        <v>5</v>
      </c>
      <c r="E1715" s="37" t="n">
        <v>5</v>
      </c>
      <c r="F1715" s="37" t="n">
        <v>10</v>
      </c>
      <c r="G1715" s="37" t="s">
        <v>188</v>
      </c>
      <c r="H1715" s="38" t="n">
        <v>199.007433318484</v>
      </c>
      <c r="I1715" s="38" t="n">
        <v>198.985121202813</v>
      </c>
      <c r="J1715" s="38" t="n">
        <v>204.604946911539</v>
      </c>
      <c r="K1715" s="38" t="n">
        <v>237.469178863765</v>
      </c>
      <c r="L1715" s="38" t="n">
        <v>113.574517739643</v>
      </c>
      <c r="M1715" s="38" t="n">
        <v>102.192764876756</v>
      </c>
      <c r="N1715" s="38" t="n">
        <v>113.387511495595</v>
      </c>
      <c r="O1715" s="38" t="n">
        <v>68.1499494867205</v>
      </c>
      <c r="P1715" s="37" t="n">
        <v>0</v>
      </c>
      <c r="Q1715" s="38" t="n">
        <v>0</v>
      </c>
      <c r="R1715" s="38" t="n">
        <v>72</v>
      </c>
      <c r="S1715" s="37" t="n">
        <v>1</v>
      </c>
    </row>
    <row r="1716" customFormat="false" ht="15" hidden="false" customHeight="false" outlineLevel="0" collapsed="false">
      <c r="A1716" s="37" t="n">
        <v>10</v>
      </c>
      <c r="B1716" s="37" t="n">
        <v>0</v>
      </c>
      <c r="C1716" s="37" t="n">
        <v>0</v>
      </c>
      <c r="D1716" s="37" t="n">
        <v>5</v>
      </c>
      <c r="E1716" s="37" t="n">
        <v>5</v>
      </c>
      <c r="F1716" s="37" t="n">
        <v>10</v>
      </c>
      <c r="G1716" s="37" t="s">
        <v>192</v>
      </c>
      <c r="H1716" s="38" t="n">
        <v>199.007433318484</v>
      </c>
      <c r="I1716" s="38" t="n">
        <v>198.819622460973</v>
      </c>
      <c r="J1716" s="38" t="n">
        <v>201.87707499924</v>
      </c>
      <c r="K1716" s="38" t="n">
        <v>233.313791350847</v>
      </c>
      <c r="L1716" s="38" t="n">
        <v>111.791147326816</v>
      </c>
      <c r="M1716" s="38" t="n">
        <v>95.1858899179029</v>
      </c>
      <c r="N1716" s="38" t="n">
        <v>99.4122798240726</v>
      </c>
      <c r="O1716" s="38" t="n">
        <v>62.0471043827357</v>
      </c>
      <c r="P1716" s="37" t="n">
        <v>0</v>
      </c>
      <c r="Q1716" s="38" t="n">
        <v>0</v>
      </c>
      <c r="R1716" s="38" t="n">
        <v>72</v>
      </c>
      <c r="S1716" s="37" t="n">
        <v>0</v>
      </c>
    </row>
    <row r="1717" customFormat="false" ht="15" hidden="false" customHeight="false" outlineLevel="0" collapsed="false">
      <c r="A1717" s="37" t="n">
        <v>10</v>
      </c>
      <c r="B1717" s="37" t="n">
        <v>0</v>
      </c>
      <c r="C1717" s="37" t="n">
        <v>0</v>
      </c>
      <c r="D1717" s="37" t="n">
        <v>5</v>
      </c>
      <c r="E1717" s="37" t="n">
        <v>5</v>
      </c>
      <c r="F1717" s="37" t="n">
        <v>10</v>
      </c>
      <c r="G1717" s="37" t="s">
        <v>195</v>
      </c>
      <c r="H1717" s="38" t="n">
        <v>199.007433318484</v>
      </c>
      <c r="I1717" s="38" t="n">
        <v>198.857834473423</v>
      </c>
      <c r="J1717" s="38" t="n">
        <v>199.750566649097</v>
      </c>
      <c r="K1717" s="38" t="n">
        <v>227.747211270929</v>
      </c>
      <c r="L1717" s="38" t="n">
        <v>110.013608634381</v>
      </c>
      <c r="M1717" s="38" t="n">
        <v>99.8599100369749</v>
      </c>
      <c r="N1717" s="38" t="n">
        <v>102.231934189948</v>
      </c>
      <c r="O1717" s="38" t="n">
        <v>64.0712867118079</v>
      </c>
      <c r="P1717" s="37" t="n">
        <v>0</v>
      </c>
      <c r="Q1717" s="38" t="n">
        <v>0</v>
      </c>
      <c r="R1717" s="38" t="n">
        <v>70.3549192090357</v>
      </c>
      <c r="S1717" s="37" t="n">
        <v>0</v>
      </c>
    </row>
    <row r="1718" customFormat="false" ht="15" hidden="false" customHeight="false" outlineLevel="0" collapsed="false">
      <c r="A1718" s="37" t="n">
        <v>10</v>
      </c>
      <c r="B1718" s="37" t="n">
        <v>0</v>
      </c>
      <c r="C1718" s="37" t="n">
        <v>0</v>
      </c>
      <c r="D1718" s="37" t="n">
        <v>5</v>
      </c>
      <c r="E1718" s="37" t="n">
        <v>5</v>
      </c>
      <c r="F1718" s="37" t="n">
        <v>10</v>
      </c>
      <c r="G1718" s="37" t="s">
        <v>197</v>
      </c>
      <c r="H1718" s="38" t="n">
        <v>199.007433318484</v>
      </c>
      <c r="I1718" s="38" t="n">
        <v>198.832573482829</v>
      </c>
      <c r="J1718" s="38" t="n">
        <v>201.944924314122</v>
      </c>
      <c r="K1718" s="38" t="n">
        <v>233.570934412082</v>
      </c>
      <c r="L1718" s="38" t="n">
        <v>111.680203541025</v>
      </c>
      <c r="M1718" s="38" t="n">
        <v>103.357559967552</v>
      </c>
      <c r="N1718" s="38" t="n">
        <v>111.356631678948</v>
      </c>
      <c r="O1718" s="38" t="n">
        <v>67.7792495435283</v>
      </c>
      <c r="P1718" s="37" t="n">
        <v>0</v>
      </c>
      <c r="Q1718" s="38" t="n">
        <v>0</v>
      </c>
      <c r="R1718" s="38" t="n">
        <v>72</v>
      </c>
      <c r="S1718" s="37" t="n">
        <v>0</v>
      </c>
    </row>
    <row r="1719" customFormat="false" ht="15" hidden="false" customHeight="false" outlineLevel="0" collapsed="false">
      <c r="A1719" s="37" t="n">
        <v>10</v>
      </c>
      <c r="B1719" s="37" t="n">
        <v>0</v>
      </c>
      <c r="C1719" s="37" t="n">
        <v>0</v>
      </c>
      <c r="D1719" s="37" t="n">
        <v>5</v>
      </c>
      <c r="E1719" s="37" t="n">
        <v>5</v>
      </c>
      <c r="F1719" s="37" t="n">
        <v>10</v>
      </c>
      <c r="G1719" s="37" t="s">
        <v>196</v>
      </c>
      <c r="H1719" s="38" t="n">
        <v>199.007433318484</v>
      </c>
      <c r="I1719" s="38" t="n">
        <v>198.82554312325</v>
      </c>
      <c r="J1719" s="38" t="n">
        <v>202.208935984177</v>
      </c>
      <c r="K1719" s="38" t="n">
        <v>233.87233233434</v>
      </c>
      <c r="L1719" s="38" t="n">
        <v>117.831807726799</v>
      </c>
      <c r="M1719" s="38" t="n">
        <v>102.24561703212</v>
      </c>
      <c r="N1719" s="38" t="n">
        <v>110.389002363409</v>
      </c>
      <c r="O1719" s="38" t="n">
        <v>67.0763284860792</v>
      </c>
      <c r="P1719" s="37" t="n">
        <v>0</v>
      </c>
      <c r="Q1719" s="38" t="n">
        <v>0</v>
      </c>
      <c r="R1719" s="38" t="n">
        <v>71.1036074275234</v>
      </c>
      <c r="S1719" s="37" t="n">
        <v>0</v>
      </c>
    </row>
    <row r="1720" customFormat="false" ht="15" hidden="false" customHeight="false" outlineLevel="0" collapsed="false">
      <c r="A1720" s="37" t="n">
        <v>10</v>
      </c>
      <c r="B1720" s="37" t="n">
        <v>0</v>
      </c>
      <c r="C1720" s="37" t="n">
        <v>0</v>
      </c>
      <c r="D1720" s="37" t="n">
        <v>5</v>
      </c>
      <c r="E1720" s="37" t="n">
        <v>10</v>
      </c>
      <c r="F1720" s="37" t="n">
        <v>5</v>
      </c>
      <c r="G1720" s="37" t="s">
        <v>188</v>
      </c>
      <c r="H1720" s="38" t="n">
        <v>199.027163678268</v>
      </c>
      <c r="I1720" s="38" t="n">
        <v>199.287168027232</v>
      </c>
      <c r="J1720" s="38" t="n">
        <v>208.1683301711</v>
      </c>
      <c r="K1720" s="38" t="n">
        <v>243.179743510329</v>
      </c>
      <c r="L1720" s="38" t="n">
        <v>79.5386171173546</v>
      </c>
      <c r="M1720" s="38" t="n">
        <v>103.462449134727</v>
      </c>
      <c r="N1720" s="38" t="n">
        <v>120.971211997174</v>
      </c>
      <c r="O1720" s="38" t="n">
        <v>68.2664322859925</v>
      </c>
      <c r="P1720" s="37" t="n">
        <v>0</v>
      </c>
      <c r="Q1720" s="38" t="n">
        <v>0</v>
      </c>
      <c r="R1720" s="38" t="n">
        <v>72</v>
      </c>
      <c r="S1720" s="37" t="n">
        <v>0</v>
      </c>
    </row>
    <row r="1721" customFormat="false" ht="15" hidden="false" customHeight="false" outlineLevel="0" collapsed="false">
      <c r="A1721" s="37" t="n">
        <v>10</v>
      </c>
      <c r="B1721" s="37" t="n">
        <v>0</v>
      </c>
      <c r="C1721" s="37" t="n">
        <v>0</v>
      </c>
      <c r="D1721" s="37" t="n">
        <v>5</v>
      </c>
      <c r="E1721" s="37" t="n">
        <v>10</v>
      </c>
      <c r="F1721" s="37" t="n">
        <v>5</v>
      </c>
      <c r="G1721" s="37" t="s">
        <v>192</v>
      </c>
      <c r="H1721" s="38" t="n">
        <v>199.027163678268</v>
      </c>
      <c r="I1721" s="38" t="n">
        <v>199.118293040035</v>
      </c>
      <c r="J1721" s="38" t="n">
        <v>204.871047923141</v>
      </c>
      <c r="K1721" s="38" t="n">
        <v>238.460689006357</v>
      </c>
      <c r="L1721" s="38" t="n">
        <v>76.9287778462276</v>
      </c>
      <c r="M1721" s="38" t="n">
        <v>96.5050023106952</v>
      </c>
      <c r="N1721" s="38" t="n">
        <v>106.043770654463</v>
      </c>
      <c r="O1721" s="38" t="n">
        <v>62.0980186983307</v>
      </c>
      <c r="P1721" s="37" t="n">
        <v>0</v>
      </c>
      <c r="Q1721" s="38" t="n">
        <v>0</v>
      </c>
      <c r="R1721" s="38" t="n">
        <v>72</v>
      </c>
      <c r="S1721" s="37" t="n">
        <v>0</v>
      </c>
    </row>
    <row r="1722" customFormat="false" ht="15" hidden="false" customHeight="false" outlineLevel="0" collapsed="false">
      <c r="A1722" s="37" t="n">
        <v>10</v>
      </c>
      <c r="B1722" s="37" t="n">
        <v>0</v>
      </c>
      <c r="C1722" s="37" t="n">
        <v>0</v>
      </c>
      <c r="D1722" s="37" t="n">
        <v>5</v>
      </c>
      <c r="E1722" s="37" t="n">
        <v>10</v>
      </c>
      <c r="F1722" s="37" t="n">
        <v>5</v>
      </c>
      <c r="G1722" s="37" t="s">
        <v>195</v>
      </c>
      <c r="H1722" s="38" t="n">
        <v>199.027163678268</v>
      </c>
      <c r="I1722" s="38" t="n">
        <v>199.163462732644</v>
      </c>
      <c r="J1722" s="38" t="n">
        <v>202.689045481278</v>
      </c>
      <c r="K1722" s="38" t="n">
        <v>232.93460778859</v>
      </c>
      <c r="L1722" s="38" t="n">
        <v>75.1668516587643</v>
      </c>
      <c r="M1722" s="38" t="n">
        <v>101.167352981437</v>
      </c>
      <c r="N1722" s="38" t="n">
        <v>108.849727399122</v>
      </c>
      <c r="O1722" s="38" t="n">
        <v>64.2666591512902</v>
      </c>
      <c r="P1722" s="37" t="n">
        <v>0</v>
      </c>
      <c r="Q1722" s="38" t="n">
        <v>0</v>
      </c>
      <c r="R1722" s="38" t="n">
        <v>70.3446731610524</v>
      </c>
      <c r="S1722" s="37" t="n">
        <v>0</v>
      </c>
    </row>
    <row r="1723" customFormat="false" ht="15" hidden="false" customHeight="false" outlineLevel="0" collapsed="false">
      <c r="A1723" s="37" t="n">
        <v>10</v>
      </c>
      <c r="B1723" s="37" t="n">
        <v>0</v>
      </c>
      <c r="C1723" s="37" t="n">
        <v>0</v>
      </c>
      <c r="D1723" s="37" t="n">
        <v>5</v>
      </c>
      <c r="E1723" s="37" t="n">
        <v>10</v>
      </c>
      <c r="F1723" s="37" t="n">
        <v>5</v>
      </c>
      <c r="G1723" s="37" t="s">
        <v>197</v>
      </c>
      <c r="H1723" s="38" t="n">
        <v>199.027163678268</v>
      </c>
      <c r="I1723" s="38" t="n">
        <v>199.15462668144</v>
      </c>
      <c r="J1723" s="38" t="n">
        <v>206.046432580048</v>
      </c>
      <c r="K1723" s="38" t="n">
        <v>240.244570243955</v>
      </c>
      <c r="L1723" s="38" t="n">
        <v>79.0642136105173</v>
      </c>
      <c r="M1723" s="38" t="n">
        <v>107.337760206863</v>
      </c>
      <c r="N1723" s="38" t="n">
        <v>126.622218868797</v>
      </c>
      <c r="O1723" s="38" t="n">
        <v>69.5345308210406</v>
      </c>
      <c r="P1723" s="37" t="n">
        <v>0</v>
      </c>
      <c r="Q1723" s="38" t="n">
        <v>0</v>
      </c>
      <c r="R1723" s="38" t="n">
        <v>72</v>
      </c>
      <c r="S1723" s="37" t="n">
        <v>1</v>
      </c>
    </row>
    <row r="1724" customFormat="false" ht="15" hidden="false" customHeight="false" outlineLevel="0" collapsed="false">
      <c r="A1724" s="37" t="n">
        <v>10</v>
      </c>
      <c r="B1724" s="37" t="n">
        <v>0</v>
      </c>
      <c r="C1724" s="37" t="n">
        <v>0</v>
      </c>
      <c r="D1724" s="37" t="n">
        <v>5</v>
      </c>
      <c r="E1724" s="37" t="n">
        <v>10</v>
      </c>
      <c r="F1724" s="37" t="n">
        <v>5</v>
      </c>
      <c r="G1724" s="37" t="s">
        <v>196</v>
      </c>
      <c r="H1724" s="38" t="n">
        <v>199.027163678268</v>
      </c>
      <c r="I1724" s="38" t="n">
        <v>199.129521557872</v>
      </c>
      <c r="J1724" s="38" t="n">
        <v>205.238399564171</v>
      </c>
      <c r="K1724" s="38" t="n">
        <v>239.104233002917</v>
      </c>
      <c r="L1724" s="38" t="n">
        <v>83.0599883198007</v>
      </c>
      <c r="M1724" s="38" t="n">
        <v>104.060122136009</v>
      </c>
      <c r="N1724" s="38" t="n">
        <v>118.351734584007</v>
      </c>
      <c r="O1724" s="38" t="n">
        <v>67.6886077573778</v>
      </c>
      <c r="P1724" s="37" t="n">
        <v>0</v>
      </c>
      <c r="Q1724" s="38" t="n">
        <v>0</v>
      </c>
      <c r="R1724" s="38" t="n">
        <v>71.1027146093853</v>
      </c>
      <c r="S1724" s="37" t="n">
        <v>0</v>
      </c>
    </row>
    <row r="1725" customFormat="false" ht="15" hidden="false" customHeight="false" outlineLevel="0" collapsed="false">
      <c r="A1725" s="37" t="n">
        <v>10</v>
      </c>
      <c r="B1725" s="37" t="n">
        <v>0</v>
      </c>
      <c r="C1725" s="37" t="n">
        <v>0</v>
      </c>
      <c r="D1725" s="37" t="n">
        <v>5</v>
      </c>
      <c r="E1725" s="37" t="n">
        <v>15</v>
      </c>
      <c r="F1725" s="37" t="n">
        <v>0</v>
      </c>
      <c r="G1725" s="37" t="s">
        <v>188</v>
      </c>
      <c r="H1725" s="38" t="n">
        <v>199.046653943452</v>
      </c>
      <c r="I1725" s="38" t="n">
        <v>199.495215124319</v>
      </c>
      <c r="J1725" s="38" t="n">
        <v>210.517162651943</v>
      </c>
      <c r="K1725" s="38" t="n">
        <v>246.836031716706</v>
      </c>
      <c r="L1725" s="38" t="n">
        <v>43.3978102201831</v>
      </c>
      <c r="M1725" s="38" t="n">
        <v>104.392177893182</v>
      </c>
      <c r="N1725" s="38" t="n">
        <v>126.15985076022</v>
      </c>
      <c r="O1725" s="38" t="n">
        <v>67.9579048742914</v>
      </c>
      <c r="P1725" s="37" t="n">
        <v>0</v>
      </c>
      <c r="Q1725" s="38" t="n">
        <v>0</v>
      </c>
      <c r="R1725" s="38" t="n">
        <v>72</v>
      </c>
      <c r="S1725" s="37" t="n">
        <v>0</v>
      </c>
    </row>
    <row r="1726" customFormat="false" ht="15" hidden="false" customHeight="false" outlineLevel="0" collapsed="false">
      <c r="A1726" s="37" t="n">
        <v>10</v>
      </c>
      <c r="B1726" s="37" t="n">
        <v>0</v>
      </c>
      <c r="C1726" s="37" t="n">
        <v>0</v>
      </c>
      <c r="D1726" s="37" t="n">
        <v>5</v>
      </c>
      <c r="E1726" s="37" t="n">
        <v>15</v>
      </c>
      <c r="F1726" s="37" t="n">
        <v>0</v>
      </c>
      <c r="G1726" s="37" t="s">
        <v>192</v>
      </c>
      <c r="H1726" s="38" t="n">
        <v>199.046653943452</v>
      </c>
      <c r="I1726" s="38" t="n">
        <v>199.329364557261</v>
      </c>
      <c r="J1726" s="38" t="n">
        <v>206.899912076762</v>
      </c>
      <c r="K1726" s="38" t="n">
        <v>241.866146753682</v>
      </c>
      <c r="L1726" s="38" t="n">
        <v>40.3258844008748</v>
      </c>
      <c r="M1726" s="38" t="n">
        <v>97.5004771068006</v>
      </c>
      <c r="N1726" s="38" t="n">
        <v>110.642131721341</v>
      </c>
      <c r="O1726" s="38" t="n">
        <v>61.7913928815815</v>
      </c>
      <c r="P1726" s="37" t="n">
        <v>0</v>
      </c>
      <c r="Q1726" s="38" t="n">
        <v>0</v>
      </c>
      <c r="R1726" s="38" t="n">
        <v>72</v>
      </c>
      <c r="S1726" s="37" t="n">
        <v>0</v>
      </c>
    </row>
    <row r="1727" customFormat="false" ht="15" hidden="false" customHeight="false" outlineLevel="0" collapsed="false">
      <c r="A1727" s="37" t="n">
        <v>10</v>
      </c>
      <c r="B1727" s="37" t="n">
        <v>0</v>
      </c>
      <c r="C1727" s="37" t="n">
        <v>0</v>
      </c>
      <c r="D1727" s="37" t="n">
        <v>5</v>
      </c>
      <c r="E1727" s="37" t="n">
        <v>15</v>
      </c>
      <c r="F1727" s="37" t="n">
        <v>0</v>
      </c>
      <c r="G1727" s="37" t="s">
        <v>195</v>
      </c>
      <c r="H1727" s="38" t="n">
        <v>199.046653943452</v>
      </c>
      <c r="I1727" s="38" t="n">
        <v>199.381660352586</v>
      </c>
      <c r="J1727" s="38" t="n">
        <v>204.603394750812</v>
      </c>
      <c r="K1727" s="38" t="n">
        <v>236.346379038047</v>
      </c>
      <c r="L1727" s="38" t="n">
        <v>38.5172299606391</v>
      </c>
      <c r="M1727" s="38" t="n">
        <v>102.155265095178</v>
      </c>
      <c r="N1727" s="38" t="n">
        <v>111.943933061536</v>
      </c>
      <c r="O1727" s="38" t="n">
        <v>64.0307752110068</v>
      </c>
      <c r="P1727" s="37" t="n">
        <v>0</v>
      </c>
      <c r="Q1727" s="38" t="n">
        <v>0</v>
      </c>
      <c r="R1727" s="38" t="n">
        <v>70.3262552767776</v>
      </c>
      <c r="S1727" s="37" t="n">
        <v>0</v>
      </c>
    </row>
    <row r="1728" customFormat="false" ht="15" hidden="false" customHeight="false" outlineLevel="0" collapsed="false">
      <c r="A1728" s="37" t="n">
        <v>10</v>
      </c>
      <c r="B1728" s="37" t="n">
        <v>0</v>
      </c>
      <c r="C1728" s="37" t="n">
        <v>0</v>
      </c>
      <c r="D1728" s="37" t="n">
        <v>5</v>
      </c>
      <c r="E1728" s="37" t="n">
        <v>15</v>
      </c>
      <c r="F1728" s="37" t="n">
        <v>0</v>
      </c>
      <c r="G1728" s="37" t="s">
        <v>197</v>
      </c>
      <c r="H1728" s="38" t="n">
        <v>199.046653943452</v>
      </c>
      <c r="I1728" s="38" t="n">
        <v>199.384486872012</v>
      </c>
      <c r="J1728" s="38" t="n">
        <v>208.85900776754</v>
      </c>
      <c r="K1728" s="38" t="n">
        <v>244.774666737173</v>
      </c>
      <c r="L1728" s="38" t="n">
        <v>44.0645383456048</v>
      </c>
      <c r="M1728" s="38" t="n">
        <v>109.942752074707</v>
      </c>
      <c r="N1728" s="38" t="n">
        <v>133.261165144831</v>
      </c>
      <c r="O1728" s="38" t="n">
        <v>69.7118636291206</v>
      </c>
      <c r="P1728" s="37" t="n">
        <v>0</v>
      </c>
      <c r="Q1728" s="38" t="n">
        <v>0</v>
      </c>
      <c r="R1728" s="38" t="n">
        <v>72</v>
      </c>
      <c r="S1728" s="37" t="n">
        <v>1</v>
      </c>
    </row>
    <row r="1729" customFormat="false" ht="15" hidden="false" customHeight="false" outlineLevel="0" collapsed="false">
      <c r="A1729" s="37" t="n">
        <v>10</v>
      </c>
      <c r="B1729" s="37" t="n">
        <v>0</v>
      </c>
      <c r="C1729" s="37" t="n">
        <v>0</v>
      </c>
      <c r="D1729" s="37" t="n">
        <v>5</v>
      </c>
      <c r="E1729" s="37" t="n">
        <v>15</v>
      </c>
      <c r="F1729" s="37" t="n">
        <v>0</v>
      </c>
      <c r="G1729" s="37" t="s">
        <v>196</v>
      </c>
      <c r="H1729" s="38" t="n">
        <v>199.046653943452</v>
      </c>
      <c r="I1729" s="38" t="n">
        <v>199.342756228193</v>
      </c>
      <c r="J1729" s="38" t="n">
        <v>207.092251877997</v>
      </c>
      <c r="K1729" s="38" t="n">
        <v>242.388337723109</v>
      </c>
      <c r="L1729" s="38" t="n">
        <v>46.3399667652242</v>
      </c>
      <c r="M1729" s="38" t="n">
        <v>105.335257821449</v>
      </c>
      <c r="N1729" s="38" t="n">
        <v>122.638211098713</v>
      </c>
      <c r="O1729" s="38" t="n">
        <v>67.2606738600304</v>
      </c>
      <c r="P1729" s="37" t="n">
        <v>0</v>
      </c>
      <c r="Q1729" s="38" t="n">
        <v>0</v>
      </c>
      <c r="R1729" s="38" t="n">
        <v>71.101724303441</v>
      </c>
      <c r="S1729" s="37" t="n">
        <v>0</v>
      </c>
    </row>
    <row r="1730" customFormat="false" ht="15" hidden="false" customHeight="false" outlineLevel="0" collapsed="false">
      <c r="A1730" s="37" t="n">
        <v>10</v>
      </c>
      <c r="B1730" s="37" t="n">
        <v>0</v>
      </c>
      <c r="C1730" s="37" t="n">
        <v>0</v>
      </c>
      <c r="D1730" s="37" t="n">
        <v>10</v>
      </c>
      <c r="E1730" s="37" t="n">
        <v>0</v>
      </c>
      <c r="F1730" s="37" t="n">
        <v>10</v>
      </c>
      <c r="G1730" s="37" t="s">
        <v>188</v>
      </c>
      <c r="H1730" s="38" t="n">
        <v>199.211616083563</v>
      </c>
      <c r="I1730" s="38" t="n">
        <v>199.623642251257</v>
      </c>
      <c r="J1730" s="38" t="n">
        <v>204.334065783916</v>
      </c>
      <c r="K1730" s="38" t="n">
        <v>231.176698100792</v>
      </c>
      <c r="L1730" s="38" t="n">
        <v>107.523056089423</v>
      </c>
      <c r="M1730" s="38" t="n">
        <v>101.606635018255</v>
      </c>
      <c r="N1730" s="38" t="n">
        <v>107.548169751355</v>
      </c>
      <c r="O1730" s="38" t="n">
        <v>68.3017445726994</v>
      </c>
      <c r="P1730" s="37" t="n">
        <v>0</v>
      </c>
      <c r="Q1730" s="38" t="n">
        <v>0</v>
      </c>
      <c r="R1730" s="38" t="n">
        <v>72</v>
      </c>
      <c r="S1730" s="37" t="n">
        <v>1</v>
      </c>
    </row>
    <row r="1731" customFormat="false" ht="15" hidden="false" customHeight="false" outlineLevel="0" collapsed="false">
      <c r="A1731" s="37" t="n">
        <v>10</v>
      </c>
      <c r="B1731" s="37" t="n">
        <v>0</v>
      </c>
      <c r="C1731" s="37" t="n">
        <v>0</v>
      </c>
      <c r="D1731" s="37" t="n">
        <v>10</v>
      </c>
      <c r="E1731" s="37" t="n">
        <v>0</v>
      </c>
      <c r="F1731" s="37" t="n">
        <v>10</v>
      </c>
      <c r="G1731" s="37" t="s">
        <v>192</v>
      </c>
      <c r="H1731" s="38" t="n">
        <v>199.211616083563</v>
      </c>
      <c r="I1731" s="38" t="n">
        <v>199.447803391261</v>
      </c>
      <c r="J1731" s="38" t="n">
        <v>201.756066264851</v>
      </c>
      <c r="K1731" s="38" t="n">
        <v>227.06565252451</v>
      </c>
      <c r="L1731" s="38" t="n">
        <v>105.789090768434</v>
      </c>
      <c r="M1731" s="38" t="n">
        <v>94.5330503409454</v>
      </c>
      <c r="N1731" s="38" t="n">
        <v>94.0455392992136</v>
      </c>
      <c r="O1731" s="38" t="n">
        <v>61.8709702147378</v>
      </c>
      <c r="P1731" s="37" t="n">
        <v>0</v>
      </c>
      <c r="Q1731" s="38" t="n">
        <v>0</v>
      </c>
      <c r="R1731" s="38" t="n">
        <v>72</v>
      </c>
      <c r="S1731" s="37" t="n">
        <v>0</v>
      </c>
    </row>
    <row r="1732" customFormat="false" ht="15" hidden="false" customHeight="false" outlineLevel="0" collapsed="false">
      <c r="A1732" s="37" t="n">
        <v>10</v>
      </c>
      <c r="B1732" s="37" t="n">
        <v>0</v>
      </c>
      <c r="C1732" s="37" t="n">
        <v>0</v>
      </c>
      <c r="D1732" s="37" t="n">
        <v>10</v>
      </c>
      <c r="E1732" s="37" t="n">
        <v>0</v>
      </c>
      <c r="F1732" s="37" t="n">
        <v>10</v>
      </c>
      <c r="G1732" s="37" t="s">
        <v>195</v>
      </c>
      <c r="H1732" s="38" t="n">
        <v>199.211616083563</v>
      </c>
      <c r="I1732" s="38" t="n">
        <v>199.535525077236</v>
      </c>
      <c r="J1732" s="38" t="n">
        <v>200.025365792909</v>
      </c>
      <c r="K1732" s="38" t="n">
        <v>225.081082077306</v>
      </c>
      <c r="L1732" s="38" t="n">
        <v>111.831082077306</v>
      </c>
      <c r="M1732" s="38" t="n">
        <v>100.546211006503</v>
      </c>
      <c r="N1732" s="38" t="n">
        <v>101.530273528155</v>
      </c>
      <c r="O1732" s="38" t="n">
        <v>65.1180611905752</v>
      </c>
      <c r="P1732" s="37" t="n">
        <v>0</v>
      </c>
      <c r="Q1732" s="38" t="n">
        <v>0</v>
      </c>
      <c r="R1732" s="38" t="n">
        <v>67.2990765902799</v>
      </c>
      <c r="S1732" s="37" t="n">
        <v>0</v>
      </c>
    </row>
    <row r="1733" customFormat="false" ht="15" hidden="false" customHeight="false" outlineLevel="0" collapsed="false">
      <c r="A1733" s="37" t="n">
        <v>10</v>
      </c>
      <c r="B1733" s="37" t="n">
        <v>0</v>
      </c>
      <c r="C1733" s="37" t="n">
        <v>0</v>
      </c>
      <c r="D1733" s="37" t="n">
        <v>10</v>
      </c>
      <c r="E1733" s="37" t="n">
        <v>0</v>
      </c>
      <c r="F1733" s="37" t="n">
        <v>10</v>
      </c>
      <c r="G1733" s="37" t="s">
        <v>197</v>
      </c>
      <c r="H1733" s="38" t="n">
        <v>199.211616083563</v>
      </c>
      <c r="I1733" s="38" t="n">
        <v>199.448522951529</v>
      </c>
      <c r="J1733" s="38" t="n">
        <v>201.140870164708</v>
      </c>
      <c r="K1733" s="38" t="n">
        <v>226.265445857476</v>
      </c>
      <c r="L1733" s="38" t="n">
        <v>104.020228962271</v>
      </c>
      <c r="M1733" s="38" t="n">
        <v>99.3348418017731</v>
      </c>
      <c r="N1733" s="38" t="n">
        <v>96.3501166798591</v>
      </c>
      <c r="O1733" s="38" t="n">
        <v>63.6277717651913</v>
      </c>
      <c r="P1733" s="37" t="n">
        <v>0</v>
      </c>
      <c r="Q1733" s="38" t="n">
        <v>0</v>
      </c>
      <c r="R1733" s="38" t="n">
        <v>72</v>
      </c>
      <c r="S1733" s="37" t="n">
        <v>0</v>
      </c>
    </row>
    <row r="1734" customFormat="false" ht="15" hidden="false" customHeight="false" outlineLevel="0" collapsed="false">
      <c r="A1734" s="37" t="n">
        <v>10</v>
      </c>
      <c r="B1734" s="37" t="n">
        <v>0</v>
      </c>
      <c r="C1734" s="37" t="n">
        <v>0</v>
      </c>
      <c r="D1734" s="37" t="n">
        <v>10</v>
      </c>
      <c r="E1734" s="37" t="n">
        <v>0</v>
      </c>
      <c r="F1734" s="37" t="n">
        <v>10</v>
      </c>
      <c r="G1734" s="37" t="s">
        <v>196</v>
      </c>
      <c r="H1734" s="38" t="n">
        <v>199.211616083563</v>
      </c>
      <c r="I1734" s="38" t="n">
        <v>199.450615553647</v>
      </c>
      <c r="J1734" s="38" t="n">
        <v>194.569300120411</v>
      </c>
      <c r="K1734" s="38" t="n">
        <v>228.674753580685</v>
      </c>
      <c r="L1734" s="38" t="n">
        <v>115.119198025129</v>
      </c>
      <c r="M1734" s="38" t="n">
        <v>101.42373925818</v>
      </c>
      <c r="N1734" s="38" t="n">
        <v>102.540430766795</v>
      </c>
      <c r="O1734" s="38" t="n">
        <v>64.168656983978</v>
      </c>
      <c r="P1734" s="37" t="n">
        <v>0</v>
      </c>
      <c r="Q1734" s="38" t="n">
        <v>0</v>
      </c>
      <c r="R1734" s="38" t="n">
        <v>70.7373333333333</v>
      </c>
      <c r="S1734" s="37" t="n">
        <v>0</v>
      </c>
    </row>
    <row r="1735" customFormat="false" ht="15" hidden="false" customHeight="false" outlineLevel="0" collapsed="false">
      <c r="A1735" s="37" t="n">
        <v>10</v>
      </c>
      <c r="B1735" s="37" t="n">
        <v>0</v>
      </c>
      <c r="C1735" s="37" t="n">
        <v>0</v>
      </c>
      <c r="D1735" s="37" t="n">
        <v>10</v>
      </c>
      <c r="E1735" s="37" t="n">
        <v>5</v>
      </c>
      <c r="F1735" s="37" t="n">
        <v>5</v>
      </c>
      <c r="G1735" s="37" t="s">
        <v>188</v>
      </c>
      <c r="H1735" s="38" t="n">
        <v>199.22285235257</v>
      </c>
      <c r="I1735" s="38" t="n">
        <v>199.891517853444</v>
      </c>
      <c r="J1735" s="38" t="n">
        <v>208.744045719856</v>
      </c>
      <c r="K1735" s="38" t="n">
        <v>237.832141707932</v>
      </c>
      <c r="L1735" s="38" t="n">
        <v>74.4420815746231</v>
      </c>
      <c r="M1735" s="38" t="n">
        <v>102.914168458181</v>
      </c>
      <c r="N1735" s="38" t="n">
        <v>116.991602597644</v>
      </c>
      <c r="O1735" s="38" t="n">
        <v>68.8286939146809</v>
      </c>
      <c r="P1735" s="37" t="n">
        <v>0</v>
      </c>
      <c r="Q1735" s="38" t="n">
        <v>0</v>
      </c>
      <c r="R1735" s="38" t="n">
        <v>72</v>
      </c>
      <c r="S1735" s="37" t="n">
        <v>1</v>
      </c>
    </row>
    <row r="1736" customFormat="false" ht="15" hidden="false" customHeight="false" outlineLevel="0" collapsed="false">
      <c r="A1736" s="37" t="n">
        <v>10</v>
      </c>
      <c r="B1736" s="37" t="n">
        <v>0</v>
      </c>
      <c r="C1736" s="37" t="n">
        <v>0</v>
      </c>
      <c r="D1736" s="37" t="n">
        <v>10</v>
      </c>
      <c r="E1736" s="37" t="n">
        <v>5</v>
      </c>
      <c r="F1736" s="37" t="n">
        <v>5</v>
      </c>
      <c r="G1736" s="37" t="s">
        <v>192</v>
      </c>
      <c r="H1736" s="38" t="n">
        <v>199.22285235257</v>
      </c>
      <c r="I1736" s="38" t="n">
        <v>199.715900208008</v>
      </c>
      <c r="J1736" s="38" t="n">
        <v>205.578173955133</v>
      </c>
      <c r="K1736" s="38" t="n">
        <v>233.143591692551</v>
      </c>
      <c r="L1736" s="38" t="n">
        <v>71.853247152316</v>
      </c>
      <c r="M1736" s="38" t="n">
        <v>95.913802321004</v>
      </c>
      <c r="N1736" s="38" t="n">
        <v>102.497206853307</v>
      </c>
      <c r="O1736" s="38" t="n">
        <v>62.3417286417374</v>
      </c>
      <c r="P1736" s="37" t="n">
        <v>0</v>
      </c>
      <c r="Q1736" s="38" t="n">
        <v>0</v>
      </c>
      <c r="R1736" s="38" t="n">
        <v>72</v>
      </c>
      <c r="S1736" s="37" t="n">
        <v>0</v>
      </c>
    </row>
    <row r="1737" customFormat="false" ht="15" hidden="false" customHeight="false" outlineLevel="0" collapsed="false">
      <c r="A1737" s="37" t="n">
        <v>10</v>
      </c>
      <c r="B1737" s="37" t="n">
        <v>0</v>
      </c>
      <c r="C1737" s="37" t="n">
        <v>0</v>
      </c>
      <c r="D1737" s="37" t="n">
        <v>10</v>
      </c>
      <c r="E1737" s="37" t="n">
        <v>5</v>
      </c>
      <c r="F1737" s="37" t="n">
        <v>5</v>
      </c>
      <c r="G1737" s="37" t="s">
        <v>195</v>
      </c>
      <c r="H1737" s="38" t="n">
        <v>199.22285235257</v>
      </c>
      <c r="I1737" s="38" t="n">
        <v>199.816070071434</v>
      </c>
      <c r="J1737" s="38" t="n">
        <v>203.966959960447</v>
      </c>
      <c r="K1737" s="38" t="n">
        <v>231.515748438837</v>
      </c>
      <c r="L1737" s="38" t="n">
        <v>78.2657484388369</v>
      </c>
      <c r="M1737" s="38" t="n">
        <v>101.901852357898</v>
      </c>
      <c r="N1737" s="38" t="n">
        <v>110.246738084962</v>
      </c>
      <c r="O1737" s="38" t="n">
        <v>65.8528745529786</v>
      </c>
      <c r="P1737" s="37" t="n">
        <v>0</v>
      </c>
      <c r="Q1737" s="38" t="n">
        <v>0</v>
      </c>
      <c r="R1737" s="38" t="n">
        <v>67.283345362381</v>
      </c>
      <c r="S1737" s="37" t="n">
        <v>0</v>
      </c>
    </row>
    <row r="1738" customFormat="false" ht="15" hidden="false" customHeight="false" outlineLevel="0" collapsed="false">
      <c r="A1738" s="37" t="n">
        <v>10</v>
      </c>
      <c r="B1738" s="37" t="n">
        <v>0</v>
      </c>
      <c r="C1738" s="37" t="n">
        <v>0</v>
      </c>
      <c r="D1738" s="37" t="n">
        <v>10</v>
      </c>
      <c r="E1738" s="37" t="n">
        <v>5</v>
      </c>
      <c r="F1738" s="37" t="n">
        <v>5</v>
      </c>
      <c r="G1738" s="37" t="s">
        <v>197</v>
      </c>
      <c r="H1738" s="38" t="n">
        <v>199.22285235257</v>
      </c>
      <c r="I1738" s="38" t="n">
        <v>199.729540088359</v>
      </c>
      <c r="J1738" s="38" t="n">
        <v>205.719671930953</v>
      </c>
      <c r="K1738" s="38" t="n">
        <v>233.478452062998</v>
      </c>
      <c r="L1738" s="38" t="n">
        <v>71.7878225501109</v>
      </c>
      <c r="M1738" s="38" t="n">
        <v>104.05723338408</v>
      </c>
      <c r="N1738" s="38" t="n">
        <v>114.621169244617</v>
      </c>
      <c r="O1738" s="38" t="n">
        <v>68.3521415818821</v>
      </c>
      <c r="P1738" s="37" t="n">
        <v>0</v>
      </c>
      <c r="Q1738" s="38" t="n">
        <v>0</v>
      </c>
      <c r="R1738" s="38" t="n">
        <v>72</v>
      </c>
      <c r="S1738" s="37" t="n">
        <v>0</v>
      </c>
    </row>
    <row r="1739" customFormat="false" ht="15" hidden="false" customHeight="false" outlineLevel="0" collapsed="false">
      <c r="A1739" s="37" t="n">
        <v>10</v>
      </c>
      <c r="B1739" s="37" t="n">
        <v>0</v>
      </c>
      <c r="C1739" s="37" t="n">
        <v>0</v>
      </c>
      <c r="D1739" s="37" t="n">
        <v>10</v>
      </c>
      <c r="E1739" s="37" t="n">
        <v>5</v>
      </c>
      <c r="F1739" s="37" t="n">
        <v>5</v>
      </c>
      <c r="G1739" s="37" t="s">
        <v>196</v>
      </c>
      <c r="H1739" s="38" t="n">
        <v>199.22285235257</v>
      </c>
      <c r="I1739" s="38" t="n">
        <v>199.721747896249</v>
      </c>
      <c r="J1739" s="38" t="n">
        <v>197.99276679069</v>
      </c>
      <c r="K1739" s="38" t="n">
        <v>234.375776101675</v>
      </c>
      <c r="L1739" s="38" t="n">
        <v>80.820220546119</v>
      </c>
      <c r="M1739" s="38" t="n">
        <v>103.420879671029</v>
      </c>
      <c r="N1739" s="38" t="n">
        <v>112.239496621303</v>
      </c>
      <c r="O1739" s="38" t="n">
        <v>65.8908548041319</v>
      </c>
      <c r="P1739" s="37" t="n">
        <v>0</v>
      </c>
      <c r="Q1739" s="38" t="n">
        <v>0</v>
      </c>
      <c r="R1739" s="38" t="n">
        <v>70.604</v>
      </c>
      <c r="S1739" s="37" t="n">
        <v>0</v>
      </c>
    </row>
    <row r="1740" customFormat="false" ht="15" hidden="false" customHeight="false" outlineLevel="0" collapsed="false">
      <c r="A1740" s="37" t="n">
        <v>10</v>
      </c>
      <c r="B1740" s="37" t="n">
        <v>0</v>
      </c>
      <c r="C1740" s="37" t="n">
        <v>0</v>
      </c>
      <c r="D1740" s="37" t="n">
        <v>10</v>
      </c>
      <c r="E1740" s="37" t="n">
        <v>10</v>
      </c>
      <c r="F1740" s="37" t="n">
        <v>0</v>
      </c>
      <c r="G1740" s="37" t="s">
        <v>188</v>
      </c>
      <c r="H1740" s="38" t="n">
        <v>199.239929429907</v>
      </c>
      <c r="I1740" s="38" t="n">
        <v>200.195154632827</v>
      </c>
      <c r="J1740" s="38" t="n">
        <v>212.5119551151</v>
      </c>
      <c r="K1740" s="38" t="n">
        <v>243.751390948435</v>
      </c>
      <c r="L1740" s="38" t="n">
        <v>40.6106532080355</v>
      </c>
      <c r="M1740" s="38" t="n">
        <v>104.184397303299</v>
      </c>
      <c r="N1740" s="38" t="n">
        <v>124.786919053091</v>
      </c>
      <c r="O1740" s="38" t="n">
        <v>69.0564307766346</v>
      </c>
      <c r="P1740" s="37" t="n">
        <v>0</v>
      </c>
      <c r="Q1740" s="38" t="n">
        <v>0</v>
      </c>
      <c r="R1740" s="38" t="n">
        <v>72</v>
      </c>
      <c r="S1740" s="37" t="n">
        <v>0</v>
      </c>
    </row>
    <row r="1741" customFormat="false" ht="15" hidden="false" customHeight="false" outlineLevel="0" collapsed="false">
      <c r="A1741" s="37" t="n">
        <v>10</v>
      </c>
      <c r="B1741" s="37" t="n">
        <v>0</v>
      </c>
      <c r="C1741" s="37" t="n">
        <v>0</v>
      </c>
      <c r="D1741" s="37" t="n">
        <v>10</v>
      </c>
      <c r="E1741" s="37" t="n">
        <v>10</v>
      </c>
      <c r="F1741" s="37" t="n">
        <v>0</v>
      </c>
      <c r="G1741" s="37" t="s">
        <v>192</v>
      </c>
      <c r="H1741" s="38" t="n">
        <v>199.239929429907</v>
      </c>
      <c r="I1741" s="38" t="n">
        <v>200.015604377547</v>
      </c>
      <c r="J1741" s="38" t="n">
        <v>208.727692809353</v>
      </c>
      <c r="K1741" s="38" t="n">
        <v>238.422304052012</v>
      </c>
      <c r="L1741" s="38" t="n">
        <v>37.1192157497134</v>
      </c>
      <c r="M1741" s="38" t="n">
        <v>97.2300362391203</v>
      </c>
      <c r="N1741" s="38" t="n">
        <v>106.79749548681</v>
      </c>
      <c r="O1741" s="38" t="n">
        <v>62.5030892578105</v>
      </c>
      <c r="P1741" s="37" t="n">
        <v>0</v>
      </c>
      <c r="Q1741" s="38" t="n">
        <v>0</v>
      </c>
      <c r="R1741" s="38" t="n">
        <v>72</v>
      </c>
      <c r="S1741" s="37" t="n">
        <v>0</v>
      </c>
    </row>
    <row r="1742" customFormat="false" ht="15" hidden="false" customHeight="false" outlineLevel="0" collapsed="false">
      <c r="A1742" s="37" t="n">
        <v>10</v>
      </c>
      <c r="B1742" s="37" t="n">
        <v>0</v>
      </c>
      <c r="C1742" s="37" t="n">
        <v>0</v>
      </c>
      <c r="D1742" s="37" t="n">
        <v>10</v>
      </c>
      <c r="E1742" s="37" t="n">
        <v>10</v>
      </c>
      <c r="F1742" s="37" t="n">
        <v>0</v>
      </c>
      <c r="G1742" s="37" t="s">
        <v>195</v>
      </c>
      <c r="H1742" s="38" t="n">
        <v>199.239929429907</v>
      </c>
      <c r="I1742" s="38" t="n">
        <v>200.129068646171</v>
      </c>
      <c r="J1742" s="38" t="n">
        <v>207.285734008648</v>
      </c>
      <c r="K1742" s="38" t="n">
        <v>237.125972340806</v>
      </c>
      <c r="L1742" s="38" t="n">
        <v>43.8759723408062</v>
      </c>
      <c r="M1742" s="38" t="n">
        <v>103.205179983743</v>
      </c>
      <c r="N1742" s="38" t="n">
        <v>117.310532137125</v>
      </c>
      <c r="O1742" s="38" t="n">
        <v>66.23771767234</v>
      </c>
      <c r="P1742" s="37" t="n">
        <v>0</v>
      </c>
      <c r="Q1742" s="38" t="n">
        <v>0</v>
      </c>
      <c r="R1742" s="38" t="n">
        <v>67.2705822515021</v>
      </c>
      <c r="S1742" s="37" t="n">
        <v>0</v>
      </c>
    </row>
    <row r="1743" customFormat="false" ht="15" hidden="false" customHeight="false" outlineLevel="0" collapsed="false">
      <c r="A1743" s="37" t="n">
        <v>10</v>
      </c>
      <c r="B1743" s="37" t="n">
        <v>0</v>
      </c>
      <c r="C1743" s="37" t="n">
        <v>0</v>
      </c>
      <c r="D1743" s="37" t="n">
        <v>10</v>
      </c>
      <c r="E1743" s="37" t="n">
        <v>10</v>
      </c>
      <c r="F1743" s="37" t="n">
        <v>0</v>
      </c>
      <c r="G1743" s="37" t="s">
        <v>197</v>
      </c>
      <c r="H1743" s="38" t="n">
        <v>199.239929429907</v>
      </c>
      <c r="I1743" s="38" t="n">
        <v>200.054097913613</v>
      </c>
      <c r="J1743" s="38" t="n">
        <v>210.014411973297</v>
      </c>
      <c r="K1743" s="38" t="n">
        <v>240.350605237546</v>
      </c>
      <c r="L1743" s="38" t="n">
        <v>39.3663445087772</v>
      </c>
      <c r="M1743" s="38" t="n">
        <v>108.016832216177</v>
      </c>
      <c r="N1743" s="38" t="n">
        <v>129.513171239896</v>
      </c>
      <c r="O1743" s="38" t="n">
        <v>70.1917305361637</v>
      </c>
      <c r="P1743" s="37" t="n">
        <v>0</v>
      </c>
      <c r="Q1743" s="38" t="n">
        <v>0</v>
      </c>
      <c r="R1743" s="38" t="n">
        <v>72</v>
      </c>
      <c r="S1743" s="37" t="n">
        <v>1</v>
      </c>
    </row>
    <row r="1744" customFormat="false" ht="15" hidden="false" customHeight="false" outlineLevel="0" collapsed="false">
      <c r="A1744" s="37" t="n">
        <v>10</v>
      </c>
      <c r="B1744" s="37" t="n">
        <v>0</v>
      </c>
      <c r="C1744" s="37" t="n">
        <v>0</v>
      </c>
      <c r="D1744" s="37" t="n">
        <v>10</v>
      </c>
      <c r="E1744" s="37" t="n">
        <v>10</v>
      </c>
      <c r="F1744" s="37" t="n">
        <v>0</v>
      </c>
      <c r="G1744" s="37" t="s">
        <v>196</v>
      </c>
      <c r="H1744" s="38" t="n">
        <v>199.239929429907</v>
      </c>
      <c r="I1744" s="38" t="n">
        <v>200.027049276824</v>
      </c>
      <c r="J1744" s="38" t="n">
        <v>201.074295720488</v>
      </c>
      <c r="K1744" s="38" t="n">
        <v>239.707646450134</v>
      </c>
      <c r="L1744" s="38" t="n">
        <v>46.1520908945781</v>
      </c>
      <c r="M1744" s="38" t="n">
        <v>105.221785343572</v>
      </c>
      <c r="N1744" s="38" t="n">
        <v>120.415540974696</v>
      </c>
      <c r="O1744" s="38" t="n">
        <v>66.5744500698017</v>
      </c>
      <c r="P1744" s="37" t="n">
        <v>0</v>
      </c>
      <c r="Q1744" s="38" t="n">
        <v>0</v>
      </c>
      <c r="R1744" s="38" t="n">
        <v>70.604</v>
      </c>
      <c r="S1744" s="37" t="n">
        <v>0</v>
      </c>
    </row>
    <row r="1745" customFormat="false" ht="15" hidden="false" customHeight="false" outlineLevel="0" collapsed="false">
      <c r="A1745" s="37" t="n">
        <v>10</v>
      </c>
      <c r="B1745" s="37" t="n">
        <v>0</v>
      </c>
      <c r="C1745" s="37" t="n">
        <v>0</v>
      </c>
      <c r="D1745" s="37" t="n">
        <v>15</v>
      </c>
      <c r="E1745" s="37" t="n">
        <v>0</v>
      </c>
      <c r="F1745" s="37" t="n">
        <v>5</v>
      </c>
      <c r="G1745" s="37" t="s">
        <v>188</v>
      </c>
      <c r="H1745" s="38" t="n">
        <v>199.365540544285</v>
      </c>
      <c r="I1745" s="38" t="n">
        <v>200.286158791019</v>
      </c>
      <c r="J1745" s="38" t="n">
        <v>207.214672094324</v>
      </c>
      <c r="K1745" s="38" t="n">
        <v>229.012010685584</v>
      </c>
      <c r="L1745" s="38" t="n">
        <v>65.78856204186</v>
      </c>
      <c r="M1745" s="38" t="n">
        <v>101.941176775976</v>
      </c>
      <c r="N1745" s="38" t="n">
        <v>109.487857587864</v>
      </c>
      <c r="O1745" s="38" t="n">
        <v>67.4198751931183</v>
      </c>
      <c r="P1745" s="37" t="n">
        <v>0</v>
      </c>
      <c r="Q1745" s="38" t="n">
        <v>0</v>
      </c>
      <c r="R1745" s="38" t="n">
        <v>72</v>
      </c>
      <c r="S1745" s="37" t="n">
        <v>1</v>
      </c>
    </row>
    <row r="1746" customFormat="false" ht="15" hidden="false" customHeight="false" outlineLevel="0" collapsed="false">
      <c r="A1746" s="37" t="n">
        <v>10</v>
      </c>
      <c r="B1746" s="37" t="n">
        <v>0</v>
      </c>
      <c r="C1746" s="37" t="n">
        <v>0</v>
      </c>
      <c r="D1746" s="37" t="n">
        <v>15</v>
      </c>
      <c r="E1746" s="37" t="n">
        <v>0</v>
      </c>
      <c r="F1746" s="37" t="n">
        <v>5</v>
      </c>
      <c r="G1746" s="37" t="s">
        <v>192</v>
      </c>
      <c r="H1746" s="38" t="n">
        <v>199.365540544285</v>
      </c>
      <c r="I1746" s="38" t="n">
        <v>200.100521342392</v>
      </c>
      <c r="J1746" s="38" t="n">
        <v>204.291008274811</v>
      </c>
      <c r="K1746" s="38" t="n">
        <v>224.450577895558</v>
      </c>
      <c r="L1746" s="38" t="n">
        <v>63.3802340104905</v>
      </c>
      <c r="M1746" s="38" t="n">
        <v>94.8623675663002</v>
      </c>
      <c r="N1746" s="38" t="n">
        <v>95.5428602970098</v>
      </c>
      <c r="O1746" s="38" t="n">
        <v>60.7579182363091</v>
      </c>
      <c r="P1746" s="37" t="n">
        <v>0</v>
      </c>
      <c r="Q1746" s="38" t="n">
        <v>0</v>
      </c>
      <c r="R1746" s="38" t="n">
        <v>72</v>
      </c>
      <c r="S1746" s="37" t="n">
        <v>0</v>
      </c>
    </row>
    <row r="1747" customFormat="false" ht="15" hidden="false" customHeight="false" outlineLevel="0" collapsed="false">
      <c r="A1747" s="37" t="n">
        <v>10</v>
      </c>
      <c r="B1747" s="37" t="n">
        <v>0</v>
      </c>
      <c r="C1747" s="37" t="n">
        <v>0</v>
      </c>
      <c r="D1747" s="37" t="n">
        <v>15</v>
      </c>
      <c r="E1747" s="37" t="n">
        <v>0</v>
      </c>
      <c r="F1747" s="37" t="n">
        <v>5</v>
      </c>
      <c r="G1747" s="37" t="s">
        <v>195</v>
      </c>
      <c r="H1747" s="38" t="n">
        <v>199.365540544285</v>
      </c>
      <c r="I1747" s="38" t="n">
        <v>200.24743070384</v>
      </c>
      <c r="J1747" s="38" t="n">
        <v>203.664720288303</v>
      </c>
      <c r="K1747" s="38" t="n">
        <v>224.295791257264</v>
      </c>
      <c r="L1747" s="38" t="n">
        <v>71.0457912572642</v>
      </c>
      <c r="M1747" s="38" t="n">
        <v>101.802279646447</v>
      </c>
      <c r="N1747" s="38" t="n">
        <v>104.851241881069</v>
      </c>
      <c r="O1747" s="38" t="n">
        <v>64.8955848625778</v>
      </c>
      <c r="P1747" s="37" t="n">
        <v>0</v>
      </c>
      <c r="Q1747" s="38" t="n">
        <v>0</v>
      </c>
      <c r="R1747" s="38" t="n">
        <v>67.36</v>
      </c>
      <c r="S1747" s="37" t="n">
        <v>0</v>
      </c>
    </row>
    <row r="1748" customFormat="false" ht="15" hidden="false" customHeight="false" outlineLevel="0" collapsed="false">
      <c r="A1748" s="37" t="n">
        <v>10</v>
      </c>
      <c r="B1748" s="37" t="n">
        <v>0</v>
      </c>
      <c r="C1748" s="37" t="n">
        <v>0</v>
      </c>
      <c r="D1748" s="37" t="n">
        <v>15</v>
      </c>
      <c r="E1748" s="37" t="n">
        <v>0</v>
      </c>
      <c r="F1748" s="37" t="n">
        <v>5</v>
      </c>
      <c r="G1748" s="37" t="s">
        <v>197</v>
      </c>
      <c r="H1748" s="38" t="n">
        <v>199.365540544285</v>
      </c>
      <c r="I1748" s="38" t="n">
        <v>200.101499257609</v>
      </c>
      <c r="J1748" s="38" t="n">
        <v>203.70490859761</v>
      </c>
      <c r="K1748" s="38" t="n">
        <v>223.71016801491</v>
      </c>
      <c r="L1748" s="38" t="n">
        <v>61.6446995939723</v>
      </c>
      <c r="M1748" s="38" t="n">
        <v>99.6647795463282</v>
      </c>
      <c r="N1748" s="38" t="n">
        <v>97.9895649001563</v>
      </c>
      <c r="O1748" s="38" t="n">
        <v>62.7025139806046</v>
      </c>
      <c r="P1748" s="37" t="n">
        <v>0</v>
      </c>
      <c r="Q1748" s="38" t="n">
        <v>0</v>
      </c>
      <c r="R1748" s="38" t="n">
        <v>72</v>
      </c>
      <c r="S1748" s="37" t="n">
        <v>0</v>
      </c>
    </row>
    <row r="1749" customFormat="false" ht="15" hidden="false" customHeight="false" outlineLevel="0" collapsed="false">
      <c r="A1749" s="37" t="n">
        <v>10</v>
      </c>
      <c r="B1749" s="37" t="n">
        <v>0</v>
      </c>
      <c r="C1749" s="37" t="n">
        <v>0</v>
      </c>
      <c r="D1749" s="37" t="n">
        <v>15</v>
      </c>
      <c r="E1749" s="37" t="n">
        <v>0</v>
      </c>
      <c r="F1749" s="37" t="n">
        <v>5</v>
      </c>
      <c r="G1749" s="37" t="s">
        <v>196</v>
      </c>
      <c r="H1749" s="38" t="n">
        <v>199.365540544285</v>
      </c>
      <c r="I1749" s="38" t="n">
        <v>200.103469168877</v>
      </c>
      <c r="J1749" s="38" t="n">
        <v>196.989968446166</v>
      </c>
      <c r="K1749" s="38" t="n">
        <v>225.965941829746</v>
      </c>
      <c r="L1749" s="38" t="n">
        <v>72.4103862741907</v>
      </c>
      <c r="M1749" s="38" t="n">
        <v>102.059412438221</v>
      </c>
      <c r="N1749" s="38" t="n">
        <v>103.919233658907</v>
      </c>
      <c r="O1749" s="38" t="n">
        <v>62.9866789690356</v>
      </c>
      <c r="P1749" s="37" t="n">
        <v>0</v>
      </c>
      <c r="Q1749" s="38" t="n">
        <v>0</v>
      </c>
      <c r="R1749" s="38" t="n">
        <v>70.7373333333333</v>
      </c>
      <c r="S1749" s="37" t="n">
        <v>0</v>
      </c>
    </row>
    <row r="1750" customFormat="false" ht="15" hidden="false" customHeight="false" outlineLevel="0" collapsed="false">
      <c r="A1750" s="37" t="n">
        <v>10</v>
      </c>
      <c r="B1750" s="37" t="n">
        <v>0</v>
      </c>
      <c r="C1750" s="37" t="n">
        <v>0</v>
      </c>
      <c r="D1750" s="37" t="n">
        <v>15</v>
      </c>
      <c r="E1750" s="37" t="n">
        <v>5</v>
      </c>
      <c r="F1750" s="37" t="n">
        <v>0</v>
      </c>
      <c r="G1750" s="37" t="s">
        <v>188</v>
      </c>
      <c r="H1750" s="38" t="n">
        <v>199.373560881414</v>
      </c>
      <c r="I1750" s="38" t="n">
        <v>200.537567067243</v>
      </c>
      <c r="J1750" s="38" t="n">
        <v>211.687105020571</v>
      </c>
      <c r="K1750" s="38" t="n">
        <v>235.62732324975</v>
      </c>
      <c r="L1750" s="38" t="n">
        <v>32.6568700955354</v>
      </c>
      <c r="M1750" s="38" t="n">
        <v>103.203259198556</v>
      </c>
      <c r="N1750" s="38" t="n">
        <v>112.615432758884</v>
      </c>
      <c r="O1750" s="38" t="n">
        <v>67.9562050915661</v>
      </c>
      <c r="P1750" s="37" t="n">
        <v>0</v>
      </c>
      <c r="Q1750" s="38" t="n">
        <v>0</v>
      </c>
      <c r="R1750" s="38" t="n">
        <v>72</v>
      </c>
      <c r="S1750" s="37" t="n">
        <v>1</v>
      </c>
    </row>
    <row r="1751" customFormat="false" ht="15" hidden="false" customHeight="false" outlineLevel="0" collapsed="false">
      <c r="A1751" s="37" t="n">
        <v>10</v>
      </c>
      <c r="B1751" s="37" t="n">
        <v>0</v>
      </c>
      <c r="C1751" s="37" t="n">
        <v>0</v>
      </c>
      <c r="D1751" s="37" t="n">
        <v>15</v>
      </c>
      <c r="E1751" s="37" t="n">
        <v>5</v>
      </c>
      <c r="F1751" s="37" t="n">
        <v>0</v>
      </c>
      <c r="G1751" s="37" t="s">
        <v>192</v>
      </c>
      <c r="H1751" s="38" t="n">
        <v>199.373560881414</v>
      </c>
      <c r="I1751" s="38" t="n">
        <v>200.352951524131</v>
      </c>
      <c r="J1751" s="38" t="n">
        <v>208.172768408764</v>
      </c>
      <c r="K1751" s="38" t="n">
        <v>230.498859063709</v>
      </c>
      <c r="L1751" s="38" t="n">
        <v>29.4095318534908</v>
      </c>
      <c r="M1751" s="38" t="n">
        <v>96.2079820339462</v>
      </c>
      <c r="N1751" s="38" t="n">
        <v>94.8824218879602</v>
      </c>
      <c r="O1751" s="38" t="n">
        <v>61.2401512947782</v>
      </c>
      <c r="P1751" s="37" t="n">
        <v>0</v>
      </c>
      <c r="Q1751" s="38" t="n">
        <v>0</v>
      </c>
      <c r="R1751" s="38" t="n">
        <v>72</v>
      </c>
      <c r="S1751" s="37" t="n">
        <v>0</v>
      </c>
    </row>
    <row r="1752" customFormat="false" ht="15" hidden="false" customHeight="false" outlineLevel="0" collapsed="false">
      <c r="A1752" s="37" t="n">
        <v>10</v>
      </c>
      <c r="B1752" s="37" t="n">
        <v>0</v>
      </c>
      <c r="C1752" s="37" t="n">
        <v>0</v>
      </c>
      <c r="D1752" s="37" t="n">
        <v>15</v>
      </c>
      <c r="E1752" s="37" t="n">
        <v>5</v>
      </c>
      <c r="F1752" s="37" t="n">
        <v>0</v>
      </c>
      <c r="G1752" s="37" t="s">
        <v>195</v>
      </c>
      <c r="H1752" s="38" t="n">
        <v>199.373560881414</v>
      </c>
      <c r="I1752" s="38" t="n">
        <v>200.514853287565</v>
      </c>
      <c r="J1752" s="38" t="n">
        <v>207.802438767866</v>
      </c>
      <c r="K1752" s="38" t="n">
        <v>230.811021920595</v>
      </c>
      <c r="L1752" s="38" t="n">
        <v>37.5610219205949</v>
      </c>
      <c r="M1752" s="38" t="n">
        <v>103.104664600338</v>
      </c>
      <c r="N1752" s="38" t="n">
        <v>111.717900539866</v>
      </c>
      <c r="O1752" s="38" t="n">
        <v>65.7031255941835</v>
      </c>
      <c r="P1752" s="37" t="n">
        <v>0</v>
      </c>
      <c r="Q1752" s="38" t="n">
        <v>0</v>
      </c>
      <c r="R1752" s="38" t="n">
        <v>67.36</v>
      </c>
      <c r="S1752" s="37" t="n">
        <v>0</v>
      </c>
    </row>
    <row r="1753" customFormat="false" ht="15" hidden="false" customHeight="false" outlineLevel="0" collapsed="false">
      <c r="A1753" s="37" t="n">
        <v>10</v>
      </c>
      <c r="B1753" s="37" t="n">
        <v>0</v>
      </c>
      <c r="C1753" s="37" t="n">
        <v>0</v>
      </c>
      <c r="D1753" s="37" t="n">
        <v>15</v>
      </c>
      <c r="E1753" s="37" t="n">
        <v>5</v>
      </c>
      <c r="F1753" s="37" t="n">
        <v>0</v>
      </c>
      <c r="G1753" s="37" t="s">
        <v>197</v>
      </c>
      <c r="H1753" s="38" t="n">
        <v>199.373560881414</v>
      </c>
      <c r="I1753" s="38" t="n">
        <v>200.367789249612</v>
      </c>
      <c r="J1753" s="38" t="n">
        <v>208.372512174655</v>
      </c>
      <c r="K1753" s="38" t="n">
        <v>230.91325707342</v>
      </c>
      <c r="L1753" s="38" t="n">
        <v>29.3941084932921</v>
      </c>
      <c r="M1753" s="38" t="n">
        <v>104.328638968595</v>
      </c>
      <c r="N1753" s="38" t="n">
        <v>107.13023211092</v>
      </c>
      <c r="O1753" s="38" t="n">
        <v>67.4382029991505</v>
      </c>
      <c r="P1753" s="37" t="n">
        <v>0</v>
      </c>
      <c r="Q1753" s="38" t="n">
        <v>0</v>
      </c>
      <c r="R1753" s="38" t="n">
        <v>72</v>
      </c>
      <c r="S1753" s="37" t="n">
        <v>0</v>
      </c>
    </row>
    <row r="1754" customFormat="false" ht="15" hidden="false" customHeight="false" outlineLevel="0" collapsed="false">
      <c r="A1754" s="37" t="n">
        <v>10</v>
      </c>
      <c r="B1754" s="37" t="n">
        <v>0</v>
      </c>
      <c r="C1754" s="37" t="n">
        <v>0</v>
      </c>
      <c r="D1754" s="37" t="n">
        <v>15</v>
      </c>
      <c r="E1754" s="37" t="n">
        <v>5</v>
      </c>
      <c r="F1754" s="37" t="n">
        <v>0</v>
      </c>
      <c r="G1754" s="37" t="s">
        <v>196</v>
      </c>
      <c r="H1754" s="38" t="n">
        <v>199.373560881414</v>
      </c>
      <c r="I1754" s="38" t="n">
        <v>200.359337374675</v>
      </c>
      <c r="J1754" s="38" t="n">
        <v>200.466313188381</v>
      </c>
      <c r="K1754" s="38" t="n">
        <v>231.644070333123</v>
      </c>
      <c r="L1754" s="38" t="n">
        <v>38.0885147775675</v>
      </c>
      <c r="M1754" s="38" t="n">
        <v>104.0040134807</v>
      </c>
      <c r="N1754" s="38" t="n">
        <v>111.998168980872</v>
      </c>
      <c r="O1754" s="38" t="n">
        <v>64.7148242176422</v>
      </c>
      <c r="P1754" s="37" t="n">
        <v>0</v>
      </c>
      <c r="Q1754" s="38" t="n">
        <v>0</v>
      </c>
      <c r="R1754" s="38" t="n">
        <v>70.604</v>
      </c>
      <c r="S1754" s="37" t="n">
        <v>0</v>
      </c>
    </row>
    <row r="1755" customFormat="false" ht="15" hidden="false" customHeight="false" outlineLevel="0" collapsed="false">
      <c r="A1755" s="37" t="n">
        <v>10</v>
      </c>
      <c r="B1755" s="37" t="n">
        <v>0</v>
      </c>
      <c r="C1755" s="37" t="n">
        <v>0</v>
      </c>
      <c r="D1755" s="37" t="n">
        <v>20</v>
      </c>
      <c r="E1755" s="37" t="n">
        <v>0</v>
      </c>
      <c r="F1755" s="37" t="n">
        <v>0</v>
      </c>
      <c r="G1755" s="37" t="s">
        <v>188</v>
      </c>
      <c r="H1755" s="38" t="n">
        <v>199.524268565147</v>
      </c>
      <c r="I1755" s="38" t="n">
        <v>200.914899940608</v>
      </c>
      <c r="J1755" s="38" t="n">
        <v>209.840271812827</v>
      </c>
      <c r="K1755" s="38" t="n">
        <v>226.283707381682</v>
      </c>
      <c r="L1755" s="38" t="n">
        <v>34.7228503777575</v>
      </c>
      <c r="M1755" s="38" t="n">
        <v>102.199949564709</v>
      </c>
      <c r="N1755" s="38" t="n">
        <v>106.388088665764</v>
      </c>
      <c r="O1755" s="38" t="n">
        <v>64.0493185267118</v>
      </c>
      <c r="P1755" s="37" t="n">
        <v>0</v>
      </c>
      <c r="Q1755" s="38" t="n">
        <v>0</v>
      </c>
      <c r="R1755" s="38" t="n">
        <v>72</v>
      </c>
      <c r="S1755" s="37" t="n">
        <v>1</v>
      </c>
    </row>
    <row r="1756" customFormat="false" ht="15" hidden="false" customHeight="false" outlineLevel="0" collapsed="false">
      <c r="A1756" s="37" t="n">
        <v>10</v>
      </c>
      <c r="B1756" s="37" t="n">
        <v>0</v>
      </c>
      <c r="C1756" s="37" t="n">
        <v>0</v>
      </c>
      <c r="D1756" s="37" t="n">
        <v>20</v>
      </c>
      <c r="E1756" s="37" t="n">
        <v>0</v>
      </c>
      <c r="F1756" s="37" t="n">
        <v>0</v>
      </c>
      <c r="G1756" s="37" t="s">
        <v>192</v>
      </c>
      <c r="H1756" s="38" t="n">
        <v>199.524268565147</v>
      </c>
      <c r="I1756" s="38" t="n">
        <v>200.720324828979</v>
      </c>
      <c r="J1756" s="38" t="n">
        <v>206.548189558645</v>
      </c>
      <c r="K1756" s="38" t="n">
        <v>221.233282619019</v>
      </c>
      <c r="L1756" s="38" t="n">
        <v>31.5157551084957</v>
      </c>
      <c r="M1756" s="38" t="n">
        <v>95.1250473668277</v>
      </c>
      <c r="N1756" s="38" t="n">
        <v>88.868874404008</v>
      </c>
      <c r="O1756" s="38" t="n">
        <v>56.902644727969</v>
      </c>
      <c r="P1756" s="37" t="n">
        <v>0</v>
      </c>
      <c r="Q1756" s="38" t="n">
        <v>0</v>
      </c>
      <c r="R1756" s="38" t="n">
        <v>72</v>
      </c>
      <c r="S1756" s="37" t="n">
        <v>0</v>
      </c>
    </row>
    <row r="1757" customFormat="false" ht="15" hidden="false" customHeight="false" outlineLevel="0" collapsed="false">
      <c r="A1757" s="37" t="n">
        <v>10</v>
      </c>
      <c r="B1757" s="37" t="n">
        <v>0</v>
      </c>
      <c r="C1757" s="37" t="n">
        <v>0</v>
      </c>
      <c r="D1757" s="37" t="n">
        <v>20</v>
      </c>
      <c r="E1757" s="37" t="n">
        <v>0</v>
      </c>
      <c r="F1757" s="37" t="n">
        <v>0</v>
      </c>
      <c r="G1757" s="37" t="s">
        <v>195</v>
      </c>
      <c r="H1757" s="38" t="n">
        <v>199.524268565147</v>
      </c>
      <c r="I1757" s="38" t="n">
        <v>200.937626482715</v>
      </c>
      <c r="J1757" s="38" t="n">
        <v>206.795141185504</v>
      </c>
      <c r="K1757" s="38" t="n">
        <v>222.576945586834</v>
      </c>
      <c r="L1757" s="38" t="n">
        <v>29.3269455868337</v>
      </c>
      <c r="M1757" s="38" t="n">
        <v>103.002946895447</v>
      </c>
      <c r="N1757" s="38" t="n">
        <v>97.9906460565156</v>
      </c>
      <c r="O1757" s="38" t="n">
        <v>64.399604157647</v>
      </c>
      <c r="P1757" s="37" t="n">
        <v>0</v>
      </c>
      <c r="Q1757" s="38" t="n">
        <v>0</v>
      </c>
      <c r="R1757" s="38" t="n">
        <v>67.36</v>
      </c>
      <c r="S1757" s="37" t="n">
        <v>0</v>
      </c>
    </row>
    <row r="1758" customFormat="false" ht="15" hidden="false" customHeight="false" outlineLevel="0" collapsed="false">
      <c r="A1758" s="37" t="n">
        <v>10</v>
      </c>
      <c r="B1758" s="37" t="n">
        <v>0</v>
      </c>
      <c r="C1758" s="37" t="n">
        <v>0</v>
      </c>
      <c r="D1758" s="37" t="n">
        <v>20</v>
      </c>
      <c r="E1758" s="37" t="n">
        <v>0</v>
      </c>
      <c r="F1758" s="37" t="n">
        <v>0</v>
      </c>
      <c r="G1758" s="37" t="s">
        <v>197</v>
      </c>
      <c r="H1758" s="38" t="n">
        <v>199.524268565147</v>
      </c>
      <c r="I1758" s="38" t="n">
        <v>200.72156924037</v>
      </c>
      <c r="J1758" s="38" t="n">
        <v>205.977051687309</v>
      </c>
      <c r="K1758" s="38" t="n">
        <v>220.518903039079</v>
      </c>
      <c r="L1758" s="38" t="n">
        <v>33.5437679201603</v>
      </c>
      <c r="M1758" s="38" t="n">
        <v>99.9280933451419</v>
      </c>
      <c r="N1758" s="38" t="n">
        <v>92.8746951272866</v>
      </c>
      <c r="O1758" s="38" t="n">
        <v>59.0708821340562</v>
      </c>
      <c r="P1758" s="37" t="n">
        <v>0</v>
      </c>
      <c r="Q1758" s="38" t="n">
        <v>0</v>
      </c>
      <c r="R1758" s="38" t="n">
        <v>72</v>
      </c>
      <c r="S1758" s="37" t="n">
        <v>0</v>
      </c>
    </row>
    <row r="1759" customFormat="false" ht="15" hidden="false" customHeight="false" outlineLevel="0" collapsed="false">
      <c r="A1759" s="37" t="n">
        <v>10</v>
      </c>
      <c r="B1759" s="37" t="n">
        <v>0</v>
      </c>
      <c r="C1759" s="37" t="n">
        <v>0</v>
      </c>
      <c r="D1759" s="37" t="n">
        <v>20</v>
      </c>
      <c r="E1759" s="37" t="n">
        <v>0</v>
      </c>
      <c r="F1759" s="37" t="n">
        <v>0</v>
      </c>
      <c r="G1759" s="37" t="s">
        <v>196</v>
      </c>
      <c r="H1759" s="38" t="n">
        <v>199.524268565147</v>
      </c>
      <c r="I1759" s="38" t="n">
        <v>200.723390394232</v>
      </c>
      <c r="J1759" s="38" t="n">
        <v>199.20460985531</v>
      </c>
      <c r="K1759" s="38" t="n">
        <v>222.730588140027</v>
      </c>
      <c r="L1759" s="38" t="n">
        <v>29.1750325844714</v>
      </c>
      <c r="M1759" s="38" t="n">
        <v>102.619208213713</v>
      </c>
      <c r="N1759" s="38" t="n">
        <v>95.6765209138216</v>
      </c>
      <c r="O1759" s="38" t="n">
        <v>61.7431533155421</v>
      </c>
      <c r="P1759" s="37" t="n">
        <v>0</v>
      </c>
      <c r="Q1759" s="38" t="n">
        <v>0</v>
      </c>
      <c r="R1759" s="38" t="n">
        <v>70.7373333333333</v>
      </c>
      <c r="S1759" s="37" t="n">
        <v>0</v>
      </c>
    </row>
    <row r="1760" customFormat="false" ht="15" hidden="false" customHeight="false" outlineLevel="0" collapsed="false">
      <c r="A1760" s="37" t="n">
        <v>10</v>
      </c>
      <c r="B1760" s="37" t="n">
        <v>0</v>
      </c>
      <c r="C1760" s="37" t="n">
        <v>5</v>
      </c>
      <c r="D1760" s="37" t="n">
        <v>0</v>
      </c>
      <c r="E1760" s="37" t="n">
        <v>0</v>
      </c>
      <c r="F1760" s="37" t="n">
        <v>15</v>
      </c>
      <c r="G1760" s="37" t="s">
        <v>188</v>
      </c>
      <c r="H1760" s="38" t="n">
        <v>198.939429416132</v>
      </c>
      <c r="I1760" s="38" t="n">
        <v>199.856933050614</v>
      </c>
      <c r="J1760" s="38" t="n">
        <v>215.537911153104</v>
      </c>
      <c r="K1760" s="38" t="n">
        <v>264.954409335743</v>
      </c>
      <c r="L1760" s="38" t="n">
        <v>181.454993667202</v>
      </c>
      <c r="M1760" s="38" t="n">
        <v>105.910499225461</v>
      </c>
      <c r="N1760" s="38" t="n">
        <v>135.04516392128</v>
      </c>
      <c r="O1760" s="38" t="n">
        <v>74.9935125859878</v>
      </c>
      <c r="P1760" s="37" t="n">
        <v>0</v>
      </c>
      <c r="Q1760" s="38" t="n">
        <v>0</v>
      </c>
      <c r="R1760" s="38" t="n">
        <v>70.5</v>
      </c>
      <c r="S1760" s="37" t="n">
        <v>1</v>
      </c>
    </row>
    <row r="1761" customFormat="false" ht="15" hidden="false" customHeight="false" outlineLevel="0" collapsed="false">
      <c r="A1761" s="37" t="n">
        <v>10</v>
      </c>
      <c r="B1761" s="37" t="n">
        <v>0</v>
      </c>
      <c r="C1761" s="37" t="n">
        <v>5</v>
      </c>
      <c r="D1761" s="37" t="n">
        <v>0</v>
      </c>
      <c r="E1761" s="37" t="n">
        <v>0</v>
      </c>
      <c r="F1761" s="37" t="n">
        <v>15</v>
      </c>
      <c r="G1761" s="37" t="s">
        <v>192</v>
      </c>
      <c r="H1761" s="38" t="n">
        <v>198.939429416132</v>
      </c>
      <c r="I1761" s="38" t="n">
        <v>199.616164554889</v>
      </c>
      <c r="J1761" s="38" t="n">
        <v>211.186182364104</v>
      </c>
      <c r="K1761" s="38" t="n">
        <v>257.967894790519</v>
      </c>
      <c r="L1761" s="38" t="n">
        <v>176.551683138979</v>
      </c>
      <c r="M1761" s="38" t="n">
        <v>98.6617970805084</v>
      </c>
      <c r="N1761" s="38" t="n">
        <v>118.887216424393</v>
      </c>
      <c r="O1761" s="38" t="n">
        <v>66.4792298803042</v>
      </c>
      <c r="P1761" s="37" t="n">
        <v>0</v>
      </c>
      <c r="Q1761" s="38" t="n">
        <v>0</v>
      </c>
      <c r="R1761" s="38" t="n">
        <v>70.5</v>
      </c>
      <c r="S1761" s="37" t="n">
        <v>0</v>
      </c>
    </row>
    <row r="1762" customFormat="false" ht="15" hidden="false" customHeight="false" outlineLevel="0" collapsed="false">
      <c r="A1762" s="37" t="n">
        <v>10</v>
      </c>
      <c r="B1762" s="37" t="n">
        <v>0</v>
      </c>
      <c r="C1762" s="37" t="n">
        <v>5</v>
      </c>
      <c r="D1762" s="37" t="n">
        <v>0</v>
      </c>
      <c r="E1762" s="37" t="n">
        <v>0</v>
      </c>
      <c r="F1762" s="37" t="n">
        <v>15</v>
      </c>
      <c r="G1762" s="37" t="s">
        <v>195</v>
      </c>
      <c r="H1762" s="38" t="n">
        <v>198.939429416132</v>
      </c>
      <c r="I1762" s="38" t="n">
        <v>199.623258799118</v>
      </c>
      <c r="J1762" s="38" t="n">
        <v>206.568276298595</v>
      </c>
      <c r="K1762" s="38" t="n">
        <v>248.727549919735</v>
      </c>
      <c r="L1762" s="38" t="n">
        <v>169.914142479241</v>
      </c>
      <c r="M1762" s="38" t="n">
        <v>101.674422860835</v>
      </c>
      <c r="N1762" s="38" t="n">
        <v>114.199748359559</v>
      </c>
      <c r="O1762" s="38" t="n">
        <v>64.8549754012933</v>
      </c>
      <c r="P1762" s="37" t="n">
        <v>0</v>
      </c>
      <c r="Q1762" s="38" t="n">
        <v>0</v>
      </c>
      <c r="R1762" s="38" t="n">
        <v>68.5309777678517</v>
      </c>
      <c r="S1762" s="37" t="n">
        <v>0</v>
      </c>
    </row>
    <row r="1763" customFormat="false" ht="15" hidden="false" customHeight="false" outlineLevel="0" collapsed="false">
      <c r="A1763" s="37" t="n">
        <v>10</v>
      </c>
      <c r="B1763" s="37" t="n">
        <v>0</v>
      </c>
      <c r="C1763" s="37" t="n">
        <v>5</v>
      </c>
      <c r="D1763" s="37" t="n">
        <v>0</v>
      </c>
      <c r="E1763" s="37" t="n">
        <v>0</v>
      </c>
      <c r="F1763" s="37" t="n">
        <v>15</v>
      </c>
      <c r="G1763" s="37" t="s">
        <v>197</v>
      </c>
      <c r="H1763" s="38" t="n">
        <v>198.939429416132</v>
      </c>
      <c r="I1763" s="38" t="n">
        <v>199.613038071292</v>
      </c>
      <c r="J1763" s="38" t="n">
        <v>210.255015716404</v>
      </c>
      <c r="K1763" s="38" t="n">
        <v>256.759489222091</v>
      </c>
      <c r="L1763" s="38" t="n">
        <v>174.176149577781</v>
      </c>
      <c r="M1763" s="38" t="n">
        <v>101.122152113044</v>
      </c>
      <c r="N1763" s="38" t="n">
        <v>115.04888668405</v>
      </c>
      <c r="O1763" s="38" t="n">
        <v>66.4092418693324</v>
      </c>
      <c r="P1763" s="37" t="n">
        <v>0</v>
      </c>
      <c r="Q1763" s="38" t="n">
        <v>0</v>
      </c>
      <c r="R1763" s="38" t="n">
        <v>70.5</v>
      </c>
      <c r="S1763" s="37" t="n">
        <v>0</v>
      </c>
    </row>
    <row r="1764" customFormat="false" ht="15" hidden="false" customHeight="false" outlineLevel="0" collapsed="false">
      <c r="A1764" s="37" t="n">
        <v>10</v>
      </c>
      <c r="B1764" s="37" t="n">
        <v>0</v>
      </c>
      <c r="C1764" s="37" t="n">
        <v>5</v>
      </c>
      <c r="D1764" s="37" t="n">
        <v>0</v>
      </c>
      <c r="E1764" s="37" t="n">
        <v>0</v>
      </c>
      <c r="F1764" s="37" t="n">
        <v>15</v>
      </c>
      <c r="G1764" s="37" t="s">
        <v>196</v>
      </c>
      <c r="H1764" s="38" t="n">
        <v>198.939429416132</v>
      </c>
      <c r="I1764" s="38" t="n">
        <v>199.622803531011</v>
      </c>
      <c r="J1764" s="38" t="n">
        <v>211.098605154728</v>
      </c>
      <c r="K1764" s="38" t="n">
        <v>258.07888376373</v>
      </c>
      <c r="L1764" s="38" t="n">
        <v>182.040232970079</v>
      </c>
      <c r="M1764" s="38" t="n">
        <v>103.033981134974</v>
      </c>
      <c r="N1764" s="38" t="n">
        <v>122.742275624985</v>
      </c>
      <c r="O1764" s="38" t="n">
        <v>69.6869331572096</v>
      </c>
      <c r="P1764" s="37" t="n">
        <v>0</v>
      </c>
      <c r="Q1764" s="38" t="n">
        <v>0</v>
      </c>
      <c r="R1764" s="38" t="n">
        <v>69.6040571428571</v>
      </c>
      <c r="S1764" s="37" t="n">
        <v>0</v>
      </c>
    </row>
    <row r="1765" customFormat="false" ht="15" hidden="false" customHeight="false" outlineLevel="0" collapsed="false">
      <c r="A1765" s="37" t="n">
        <v>10</v>
      </c>
      <c r="B1765" s="37" t="n">
        <v>0</v>
      </c>
      <c r="C1765" s="37" t="n">
        <v>5</v>
      </c>
      <c r="D1765" s="37" t="n">
        <v>0</v>
      </c>
      <c r="E1765" s="37" t="n">
        <v>5</v>
      </c>
      <c r="F1765" s="37" t="n">
        <v>10</v>
      </c>
      <c r="G1765" s="37" t="s">
        <v>188</v>
      </c>
      <c r="H1765" s="38" t="n">
        <v>198.951498896966</v>
      </c>
      <c r="I1765" s="38" t="n">
        <v>200.002559950503</v>
      </c>
      <c r="J1765" s="38" t="n">
        <v>218.673766899784</v>
      </c>
      <c r="K1765" s="38" t="n">
        <v>269.402360088184</v>
      </c>
      <c r="L1765" s="38" t="n">
        <v>146.098914116812</v>
      </c>
      <c r="M1765" s="38" t="n">
        <v>106.8724027387</v>
      </c>
      <c r="N1765" s="38" t="n">
        <v>142.270295693665</v>
      </c>
      <c r="O1765" s="38" t="n">
        <v>75.9903209911471</v>
      </c>
      <c r="P1765" s="37" t="n">
        <v>0</v>
      </c>
      <c r="Q1765" s="38" t="n">
        <v>0</v>
      </c>
      <c r="R1765" s="38" t="n">
        <v>70.5</v>
      </c>
      <c r="S1765" s="37" t="n">
        <v>1</v>
      </c>
    </row>
    <row r="1766" customFormat="false" ht="15" hidden="false" customHeight="false" outlineLevel="0" collapsed="false">
      <c r="A1766" s="37" t="n">
        <v>10</v>
      </c>
      <c r="B1766" s="37" t="n">
        <v>0</v>
      </c>
      <c r="C1766" s="37" t="n">
        <v>5</v>
      </c>
      <c r="D1766" s="37" t="n">
        <v>0</v>
      </c>
      <c r="E1766" s="37" t="n">
        <v>5</v>
      </c>
      <c r="F1766" s="37" t="n">
        <v>10</v>
      </c>
      <c r="G1766" s="37" t="s">
        <v>192</v>
      </c>
      <c r="H1766" s="38" t="n">
        <v>198.951498896966</v>
      </c>
      <c r="I1766" s="38" t="n">
        <v>199.760356327905</v>
      </c>
      <c r="J1766" s="38" t="n">
        <v>213.738950790169</v>
      </c>
      <c r="K1766" s="38" t="n">
        <v>261.763863112595</v>
      </c>
      <c r="L1766" s="38" t="n">
        <v>140.312397999303</v>
      </c>
      <c r="M1766" s="38" t="n">
        <v>99.7062472608528</v>
      </c>
      <c r="N1766" s="38" t="n">
        <v>125.016141883393</v>
      </c>
      <c r="O1766" s="38" t="n">
        <v>68.5177739041118</v>
      </c>
      <c r="P1766" s="37" t="n">
        <v>0</v>
      </c>
      <c r="Q1766" s="38" t="n">
        <v>0</v>
      </c>
      <c r="R1766" s="38" t="n">
        <v>70.5</v>
      </c>
      <c r="S1766" s="37" t="n">
        <v>0</v>
      </c>
    </row>
    <row r="1767" customFormat="false" ht="15" hidden="false" customHeight="false" outlineLevel="0" collapsed="false">
      <c r="A1767" s="37" t="n">
        <v>10</v>
      </c>
      <c r="B1767" s="37" t="n">
        <v>0</v>
      </c>
      <c r="C1767" s="37" t="n">
        <v>5</v>
      </c>
      <c r="D1767" s="37" t="n">
        <v>0</v>
      </c>
      <c r="E1767" s="37" t="n">
        <v>5</v>
      </c>
      <c r="F1767" s="37" t="n">
        <v>10</v>
      </c>
      <c r="G1767" s="37" t="s">
        <v>195</v>
      </c>
      <c r="H1767" s="38" t="n">
        <v>198.951498896966</v>
      </c>
      <c r="I1767" s="38" t="n">
        <v>199.770795317326</v>
      </c>
      <c r="J1767" s="38" t="n">
        <v>208.882090522472</v>
      </c>
      <c r="K1767" s="38" t="n">
        <v>252.27063317592</v>
      </c>
      <c r="L1767" s="38" t="n">
        <v>133.350716147096</v>
      </c>
      <c r="M1767" s="38" t="n">
        <v>102.727112321473</v>
      </c>
      <c r="N1767" s="38" t="n">
        <v>120.072201922326</v>
      </c>
      <c r="O1767" s="38" t="n">
        <v>65.4595804601717</v>
      </c>
      <c r="P1767" s="37" t="n">
        <v>0</v>
      </c>
      <c r="Q1767" s="38" t="n">
        <v>0</v>
      </c>
      <c r="R1767" s="38" t="n">
        <v>68.4990248913528</v>
      </c>
      <c r="S1767" s="37" t="n">
        <v>0</v>
      </c>
    </row>
    <row r="1768" customFormat="false" ht="15" hidden="false" customHeight="false" outlineLevel="0" collapsed="false">
      <c r="A1768" s="37" t="n">
        <v>10</v>
      </c>
      <c r="B1768" s="37" t="n">
        <v>0</v>
      </c>
      <c r="C1768" s="37" t="n">
        <v>5</v>
      </c>
      <c r="D1768" s="37" t="n">
        <v>0</v>
      </c>
      <c r="E1768" s="37" t="n">
        <v>5</v>
      </c>
      <c r="F1768" s="37" t="n">
        <v>10</v>
      </c>
      <c r="G1768" s="37" t="s">
        <v>197</v>
      </c>
      <c r="H1768" s="38" t="n">
        <v>198.951498896966</v>
      </c>
      <c r="I1768" s="38" t="n">
        <v>199.770679196176</v>
      </c>
      <c r="J1768" s="38" t="n">
        <v>213.612440604085</v>
      </c>
      <c r="K1768" s="38" t="n">
        <v>261.775379812113</v>
      </c>
      <c r="L1768" s="38" t="n">
        <v>139.72148874465</v>
      </c>
      <c r="M1768" s="38" t="n">
        <v>105.526999062636</v>
      </c>
      <c r="N1768" s="38" t="n">
        <v>130.828397904344</v>
      </c>
      <c r="O1768" s="38" t="n">
        <v>72.5320451350912</v>
      </c>
      <c r="P1768" s="37" t="n">
        <v>0</v>
      </c>
      <c r="Q1768" s="38" t="n">
        <v>0</v>
      </c>
      <c r="R1768" s="38" t="n">
        <v>70.5</v>
      </c>
      <c r="S1768" s="37" t="n">
        <v>0</v>
      </c>
    </row>
    <row r="1769" customFormat="false" ht="15" hidden="false" customHeight="false" outlineLevel="0" collapsed="false">
      <c r="A1769" s="37" t="n">
        <v>10</v>
      </c>
      <c r="B1769" s="37" t="n">
        <v>0</v>
      </c>
      <c r="C1769" s="37" t="n">
        <v>5</v>
      </c>
      <c r="D1769" s="37" t="n">
        <v>0</v>
      </c>
      <c r="E1769" s="37" t="n">
        <v>5</v>
      </c>
      <c r="F1769" s="37" t="n">
        <v>10</v>
      </c>
      <c r="G1769" s="37" t="s">
        <v>196</v>
      </c>
      <c r="H1769" s="38" t="n">
        <v>198.951498896966</v>
      </c>
      <c r="I1769" s="38" t="n">
        <v>199.773374311948</v>
      </c>
      <c r="J1769" s="38" t="n">
        <v>213.556541083501</v>
      </c>
      <c r="K1769" s="38" t="n">
        <v>261.865493917872</v>
      </c>
      <c r="L1769" s="38" t="n">
        <v>145.412729804912</v>
      </c>
      <c r="M1769" s="38" t="n">
        <v>104.748529620958</v>
      </c>
      <c r="N1769" s="38" t="n">
        <v>130.512429677155</v>
      </c>
      <c r="O1769" s="38" t="n">
        <v>73.1843270787757</v>
      </c>
      <c r="P1769" s="37" t="n">
        <v>0</v>
      </c>
      <c r="Q1769" s="38" t="n">
        <v>0</v>
      </c>
      <c r="R1769" s="38" t="n">
        <v>69.504669946223</v>
      </c>
      <c r="S1769" s="37" t="n">
        <v>0</v>
      </c>
    </row>
    <row r="1770" customFormat="false" ht="15" hidden="false" customHeight="false" outlineLevel="0" collapsed="false">
      <c r="A1770" s="37" t="n">
        <v>10</v>
      </c>
      <c r="B1770" s="37" t="n">
        <v>0</v>
      </c>
      <c r="C1770" s="37" t="n">
        <v>5</v>
      </c>
      <c r="D1770" s="37" t="n">
        <v>0</v>
      </c>
      <c r="E1770" s="37" t="n">
        <v>10</v>
      </c>
      <c r="F1770" s="37" t="n">
        <v>5</v>
      </c>
      <c r="G1770" s="37" t="s">
        <v>188</v>
      </c>
      <c r="H1770" s="38" t="n">
        <v>198.966390507971</v>
      </c>
      <c r="I1770" s="38" t="n">
        <v>200.171919389169</v>
      </c>
      <c r="J1770" s="38" t="n">
        <v>220.787346632704</v>
      </c>
      <c r="K1770" s="38" t="n">
        <v>272.497730533236</v>
      </c>
      <c r="L1770" s="38" t="n">
        <v>109.348184626915</v>
      </c>
      <c r="M1770" s="38" t="n">
        <v>107.788193861559</v>
      </c>
      <c r="N1770" s="38" t="n">
        <v>147.447055662704</v>
      </c>
      <c r="O1770" s="38" t="n">
        <v>75.6368491171999</v>
      </c>
      <c r="P1770" s="37" t="n">
        <v>0</v>
      </c>
      <c r="Q1770" s="38" t="n">
        <v>0</v>
      </c>
      <c r="R1770" s="38" t="n">
        <v>70.5</v>
      </c>
      <c r="S1770" s="37" t="n">
        <v>1</v>
      </c>
    </row>
    <row r="1771" customFormat="false" ht="15" hidden="false" customHeight="false" outlineLevel="0" collapsed="false">
      <c r="A1771" s="37" t="n">
        <v>10</v>
      </c>
      <c r="B1771" s="37" t="n">
        <v>0</v>
      </c>
      <c r="C1771" s="37" t="n">
        <v>5</v>
      </c>
      <c r="D1771" s="37" t="n">
        <v>0</v>
      </c>
      <c r="E1771" s="37" t="n">
        <v>10</v>
      </c>
      <c r="F1771" s="37" t="n">
        <v>5</v>
      </c>
      <c r="G1771" s="37" t="s">
        <v>192</v>
      </c>
      <c r="H1771" s="38" t="n">
        <v>198.966390507971</v>
      </c>
      <c r="I1771" s="38" t="n">
        <v>199.938557413337</v>
      </c>
      <c r="J1771" s="38" t="n">
        <v>215.681974065693</v>
      </c>
      <c r="K1771" s="38" t="n">
        <v>264.826783912784</v>
      </c>
      <c r="L1771" s="38" t="n">
        <v>103.351020508653</v>
      </c>
      <c r="M1771" s="38" t="n">
        <v>100.714714726696</v>
      </c>
      <c r="N1771" s="38" t="n">
        <v>129.814061182517</v>
      </c>
      <c r="O1771" s="38" t="n">
        <v>68.2087834083962</v>
      </c>
      <c r="P1771" s="37" t="n">
        <v>0</v>
      </c>
      <c r="Q1771" s="38" t="n">
        <v>0</v>
      </c>
      <c r="R1771" s="38" t="n">
        <v>70.5</v>
      </c>
      <c r="S1771" s="37" t="n">
        <v>0</v>
      </c>
    </row>
    <row r="1772" customFormat="false" ht="15" hidden="false" customHeight="false" outlineLevel="0" collapsed="false">
      <c r="A1772" s="37" t="n">
        <v>10</v>
      </c>
      <c r="B1772" s="37" t="n">
        <v>0</v>
      </c>
      <c r="C1772" s="37" t="n">
        <v>5</v>
      </c>
      <c r="D1772" s="37" t="n">
        <v>0</v>
      </c>
      <c r="E1772" s="37" t="n">
        <v>10</v>
      </c>
      <c r="F1772" s="37" t="n">
        <v>5</v>
      </c>
      <c r="G1772" s="37" t="s">
        <v>195</v>
      </c>
      <c r="H1772" s="38" t="n">
        <v>198.966390507971</v>
      </c>
      <c r="I1772" s="38" t="n">
        <v>199.952669626486</v>
      </c>
      <c r="J1772" s="38" t="n">
        <v>210.683597223766</v>
      </c>
      <c r="K1772" s="38" t="n">
        <v>255.214991065908</v>
      </c>
      <c r="L1772" s="38" t="n">
        <v>96.2248604762575</v>
      </c>
      <c r="M1772" s="38" t="n">
        <v>103.744511000668</v>
      </c>
      <c r="N1772" s="38" t="n">
        <v>124.734415848699</v>
      </c>
      <c r="O1772" s="38" t="n">
        <v>65.2423245345494</v>
      </c>
      <c r="P1772" s="37" t="n">
        <v>0</v>
      </c>
      <c r="Q1772" s="38" t="n">
        <v>0</v>
      </c>
      <c r="R1772" s="38" t="n">
        <v>68.477960823105</v>
      </c>
      <c r="S1772" s="37" t="n">
        <v>0</v>
      </c>
    </row>
    <row r="1773" customFormat="false" ht="15" hidden="false" customHeight="false" outlineLevel="0" collapsed="false">
      <c r="A1773" s="37" t="n">
        <v>10</v>
      </c>
      <c r="B1773" s="37" t="n">
        <v>0</v>
      </c>
      <c r="C1773" s="37" t="n">
        <v>5</v>
      </c>
      <c r="D1773" s="37" t="n">
        <v>0</v>
      </c>
      <c r="E1773" s="37" t="n">
        <v>10</v>
      </c>
      <c r="F1773" s="37" t="n">
        <v>5</v>
      </c>
      <c r="G1773" s="37" t="s">
        <v>197</v>
      </c>
      <c r="H1773" s="38" t="n">
        <v>198.966390507971</v>
      </c>
      <c r="I1773" s="38" t="n">
        <v>199.971208570397</v>
      </c>
      <c r="J1773" s="38" t="n">
        <v>216.619532188676</v>
      </c>
      <c r="K1773" s="38" t="n">
        <v>266.400699684857</v>
      </c>
      <c r="L1773" s="38" t="n">
        <v>105.025951565698</v>
      </c>
      <c r="M1773" s="38" t="n">
        <v>109.169894384886</v>
      </c>
      <c r="N1773" s="38" t="n">
        <v>144.004629558701</v>
      </c>
      <c r="O1773" s="38" t="n">
        <v>74.0698728301867</v>
      </c>
      <c r="P1773" s="37" t="n">
        <v>0</v>
      </c>
      <c r="Q1773" s="38" t="n">
        <v>0</v>
      </c>
      <c r="R1773" s="38" t="n">
        <v>70.5</v>
      </c>
      <c r="S1773" s="37" t="n">
        <v>0</v>
      </c>
    </row>
    <row r="1774" customFormat="false" ht="15" hidden="false" customHeight="false" outlineLevel="0" collapsed="false">
      <c r="A1774" s="37" t="n">
        <v>10</v>
      </c>
      <c r="B1774" s="37" t="n">
        <v>0</v>
      </c>
      <c r="C1774" s="37" t="n">
        <v>5</v>
      </c>
      <c r="D1774" s="37" t="n">
        <v>0</v>
      </c>
      <c r="E1774" s="37" t="n">
        <v>10</v>
      </c>
      <c r="F1774" s="37" t="n">
        <v>5</v>
      </c>
      <c r="G1774" s="37" t="s">
        <v>196</v>
      </c>
      <c r="H1774" s="38" t="n">
        <v>198.966390507971</v>
      </c>
      <c r="I1774" s="38" t="n">
        <v>199.95492875915</v>
      </c>
      <c r="J1774" s="38" t="n">
        <v>215.433401678909</v>
      </c>
      <c r="K1774" s="38" t="n">
        <v>264.973925539761</v>
      </c>
      <c r="L1774" s="38" t="n">
        <v>108.457959844196</v>
      </c>
      <c r="M1774" s="38" t="n">
        <v>106.26770918105</v>
      </c>
      <c r="N1774" s="38" t="n">
        <v>136.488533745579</v>
      </c>
      <c r="O1774" s="38" t="n">
        <v>73.3642436872151</v>
      </c>
      <c r="P1774" s="37" t="n">
        <v>0</v>
      </c>
      <c r="Q1774" s="38" t="n">
        <v>0</v>
      </c>
      <c r="R1774" s="38" t="n">
        <v>69.4895015663978</v>
      </c>
      <c r="S1774" s="37" t="n">
        <v>0</v>
      </c>
    </row>
    <row r="1775" customFormat="false" ht="15" hidden="false" customHeight="false" outlineLevel="0" collapsed="false">
      <c r="A1775" s="37" t="n">
        <v>10</v>
      </c>
      <c r="B1775" s="37" t="n">
        <v>0</v>
      </c>
      <c r="C1775" s="37" t="n">
        <v>5</v>
      </c>
      <c r="D1775" s="37" t="n">
        <v>0</v>
      </c>
      <c r="E1775" s="37" t="n">
        <v>15</v>
      </c>
      <c r="F1775" s="37" t="n">
        <v>0</v>
      </c>
      <c r="G1775" s="37" t="s">
        <v>188</v>
      </c>
      <c r="H1775" s="38" t="n">
        <v>198.970438015956</v>
      </c>
      <c r="I1775" s="38" t="n">
        <v>200.198147581286</v>
      </c>
      <c r="J1775" s="38" t="n">
        <v>221.591199395021</v>
      </c>
      <c r="K1775" s="38" t="n">
        <v>273.371958385639</v>
      </c>
      <c r="L1775" s="38" t="n">
        <v>70.3246445533118</v>
      </c>
      <c r="M1775" s="38" t="n">
        <v>108.221937239628</v>
      </c>
      <c r="N1775" s="38" t="n">
        <v>150.065123858446</v>
      </c>
      <c r="O1775" s="38" t="n">
        <v>74.804051704878</v>
      </c>
      <c r="P1775" s="37" t="n">
        <v>0</v>
      </c>
      <c r="Q1775" s="38" t="n">
        <v>0</v>
      </c>
      <c r="R1775" s="38" t="n">
        <v>70.5</v>
      </c>
      <c r="S1775" s="37" t="n">
        <v>1</v>
      </c>
    </row>
    <row r="1776" customFormat="false" ht="15" hidden="false" customHeight="false" outlineLevel="0" collapsed="false">
      <c r="A1776" s="37" t="n">
        <v>10</v>
      </c>
      <c r="B1776" s="37" t="n">
        <v>0</v>
      </c>
      <c r="C1776" s="37" t="n">
        <v>5</v>
      </c>
      <c r="D1776" s="37" t="n">
        <v>0</v>
      </c>
      <c r="E1776" s="37" t="n">
        <v>15</v>
      </c>
      <c r="F1776" s="37" t="n">
        <v>0</v>
      </c>
      <c r="G1776" s="37" t="s">
        <v>192</v>
      </c>
      <c r="H1776" s="38" t="n">
        <v>198.970438015956</v>
      </c>
      <c r="I1776" s="38" t="n">
        <v>199.973388523181</v>
      </c>
      <c r="J1776" s="38" t="n">
        <v>216.348105862902</v>
      </c>
      <c r="K1776" s="38" t="n">
        <v>265.623468486961</v>
      </c>
      <c r="L1776" s="38" t="n">
        <v>64.1155626060622</v>
      </c>
      <c r="M1776" s="38" t="n">
        <v>101.260865921039</v>
      </c>
      <c r="N1776" s="38" t="n">
        <v>132.149920291846</v>
      </c>
      <c r="O1776" s="38" t="n">
        <v>67.4018516168404</v>
      </c>
      <c r="P1776" s="37" t="n">
        <v>0</v>
      </c>
      <c r="Q1776" s="38" t="n">
        <v>0</v>
      </c>
      <c r="R1776" s="38" t="n">
        <v>70.5</v>
      </c>
      <c r="S1776" s="37" t="n">
        <v>0</v>
      </c>
    </row>
    <row r="1777" customFormat="false" ht="15" hidden="false" customHeight="false" outlineLevel="0" collapsed="false">
      <c r="A1777" s="37" t="n">
        <v>10</v>
      </c>
      <c r="B1777" s="37" t="n">
        <v>0</v>
      </c>
      <c r="C1777" s="37" t="n">
        <v>5</v>
      </c>
      <c r="D1777" s="37" t="n">
        <v>0</v>
      </c>
      <c r="E1777" s="37" t="n">
        <v>15</v>
      </c>
      <c r="F1777" s="37" t="n">
        <v>0</v>
      </c>
      <c r="G1777" s="37" t="s">
        <v>195</v>
      </c>
      <c r="H1777" s="38" t="n">
        <v>198.970438015956</v>
      </c>
      <c r="I1777" s="38" t="n">
        <v>199.990729584841</v>
      </c>
      <c r="J1777" s="38" t="n">
        <v>211.401795266257</v>
      </c>
      <c r="K1777" s="38" t="n">
        <v>256.076636520944</v>
      </c>
      <c r="L1777" s="38" t="n">
        <v>57.0160487793766</v>
      </c>
      <c r="M1777" s="38" t="n">
        <v>104.298696557075</v>
      </c>
      <c r="N1777" s="38" t="n">
        <v>127.205656196066</v>
      </c>
      <c r="O1777" s="38" t="n">
        <v>64.526693140038</v>
      </c>
      <c r="P1777" s="37" t="n">
        <v>0</v>
      </c>
      <c r="Q1777" s="38" t="n">
        <v>0</v>
      </c>
      <c r="R1777" s="38" t="n">
        <v>68.4568236775299</v>
      </c>
      <c r="S1777" s="37" t="n">
        <v>0</v>
      </c>
    </row>
    <row r="1778" customFormat="false" ht="15" hidden="false" customHeight="false" outlineLevel="0" collapsed="false">
      <c r="A1778" s="37" t="n">
        <v>10</v>
      </c>
      <c r="B1778" s="37" t="n">
        <v>0</v>
      </c>
      <c r="C1778" s="37" t="n">
        <v>5</v>
      </c>
      <c r="D1778" s="37" t="n">
        <v>0</v>
      </c>
      <c r="E1778" s="37" t="n">
        <v>15</v>
      </c>
      <c r="F1778" s="37" t="n">
        <v>0</v>
      </c>
      <c r="G1778" s="37" t="s">
        <v>197</v>
      </c>
      <c r="H1778" s="38" t="n">
        <v>198.970438015956</v>
      </c>
      <c r="I1778" s="38" t="n">
        <v>200.027778907834</v>
      </c>
      <c r="J1778" s="38" t="n">
        <v>218.214905607027</v>
      </c>
      <c r="K1778" s="38" t="n">
        <v>268.562274083522</v>
      </c>
      <c r="L1778" s="38" t="n">
        <v>67.6193927910173</v>
      </c>
      <c r="M1778" s="38" t="n">
        <v>111.276007612441</v>
      </c>
      <c r="N1778" s="38" t="n">
        <v>149.273138209806</v>
      </c>
      <c r="O1778" s="38" t="n">
        <v>73.8835429586557</v>
      </c>
      <c r="P1778" s="37" t="n">
        <v>0</v>
      </c>
      <c r="Q1778" s="38" t="n">
        <v>0</v>
      </c>
      <c r="R1778" s="38" t="n">
        <v>70.5</v>
      </c>
      <c r="S1778" s="37" t="n">
        <v>0</v>
      </c>
    </row>
    <row r="1779" customFormat="false" ht="15" hidden="false" customHeight="false" outlineLevel="0" collapsed="false">
      <c r="A1779" s="37" t="n">
        <v>10</v>
      </c>
      <c r="B1779" s="37" t="n">
        <v>0</v>
      </c>
      <c r="C1779" s="37" t="n">
        <v>5</v>
      </c>
      <c r="D1779" s="37" t="n">
        <v>0</v>
      </c>
      <c r="E1779" s="37" t="n">
        <v>15</v>
      </c>
      <c r="F1779" s="37" t="n">
        <v>0</v>
      </c>
      <c r="G1779" s="37" t="s">
        <v>196</v>
      </c>
      <c r="H1779" s="38" t="n">
        <v>198.970438015956</v>
      </c>
      <c r="I1779" s="38" t="n">
        <v>199.995908594609</v>
      </c>
      <c r="J1779" s="38" t="n">
        <v>216.269845083541</v>
      </c>
      <c r="K1779" s="38" t="n">
        <v>266.080186613782</v>
      </c>
      <c r="L1779" s="38" t="n">
        <v>69.4979869238498</v>
      </c>
      <c r="M1779" s="38" t="n">
        <v>107.116373405937</v>
      </c>
      <c r="N1779" s="38" t="n">
        <v>139.434963300809</v>
      </c>
      <c r="O1779" s="38" t="n">
        <v>72.6027184957924</v>
      </c>
      <c r="P1779" s="37" t="n">
        <v>0</v>
      </c>
      <c r="Q1779" s="38" t="n">
        <v>0</v>
      </c>
      <c r="R1779" s="38" t="n">
        <v>69.4736054077496</v>
      </c>
      <c r="S1779" s="37" t="n">
        <v>0</v>
      </c>
    </row>
    <row r="1780" customFormat="false" ht="15" hidden="false" customHeight="false" outlineLevel="0" collapsed="false">
      <c r="A1780" s="37" t="n">
        <v>10</v>
      </c>
      <c r="B1780" s="37" t="n">
        <v>0</v>
      </c>
      <c r="C1780" s="37" t="n">
        <v>5</v>
      </c>
      <c r="D1780" s="37" t="n">
        <v>5</v>
      </c>
      <c r="E1780" s="37" t="n">
        <v>0</v>
      </c>
      <c r="F1780" s="37" t="n">
        <v>10</v>
      </c>
      <c r="G1780" s="37" t="s">
        <v>188</v>
      </c>
      <c r="H1780" s="38" t="n">
        <v>199.139897687019</v>
      </c>
      <c r="I1780" s="38" t="n">
        <v>201.331270866237</v>
      </c>
      <c r="J1780" s="38" t="n">
        <v>226.656588670247</v>
      </c>
      <c r="K1780" s="38" t="n">
        <v>271.610767390261</v>
      </c>
      <c r="L1780" s="38" t="n">
        <v>149.168935289358</v>
      </c>
      <c r="M1780" s="38" t="n">
        <v>107.7512042333</v>
      </c>
      <c r="N1780" s="38" t="n">
        <v>146.704123402005</v>
      </c>
      <c r="O1780" s="38" t="n">
        <v>82.1647453138847</v>
      </c>
      <c r="P1780" s="37" t="n">
        <v>0</v>
      </c>
      <c r="Q1780" s="38" t="n">
        <v>0</v>
      </c>
      <c r="R1780" s="38" t="n">
        <v>72</v>
      </c>
      <c r="S1780" s="37" t="n">
        <v>1</v>
      </c>
    </row>
    <row r="1781" customFormat="false" ht="15" hidden="false" customHeight="false" outlineLevel="0" collapsed="false">
      <c r="A1781" s="37" t="n">
        <v>10</v>
      </c>
      <c r="B1781" s="37" t="n">
        <v>0</v>
      </c>
      <c r="C1781" s="37" t="n">
        <v>5</v>
      </c>
      <c r="D1781" s="37" t="n">
        <v>5</v>
      </c>
      <c r="E1781" s="37" t="n">
        <v>0</v>
      </c>
      <c r="F1781" s="37" t="n">
        <v>10</v>
      </c>
      <c r="G1781" s="37" t="s">
        <v>192</v>
      </c>
      <c r="H1781" s="38" t="n">
        <v>199.139897687019</v>
      </c>
      <c r="I1781" s="38" t="n">
        <v>201.066875077067</v>
      </c>
      <c r="J1781" s="38" t="n">
        <v>220.969210956151</v>
      </c>
      <c r="K1781" s="38" t="n">
        <v>262.966110078871</v>
      </c>
      <c r="L1781" s="38" t="n">
        <v>141.955650119747</v>
      </c>
      <c r="M1781" s="38" t="n">
        <v>100.503263330531</v>
      </c>
      <c r="N1781" s="38" t="n">
        <v>128.897313475183</v>
      </c>
      <c r="O1781" s="38" t="n">
        <v>73.8855339945537</v>
      </c>
      <c r="P1781" s="37" t="n">
        <v>0</v>
      </c>
      <c r="Q1781" s="38" t="n">
        <v>0</v>
      </c>
      <c r="R1781" s="38" t="n">
        <v>72</v>
      </c>
      <c r="S1781" s="37" t="n">
        <v>0</v>
      </c>
    </row>
    <row r="1782" customFormat="false" ht="15" hidden="false" customHeight="false" outlineLevel="0" collapsed="false">
      <c r="A1782" s="37" t="n">
        <v>10</v>
      </c>
      <c r="B1782" s="37" t="n">
        <v>0</v>
      </c>
      <c r="C1782" s="37" t="n">
        <v>5</v>
      </c>
      <c r="D1782" s="37" t="n">
        <v>5</v>
      </c>
      <c r="E1782" s="37" t="n">
        <v>0</v>
      </c>
      <c r="F1782" s="37" t="n">
        <v>10</v>
      </c>
      <c r="G1782" s="37" t="s">
        <v>195</v>
      </c>
      <c r="H1782" s="38" t="n">
        <v>199.139897687019</v>
      </c>
      <c r="I1782" s="38" t="n">
        <v>201.150917283073</v>
      </c>
      <c r="J1782" s="38" t="n">
        <v>219.925474260733</v>
      </c>
      <c r="K1782" s="38" t="n">
        <v>259.335970560466</v>
      </c>
      <c r="L1782" s="38" t="n">
        <v>141.964790995547</v>
      </c>
      <c r="M1782" s="38" t="n">
        <v>105.259838835453</v>
      </c>
      <c r="N1782" s="38" t="n">
        <v>133.523112752579</v>
      </c>
      <c r="O1782" s="38" t="n">
        <v>76.3289284133106</v>
      </c>
      <c r="P1782" s="37" t="n">
        <v>0</v>
      </c>
      <c r="Q1782" s="38" t="n">
        <v>0</v>
      </c>
      <c r="R1782" s="38" t="n">
        <v>70.4636461305244</v>
      </c>
      <c r="S1782" s="37" t="n">
        <v>0</v>
      </c>
    </row>
    <row r="1783" customFormat="false" ht="15" hidden="false" customHeight="false" outlineLevel="0" collapsed="false">
      <c r="A1783" s="37" t="n">
        <v>10</v>
      </c>
      <c r="B1783" s="37" t="n">
        <v>0</v>
      </c>
      <c r="C1783" s="37" t="n">
        <v>5</v>
      </c>
      <c r="D1783" s="37" t="n">
        <v>5</v>
      </c>
      <c r="E1783" s="37" t="n">
        <v>0</v>
      </c>
      <c r="F1783" s="37" t="n">
        <v>10</v>
      </c>
      <c r="G1783" s="37" t="s">
        <v>197</v>
      </c>
      <c r="H1783" s="38" t="n">
        <v>199.139897687019</v>
      </c>
      <c r="I1783" s="38" t="n">
        <v>201.06405270416</v>
      </c>
      <c r="J1783" s="38" t="n">
        <v>220.071975495335</v>
      </c>
      <c r="K1783" s="38" t="n">
        <v>261.799405993337</v>
      </c>
      <c r="L1783" s="38" t="n">
        <v>139.470796459468</v>
      </c>
      <c r="M1783" s="38" t="n">
        <v>103.006711704058</v>
      </c>
      <c r="N1783" s="38" t="n">
        <v>125.298952735381</v>
      </c>
      <c r="O1783" s="38" t="n">
        <v>74.0860634992658</v>
      </c>
      <c r="P1783" s="37" t="n">
        <v>0</v>
      </c>
      <c r="Q1783" s="38" t="n">
        <v>0</v>
      </c>
      <c r="R1783" s="38" t="n">
        <v>72</v>
      </c>
      <c r="S1783" s="37" t="n">
        <v>0</v>
      </c>
    </row>
    <row r="1784" customFormat="false" ht="15" hidden="false" customHeight="false" outlineLevel="0" collapsed="false">
      <c r="A1784" s="37" t="n">
        <v>10</v>
      </c>
      <c r="B1784" s="37" t="n">
        <v>0</v>
      </c>
      <c r="C1784" s="37" t="n">
        <v>5</v>
      </c>
      <c r="D1784" s="37" t="n">
        <v>5</v>
      </c>
      <c r="E1784" s="37" t="n">
        <v>0</v>
      </c>
      <c r="F1784" s="37" t="n">
        <v>10</v>
      </c>
      <c r="G1784" s="37" t="s">
        <v>196</v>
      </c>
      <c r="H1784" s="38" t="n">
        <v>199.139897687019</v>
      </c>
      <c r="I1784" s="38" t="n">
        <v>201.077918033701</v>
      </c>
      <c r="J1784" s="38" t="n">
        <v>221.009011223334</v>
      </c>
      <c r="K1784" s="38" t="n">
        <v>263.237967291734</v>
      </c>
      <c r="L1784" s="38" t="n">
        <v>147.194308476272</v>
      </c>
      <c r="M1784" s="38" t="n">
        <v>105.513768343688</v>
      </c>
      <c r="N1784" s="38" t="n">
        <v>134.385171746085</v>
      </c>
      <c r="O1784" s="38" t="n">
        <v>77.3062714789048</v>
      </c>
      <c r="P1784" s="37" t="n">
        <v>0</v>
      </c>
      <c r="Q1784" s="38" t="n">
        <v>0</v>
      </c>
      <c r="R1784" s="38" t="n">
        <v>71.1028552176225</v>
      </c>
      <c r="S1784" s="37" t="n">
        <v>0</v>
      </c>
    </row>
    <row r="1785" customFormat="false" ht="15" hidden="false" customHeight="false" outlineLevel="0" collapsed="false">
      <c r="A1785" s="37" t="n">
        <v>10</v>
      </c>
      <c r="B1785" s="37" t="n">
        <v>0</v>
      </c>
      <c r="C1785" s="37" t="n">
        <v>5</v>
      </c>
      <c r="D1785" s="37" t="n">
        <v>5</v>
      </c>
      <c r="E1785" s="37" t="n">
        <v>5</v>
      </c>
      <c r="F1785" s="37" t="n">
        <v>5</v>
      </c>
      <c r="G1785" s="37" t="s">
        <v>188</v>
      </c>
      <c r="H1785" s="38" t="n">
        <v>199.134335744413</v>
      </c>
      <c r="I1785" s="38" t="n">
        <v>201.370796754416</v>
      </c>
      <c r="J1785" s="38" t="n">
        <v>228.758571360241</v>
      </c>
      <c r="K1785" s="38" t="n">
        <v>274.515762324726</v>
      </c>
      <c r="L1785" s="38" t="n">
        <v>112.206769743239</v>
      </c>
      <c r="M1785" s="38" t="n">
        <v>108.460434083952</v>
      </c>
      <c r="N1785" s="38" t="n">
        <v>151.304241582491</v>
      </c>
      <c r="O1785" s="38" t="n">
        <v>81.7626324652387</v>
      </c>
      <c r="P1785" s="37" t="n">
        <v>0</v>
      </c>
      <c r="Q1785" s="38" t="n">
        <v>0</v>
      </c>
      <c r="R1785" s="38" t="n">
        <v>72</v>
      </c>
      <c r="S1785" s="37" t="n">
        <v>1</v>
      </c>
    </row>
    <row r="1786" customFormat="false" ht="15" hidden="false" customHeight="false" outlineLevel="0" collapsed="false">
      <c r="A1786" s="37" t="n">
        <v>10</v>
      </c>
      <c r="B1786" s="37" t="n">
        <v>0</v>
      </c>
      <c r="C1786" s="37" t="n">
        <v>5</v>
      </c>
      <c r="D1786" s="37" t="n">
        <v>5</v>
      </c>
      <c r="E1786" s="37" t="n">
        <v>5</v>
      </c>
      <c r="F1786" s="37" t="n">
        <v>5</v>
      </c>
      <c r="G1786" s="37" t="s">
        <v>192</v>
      </c>
      <c r="H1786" s="38" t="n">
        <v>199.134335744413</v>
      </c>
      <c r="I1786" s="38" t="n">
        <v>201.108571763671</v>
      </c>
      <c r="J1786" s="38" t="n">
        <v>223.244174333056</v>
      </c>
      <c r="K1786" s="38" t="n">
        <v>265.777678021995</v>
      </c>
      <c r="L1786" s="38" t="n">
        <v>104.706480238097</v>
      </c>
      <c r="M1786" s="38" t="n">
        <v>101.327145001965</v>
      </c>
      <c r="N1786" s="38" t="n">
        <v>134.651519632391</v>
      </c>
      <c r="O1786" s="38" t="n">
        <v>73.5423600591192</v>
      </c>
      <c r="P1786" s="37" t="n">
        <v>0</v>
      </c>
      <c r="Q1786" s="38" t="n">
        <v>0</v>
      </c>
      <c r="R1786" s="38" t="n">
        <v>72</v>
      </c>
      <c r="S1786" s="37" t="n">
        <v>0</v>
      </c>
    </row>
    <row r="1787" customFormat="false" ht="15" hidden="false" customHeight="false" outlineLevel="0" collapsed="false">
      <c r="A1787" s="37" t="n">
        <v>10</v>
      </c>
      <c r="B1787" s="37" t="n">
        <v>0</v>
      </c>
      <c r="C1787" s="37" t="n">
        <v>5</v>
      </c>
      <c r="D1787" s="37" t="n">
        <v>5</v>
      </c>
      <c r="E1787" s="37" t="n">
        <v>5</v>
      </c>
      <c r="F1787" s="37" t="n">
        <v>5</v>
      </c>
      <c r="G1787" s="37" t="s">
        <v>195</v>
      </c>
      <c r="H1787" s="38" t="n">
        <v>199.134335744413</v>
      </c>
      <c r="I1787" s="38" t="n">
        <v>201.199832859461</v>
      </c>
      <c r="J1787" s="38" t="n">
        <v>222.355920593593</v>
      </c>
      <c r="K1787" s="38" t="n">
        <v>262.394826169653</v>
      </c>
      <c r="L1787" s="38" t="n">
        <v>104.913262493965</v>
      </c>
      <c r="M1787" s="38" t="n">
        <v>106.049660399674</v>
      </c>
      <c r="N1787" s="38" t="n">
        <v>139.530487019096</v>
      </c>
      <c r="O1787" s="38" t="n">
        <v>76.1897157714561</v>
      </c>
      <c r="P1787" s="37" t="n">
        <v>0</v>
      </c>
      <c r="Q1787" s="38" t="n">
        <v>0</v>
      </c>
      <c r="R1787" s="38" t="n">
        <v>70.4305308972935</v>
      </c>
      <c r="S1787" s="37" t="n">
        <v>0</v>
      </c>
    </row>
    <row r="1788" customFormat="false" ht="15" hidden="false" customHeight="false" outlineLevel="0" collapsed="false">
      <c r="A1788" s="37" t="n">
        <v>10</v>
      </c>
      <c r="B1788" s="37" t="n">
        <v>0</v>
      </c>
      <c r="C1788" s="37" t="n">
        <v>5</v>
      </c>
      <c r="D1788" s="37" t="n">
        <v>5</v>
      </c>
      <c r="E1788" s="37" t="n">
        <v>5</v>
      </c>
      <c r="F1788" s="37" t="n">
        <v>5</v>
      </c>
      <c r="G1788" s="37" t="s">
        <v>197</v>
      </c>
      <c r="H1788" s="38" t="n">
        <v>199.134335744413</v>
      </c>
      <c r="I1788" s="38" t="n">
        <v>201.121150464858</v>
      </c>
      <c r="J1788" s="38" t="n">
        <v>223.242148638954</v>
      </c>
      <c r="K1788" s="38" t="n">
        <v>265.960854423198</v>
      </c>
      <c r="L1788" s="38" t="n">
        <v>104.137606742114</v>
      </c>
      <c r="M1788" s="38" t="n">
        <v>107.131220614702</v>
      </c>
      <c r="N1788" s="38" t="n">
        <v>140.71544367825</v>
      </c>
      <c r="O1788" s="38" t="n">
        <v>77.9224236981013</v>
      </c>
      <c r="P1788" s="37" t="n">
        <v>0</v>
      </c>
      <c r="Q1788" s="38" t="n">
        <v>0</v>
      </c>
      <c r="R1788" s="38" t="n">
        <v>72</v>
      </c>
      <c r="S1788" s="37" t="n">
        <v>0</v>
      </c>
    </row>
    <row r="1789" customFormat="false" ht="15" hidden="false" customHeight="false" outlineLevel="0" collapsed="false">
      <c r="A1789" s="37" t="n">
        <v>10</v>
      </c>
      <c r="B1789" s="37" t="n">
        <v>0</v>
      </c>
      <c r="C1789" s="37" t="n">
        <v>5</v>
      </c>
      <c r="D1789" s="37" t="n">
        <v>5</v>
      </c>
      <c r="E1789" s="37" t="n">
        <v>5</v>
      </c>
      <c r="F1789" s="37" t="n">
        <v>5</v>
      </c>
      <c r="G1789" s="37" t="s">
        <v>196</v>
      </c>
      <c r="H1789" s="38" t="n">
        <v>199.134335744413</v>
      </c>
      <c r="I1789" s="38" t="n">
        <v>201.125058396268</v>
      </c>
      <c r="J1789" s="38" t="n">
        <v>223.254126981747</v>
      </c>
      <c r="K1789" s="38" t="n">
        <v>266.139265922903</v>
      </c>
      <c r="L1789" s="38" t="n">
        <v>109.70229317167</v>
      </c>
      <c r="M1789" s="38" t="n">
        <v>106.966295503176</v>
      </c>
      <c r="N1789" s="38" t="n">
        <v>141.785168567603</v>
      </c>
      <c r="O1789" s="38" t="n">
        <v>78.2823312379074</v>
      </c>
      <c r="P1789" s="37" t="n">
        <v>0</v>
      </c>
      <c r="Q1789" s="38" t="n">
        <v>0</v>
      </c>
      <c r="R1789" s="38" t="n">
        <v>71.0084598730374</v>
      </c>
      <c r="S1789" s="37" t="n">
        <v>0</v>
      </c>
    </row>
    <row r="1790" customFormat="false" ht="15" hidden="false" customHeight="false" outlineLevel="0" collapsed="false">
      <c r="A1790" s="37" t="n">
        <v>10</v>
      </c>
      <c r="B1790" s="37" t="n">
        <v>0</v>
      </c>
      <c r="C1790" s="37" t="n">
        <v>5</v>
      </c>
      <c r="D1790" s="37" t="n">
        <v>5</v>
      </c>
      <c r="E1790" s="37" t="n">
        <v>10</v>
      </c>
      <c r="F1790" s="37" t="n">
        <v>0</v>
      </c>
      <c r="G1790" s="37" t="s">
        <v>188</v>
      </c>
      <c r="H1790" s="38" t="n">
        <v>199.123781704343</v>
      </c>
      <c r="I1790" s="38" t="n">
        <v>201.393960472622</v>
      </c>
      <c r="J1790" s="38" t="n">
        <v>230.006461218284</v>
      </c>
      <c r="K1790" s="38" t="n">
        <v>276.13511781379</v>
      </c>
      <c r="L1790" s="38" t="n">
        <v>73.9205067713389</v>
      </c>
      <c r="M1790" s="38" t="n">
        <v>108.993073706536</v>
      </c>
      <c r="N1790" s="38" t="n">
        <v>154.480050742103</v>
      </c>
      <c r="O1790" s="38" t="n">
        <v>81.0018838193657</v>
      </c>
      <c r="P1790" s="37" t="n">
        <v>0</v>
      </c>
      <c r="Q1790" s="38" t="n">
        <v>0</v>
      </c>
      <c r="R1790" s="38" t="n">
        <v>72</v>
      </c>
      <c r="S1790" s="37" t="n">
        <v>1</v>
      </c>
    </row>
    <row r="1791" customFormat="false" ht="15" hidden="false" customHeight="false" outlineLevel="0" collapsed="false">
      <c r="A1791" s="37" t="n">
        <v>10</v>
      </c>
      <c r="B1791" s="37" t="n">
        <v>0</v>
      </c>
      <c r="C1791" s="37" t="n">
        <v>5</v>
      </c>
      <c r="D1791" s="37" t="n">
        <v>5</v>
      </c>
      <c r="E1791" s="37" t="n">
        <v>10</v>
      </c>
      <c r="F1791" s="37" t="n">
        <v>0</v>
      </c>
      <c r="G1791" s="37" t="s">
        <v>192</v>
      </c>
      <c r="H1791" s="38" t="n">
        <v>199.123781704343</v>
      </c>
      <c r="I1791" s="38" t="n">
        <v>201.142049072895</v>
      </c>
      <c r="J1791" s="38" t="n">
        <v>224.823678124374</v>
      </c>
      <c r="K1791" s="38" t="n">
        <v>267.672801549123</v>
      </c>
      <c r="L1791" s="38" t="n">
        <v>66.5513431307242</v>
      </c>
      <c r="M1791" s="38" t="n">
        <v>102.001111866915</v>
      </c>
      <c r="N1791" s="38" t="n">
        <v>138.879927797041</v>
      </c>
      <c r="O1791" s="38" t="n">
        <v>72.9449029047462</v>
      </c>
      <c r="P1791" s="37" t="n">
        <v>0</v>
      </c>
      <c r="Q1791" s="38" t="n">
        <v>0</v>
      </c>
      <c r="R1791" s="38" t="n">
        <v>72</v>
      </c>
      <c r="S1791" s="37" t="n">
        <v>0</v>
      </c>
    </row>
    <row r="1792" customFormat="false" ht="15" hidden="false" customHeight="false" outlineLevel="0" collapsed="false">
      <c r="A1792" s="37" t="n">
        <v>10</v>
      </c>
      <c r="B1792" s="37" t="n">
        <v>0</v>
      </c>
      <c r="C1792" s="37" t="n">
        <v>5</v>
      </c>
      <c r="D1792" s="37" t="n">
        <v>5</v>
      </c>
      <c r="E1792" s="37" t="n">
        <v>10</v>
      </c>
      <c r="F1792" s="37" t="n">
        <v>0</v>
      </c>
      <c r="G1792" s="37" t="s">
        <v>195</v>
      </c>
      <c r="H1792" s="38" t="n">
        <v>199.123781704343</v>
      </c>
      <c r="I1792" s="38" t="n">
        <v>201.24058638086</v>
      </c>
      <c r="J1792" s="38" t="n">
        <v>224.015931368626</v>
      </c>
      <c r="K1792" s="38" t="n">
        <v>264.412158072217</v>
      </c>
      <c r="L1792" s="38" t="n">
        <v>66.8155098348006</v>
      </c>
      <c r="M1792" s="38" t="n">
        <v>106.693896406565</v>
      </c>
      <c r="N1792" s="38" t="n">
        <v>143.889945913547</v>
      </c>
      <c r="O1792" s="38" t="n">
        <v>75.6907413904483</v>
      </c>
      <c r="P1792" s="37" t="n">
        <v>0</v>
      </c>
      <c r="Q1792" s="38" t="n">
        <v>0</v>
      </c>
      <c r="R1792" s="38" t="n">
        <v>70.3960055287751</v>
      </c>
      <c r="S1792" s="37" t="n">
        <v>0</v>
      </c>
    </row>
    <row r="1793" customFormat="false" ht="15" hidden="false" customHeight="false" outlineLevel="0" collapsed="false">
      <c r="A1793" s="37" t="n">
        <v>10</v>
      </c>
      <c r="B1793" s="37" t="n">
        <v>0</v>
      </c>
      <c r="C1793" s="37" t="n">
        <v>5</v>
      </c>
      <c r="D1793" s="37" t="n">
        <v>5</v>
      </c>
      <c r="E1793" s="37" t="n">
        <v>10</v>
      </c>
      <c r="F1793" s="37" t="n">
        <v>0</v>
      </c>
      <c r="G1793" s="37" t="s">
        <v>197</v>
      </c>
      <c r="H1793" s="38" t="n">
        <v>199.123781704343</v>
      </c>
      <c r="I1793" s="38" t="n">
        <v>201.179977709535</v>
      </c>
      <c r="J1793" s="38" t="n">
        <v>226.06212231222</v>
      </c>
      <c r="K1793" s="38" t="n">
        <v>269.623095199147</v>
      </c>
      <c r="L1793" s="38" t="n">
        <v>68.443460712413</v>
      </c>
      <c r="M1793" s="38" t="n">
        <v>110.330015958357</v>
      </c>
      <c r="N1793" s="38" t="n">
        <v>153.408731630926</v>
      </c>
      <c r="O1793" s="38" t="n">
        <v>79.2472193277173</v>
      </c>
      <c r="P1793" s="37" t="n">
        <v>0</v>
      </c>
      <c r="Q1793" s="38" t="n">
        <v>0</v>
      </c>
      <c r="R1793" s="38" t="n">
        <v>72</v>
      </c>
      <c r="S1793" s="37" t="n">
        <v>0</v>
      </c>
    </row>
    <row r="1794" customFormat="false" ht="15" hidden="false" customHeight="false" outlineLevel="0" collapsed="false">
      <c r="A1794" s="37" t="n">
        <v>10</v>
      </c>
      <c r="B1794" s="37" t="n">
        <v>0</v>
      </c>
      <c r="C1794" s="37" t="n">
        <v>5</v>
      </c>
      <c r="D1794" s="37" t="n">
        <v>5</v>
      </c>
      <c r="E1794" s="37" t="n">
        <v>10</v>
      </c>
      <c r="F1794" s="37" t="n">
        <v>0</v>
      </c>
      <c r="G1794" s="37" t="s">
        <v>196</v>
      </c>
      <c r="H1794" s="38" t="n">
        <v>199.123781704343</v>
      </c>
      <c r="I1794" s="38" t="n">
        <v>201.164687885335</v>
      </c>
      <c r="J1794" s="38" t="n">
        <v>224.959922386487</v>
      </c>
      <c r="K1794" s="38" t="n">
        <v>268.276621052939</v>
      </c>
      <c r="L1794" s="38" t="n">
        <v>71.7723707124388</v>
      </c>
      <c r="M1794" s="38" t="n">
        <v>108.11014467948</v>
      </c>
      <c r="N1794" s="38" t="n">
        <v>147.489741236518</v>
      </c>
      <c r="O1794" s="38" t="n">
        <v>78.2297681249047</v>
      </c>
      <c r="P1794" s="37" t="n">
        <v>0</v>
      </c>
      <c r="Q1794" s="38" t="n">
        <v>0</v>
      </c>
      <c r="R1794" s="38" t="n">
        <v>70.9923132516134</v>
      </c>
      <c r="S1794" s="37" t="n">
        <v>0</v>
      </c>
    </row>
    <row r="1795" customFormat="false" ht="15" hidden="false" customHeight="false" outlineLevel="0" collapsed="false">
      <c r="A1795" s="37" t="n">
        <v>10</v>
      </c>
      <c r="B1795" s="37" t="n">
        <v>0</v>
      </c>
      <c r="C1795" s="37" t="n">
        <v>5</v>
      </c>
      <c r="D1795" s="37" t="n">
        <v>10</v>
      </c>
      <c r="E1795" s="37" t="n">
        <v>0</v>
      </c>
      <c r="F1795" s="37" t="n">
        <v>5</v>
      </c>
      <c r="G1795" s="37" t="s">
        <v>188</v>
      </c>
      <c r="H1795" s="38" t="n">
        <v>199.365590504629</v>
      </c>
      <c r="I1795" s="38" t="n">
        <v>202.499661317989</v>
      </c>
      <c r="J1795" s="38" t="n">
        <v>232.135290561835</v>
      </c>
      <c r="K1795" s="38" t="n">
        <v>275.557029929722</v>
      </c>
      <c r="L1795" s="38" t="n">
        <v>113.751046679291</v>
      </c>
      <c r="M1795" s="38" t="n">
        <v>108.997600309524</v>
      </c>
      <c r="N1795" s="38" t="n">
        <v>150.221630639251</v>
      </c>
      <c r="O1795" s="38" t="n">
        <v>83.3400805025596</v>
      </c>
      <c r="P1795" s="37" t="n">
        <v>0</v>
      </c>
      <c r="Q1795" s="38" t="n">
        <v>0</v>
      </c>
      <c r="R1795" s="38" t="n">
        <v>72</v>
      </c>
      <c r="S1795" s="37" t="n">
        <v>1</v>
      </c>
    </row>
    <row r="1796" customFormat="false" ht="15" hidden="false" customHeight="false" outlineLevel="0" collapsed="false">
      <c r="A1796" s="37" t="n">
        <v>10</v>
      </c>
      <c r="B1796" s="37" t="n">
        <v>0</v>
      </c>
      <c r="C1796" s="37" t="n">
        <v>5</v>
      </c>
      <c r="D1796" s="37" t="n">
        <v>10</v>
      </c>
      <c r="E1796" s="37" t="n">
        <v>0</v>
      </c>
      <c r="F1796" s="37" t="n">
        <v>5</v>
      </c>
      <c r="G1796" s="37" t="s">
        <v>192</v>
      </c>
      <c r="H1796" s="38" t="n">
        <v>199.365590504629</v>
      </c>
      <c r="I1796" s="38" t="n">
        <v>202.217966841428</v>
      </c>
      <c r="J1796" s="38" t="n">
        <v>226.748584568784</v>
      </c>
      <c r="K1796" s="38" t="n">
        <v>266.817077983405</v>
      </c>
      <c r="L1796" s="38" t="n">
        <v>106.077457240853</v>
      </c>
      <c r="M1796" s="38" t="n">
        <v>101.737588498137</v>
      </c>
      <c r="N1796" s="38" t="n">
        <v>134.223667172653</v>
      </c>
      <c r="O1796" s="38" t="n">
        <v>75.0962595748808</v>
      </c>
      <c r="P1796" s="37" t="n">
        <v>0</v>
      </c>
      <c r="Q1796" s="38" t="n">
        <v>0</v>
      </c>
      <c r="R1796" s="38" t="n">
        <v>72</v>
      </c>
      <c r="S1796" s="37" t="n">
        <v>0</v>
      </c>
    </row>
    <row r="1797" customFormat="false" ht="15" hidden="false" customHeight="false" outlineLevel="0" collapsed="false">
      <c r="A1797" s="37" t="n">
        <v>10</v>
      </c>
      <c r="B1797" s="37" t="n">
        <v>0</v>
      </c>
      <c r="C1797" s="37" t="n">
        <v>5</v>
      </c>
      <c r="D1797" s="37" t="n">
        <v>10</v>
      </c>
      <c r="E1797" s="37" t="n">
        <v>0</v>
      </c>
      <c r="F1797" s="37" t="n">
        <v>5</v>
      </c>
      <c r="G1797" s="37" t="s">
        <v>195</v>
      </c>
      <c r="H1797" s="38" t="n">
        <v>199.365590504629</v>
      </c>
      <c r="I1797" s="38" t="n">
        <v>202.394192768929</v>
      </c>
      <c r="J1797" s="38" t="n">
        <v>227.718587306718</v>
      </c>
      <c r="K1797" s="38" t="n">
        <v>268.830461845816</v>
      </c>
      <c r="L1797" s="38" t="n">
        <v>115.580461845816</v>
      </c>
      <c r="M1797" s="38" t="n">
        <v>107.862481348373</v>
      </c>
      <c r="N1797" s="38" t="n">
        <v>145.645331789365</v>
      </c>
      <c r="O1797" s="38" t="n">
        <v>79.7425363173916</v>
      </c>
      <c r="P1797" s="37" t="n">
        <v>0</v>
      </c>
      <c r="Q1797" s="38" t="n">
        <v>0</v>
      </c>
      <c r="R1797" s="38" t="n">
        <v>67.5256976195975</v>
      </c>
      <c r="S1797" s="37" t="n">
        <v>0</v>
      </c>
    </row>
    <row r="1798" customFormat="false" ht="15" hidden="false" customHeight="false" outlineLevel="0" collapsed="false">
      <c r="A1798" s="37" t="n">
        <v>10</v>
      </c>
      <c r="B1798" s="37" t="n">
        <v>0</v>
      </c>
      <c r="C1798" s="37" t="n">
        <v>5</v>
      </c>
      <c r="D1798" s="37" t="n">
        <v>10</v>
      </c>
      <c r="E1798" s="37" t="n">
        <v>0</v>
      </c>
      <c r="F1798" s="37" t="n">
        <v>5</v>
      </c>
      <c r="G1798" s="37" t="s">
        <v>197</v>
      </c>
      <c r="H1798" s="38" t="n">
        <v>199.365590504629</v>
      </c>
      <c r="I1798" s="38" t="n">
        <v>202.215863576164</v>
      </c>
      <c r="J1798" s="38" t="n">
        <v>225.917119586503</v>
      </c>
      <c r="K1798" s="38" t="n">
        <v>265.741685965434</v>
      </c>
      <c r="L1798" s="38" t="n">
        <v>103.616293104968</v>
      </c>
      <c r="M1798" s="38" t="n">
        <v>104.263634270953</v>
      </c>
      <c r="N1798" s="38" t="n">
        <v>130.859228163762</v>
      </c>
      <c r="O1798" s="38" t="n">
        <v>75.5997614656892</v>
      </c>
      <c r="P1798" s="37" t="n">
        <v>0</v>
      </c>
      <c r="Q1798" s="38" t="n">
        <v>0</v>
      </c>
      <c r="R1798" s="38" t="n">
        <v>72</v>
      </c>
      <c r="S1798" s="37" t="n">
        <v>0</v>
      </c>
    </row>
    <row r="1799" customFormat="false" ht="15" hidden="false" customHeight="false" outlineLevel="0" collapsed="false">
      <c r="A1799" s="37" t="n">
        <v>10</v>
      </c>
      <c r="B1799" s="37" t="n">
        <v>0</v>
      </c>
      <c r="C1799" s="37" t="n">
        <v>5</v>
      </c>
      <c r="D1799" s="37" t="n">
        <v>10</v>
      </c>
      <c r="E1799" s="37" t="n">
        <v>0</v>
      </c>
      <c r="F1799" s="37" t="n">
        <v>5</v>
      </c>
      <c r="G1799" s="37" t="s">
        <v>196</v>
      </c>
      <c r="H1799" s="38" t="n">
        <v>199.365590504629</v>
      </c>
      <c r="I1799" s="38" t="n">
        <v>202.22936467637</v>
      </c>
      <c r="J1799" s="38" t="n">
        <v>218.2948292762</v>
      </c>
      <c r="K1799" s="38" t="n">
        <v>267.39809524431</v>
      </c>
      <c r="L1799" s="38" t="n">
        <v>113.842539688755</v>
      </c>
      <c r="M1799" s="38" t="n">
        <v>107.210097826814</v>
      </c>
      <c r="N1799" s="38" t="n">
        <v>138.432180760134</v>
      </c>
      <c r="O1799" s="38" t="n">
        <v>76.7923087779709</v>
      </c>
      <c r="P1799" s="37" t="n">
        <v>0</v>
      </c>
      <c r="Q1799" s="38" t="n">
        <v>0</v>
      </c>
      <c r="R1799" s="38" t="n">
        <v>70.604</v>
      </c>
      <c r="S1799" s="37" t="n">
        <v>0</v>
      </c>
    </row>
    <row r="1800" customFormat="false" ht="15" hidden="false" customHeight="false" outlineLevel="0" collapsed="false">
      <c r="A1800" s="37" t="n">
        <v>10</v>
      </c>
      <c r="B1800" s="37" t="n">
        <v>0</v>
      </c>
      <c r="C1800" s="37" t="n">
        <v>5</v>
      </c>
      <c r="D1800" s="37" t="n">
        <v>10</v>
      </c>
      <c r="E1800" s="37" t="n">
        <v>5</v>
      </c>
      <c r="F1800" s="37" t="n">
        <v>0</v>
      </c>
      <c r="G1800" s="37" t="s">
        <v>188</v>
      </c>
      <c r="H1800" s="38" t="n">
        <v>199.333792298031</v>
      </c>
      <c r="I1800" s="38" t="n">
        <v>202.398231892679</v>
      </c>
      <c r="J1800" s="38" t="n">
        <v>234.025096566828</v>
      </c>
      <c r="K1800" s="38" t="n">
        <v>277.607943093451</v>
      </c>
      <c r="L1800" s="38" t="n">
        <v>75.8911123074702</v>
      </c>
      <c r="M1800" s="38" t="n">
        <v>109.400600770215</v>
      </c>
      <c r="N1800" s="38" t="n">
        <v>154.59878698379</v>
      </c>
      <c r="O1800" s="38" t="n">
        <v>82.9573980162196</v>
      </c>
      <c r="P1800" s="37" t="n">
        <v>0</v>
      </c>
      <c r="Q1800" s="38" t="n">
        <v>0</v>
      </c>
      <c r="R1800" s="38" t="n">
        <v>72</v>
      </c>
      <c r="S1800" s="37" t="n">
        <v>1</v>
      </c>
    </row>
    <row r="1801" customFormat="false" ht="15" hidden="false" customHeight="false" outlineLevel="0" collapsed="false">
      <c r="A1801" s="37" t="n">
        <v>10</v>
      </c>
      <c r="B1801" s="37" t="n">
        <v>0</v>
      </c>
      <c r="C1801" s="37" t="n">
        <v>5</v>
      </c>
      <c r="D1801" s="37" t="n">
        <v>10</v>
      </c>
      <c r="E1801" s="37" t="n">
        <v>5</v>
      </c>
      <c r="F1801" s="37" t="n">
        <v>0</v>
      </c>
      <c r="G1801" s="37" t="s">
        <v>192</v>
      </c>
      <c r="H1801" s="38" t="n">
        <v>199.333792298031</v>
      </c>
      <c r="I1801" s="38" t="n">
        <v>202.122675679099</v>
      </c>
      <c r="J1801" s="38" t="n">
        <v>228.88298121716</v>
      </c>
      <c r="K1801" s="38" t="n">
        <v>268.862414662208</v>
      </c>
      <c r="L1801" s="38" t="n">
        <v>68.0502085004574</v>
      </c>
      <c r="M1801" s="38" t="n">
        <v>102.286767910124</v>
      </c>
      <c r="N1801" s="38" t="n">
        <v>139.939920768761</v>
      </c>
      <c r="O1801" s="38" t="n">
        <v>74.8418173955492</v>
      </c>
      <c r="P1801" s="37" t="n">
        <v>0</v>
      </c>
      <c r="Q1801" s="38" t="n">
        <v>0</v>
      </c>
      <c r="R1801" s="38" t="n">
        <v>72</v>
      </c>
      <c r="S1801" s="37" t="n">
        <v>0</v>
      </c>
    </row>
    <row r="1802" customFormat="false" ht="15" hidden="false" customHeight="false" outlineLevel="0" collapsed="false">
      <c r="A1802" s="37" t="n">
        <v>10</v>
      </c>
      <c r="B1802" s="37" t="n">
        <v>0</v>
      </c>
      <c r="C1802" s="37" t="n">
        <v>5</v>
      </c>
      <c r="D1802" s="37" t="n">
        <v>10</v>
      </c>
      <c r="E1802" s="37" t="n">
        <v>5</v>
      </c>
      <c r="F1802" s="37" t="n">
        <v>0</v>
      </c>
      <c r="G1802" s="37" t="s">
        <v>195</v>
      </c>
      <c r="H1802" s="38" t="n">
        <v>199.333792298031</v>
      </c>
      <c r="I1802" s="38" t="n">
        <v>202.306613106308</v>
      </c>
      <c r="J1802" s="38" t="n">
        <v>230.049626899258</v>
      </c>
      <c r="K1802" s="38" t="n">
        <v>271.317389637482</v>
      </c>
      <c r="L1802" s="38" t="n">
        <v>78.0673896374824</v>
      </c>
      <c r="M1802" s="38" t="n">
        <v>108.326795480709</v>
      </c>
      <c r="N1802" s="38" t="n">
        <v>151.391513197501</v>
      </c>
      <c r="O1802" s="38" t="n">
        <v>79.7254528300803</v>
      </c>
      <c r="P1802" s="37" t="n">
        <v>0</v>
      </c>
      <c r="Q1802" s="38" t="n">
        <v>0</v>
      </c>
      <c r="R1802" s="38" t="n">
        <v>67.4742579067539</v>
      </c>
      <c r="S1802" s="37" t="n">
        <v>0</v>
      </c>
    </row>
    <row r="1803" customFormat="false" ht="15" hidden="false" customHeight="false" outlineLevel="0" collapsed="false">
      <c r="A1803" s="37" t="n">
        <v>10</v>
      </c>
      <c r="B1803" s="37" t="n">
        <v>0</v>
      </c>
      <c r="C1803" s="37" t="n">
        <v>5</v>
      </c>
      <c r="D1803" s="37" t="n">
        <v>10</v>
      </c>
      <c r="E1803" s="37" t="n">
        <v>5</v>
      </c>
      <c r="F1803" s="37" t="n">
        <v>0</v>
      </c>
      <c r="G1803" s="37" t="s">
        <v>197</v>
      </c>
      <c r="H1803" s="38" t="n">
        <v>199.333792298031</v>
      </c>
      <c r="I1803" s="38" t="n">
        <v>202.136821571197</v>
      </c>
      <c r="J1803" s="38" t="n">
        <v>228.956143244326</v>
      </c>
      <c r="K1803" s="38" t="n">
        <v>269.151015261484</v>
      </c>
      <c r="L1803" s="38" t="n">
        <v>67.5177021383008</v>
      </c>
      <c r="M1803" s="38" t="n">
        <v>108.079243392428</v>
      </c>
      <c r="N1803" s="38" t="n">
        <v>146.199025432458</v>
      </c>
      <c r="O1803" s="38" t="n">
        <v>79.5054048604502</v>
      </c>
      <c r="P1803" s="37" t="n">
        <v>0</v>
      </c>
      <c r="Q1803" s="38" t="n">
        <v>0</v>
      </c>
      <c r="R1803" s="38" t="n">
        <v>72</v>
      </c>
      <c r="S1803" s="37" t="n">
        <v>0</v>
      </c>
    </row>
    <row r="1804" customFormat="false" ht="15" hidden="false" customHeight="false" outlineLevel="0" collapsed="false">
      <c r="A1804" s="37" t="n">
        <v>10</v>
      </c>
      <c r="B1804" s="37" t="n">
        <v>0</v>
      </c>
      <c r="C1804" s="37" t="n">
        <v>5</v>
      </c>
      <c r="D1804" s="37" t="n">
        <v>10</v>
      </c>
      <c r="E1804" s="37" t="n">
        <v>5</v>
      </c>
      <c r="F1804" s="37" t="n">
        <v>0</v>
      </c>
      <c r="G1804" s="37" t="s">
        <v>196</v>
      </c>
      <c r="H1804" s="38" t="n">
        <v>199.333792298031</v>
      </c>
      <c r="I1804" s="38" t="n">
        <v>202.140213093904</v>
      </c>
      <c r="J1804" s="38" t="n">
        <v>229.006597917871</v>
      </c>
      <c r="K1804" s="38" t="n">
        <v>269.339195094437</v>
      </c>
      <c r="L1804" s="38" t="n">
        <v>73.207674628343</v>
      </c>
      <c r="M1804" s="38" t="n">
        <v>108.357943978555</v>
      </c>
      <c r="N1804" s="38" t="n">
        <v>148.038746547301</v>
      </c>
      <c r="O1804" s="38" t="n">
        <v>79.5737277427187</v>
      </c>
      <c r="P1804" s="37" t="n">
        <v>0</v>
      </c>
      <c r="Q1804" s="38" t="n">
        <v>0</v>
      </c>
      <c r="R1804" s="38" t="n">
        <v>71.0817684214708</v>
      </c>
      <c r="S1804" s="37" t="n">
        <v>0</v>
      </c>
    </row>
    <row r="1805" customFormat="false" ht="15" hidden="false" customHeight="false" outlineLevel="0" collapsed="false">
      <c r="A1805" s="37" t="n">
        <v>10</v>
      </c>
      <c r="B1805" s="37" t="n">
        <v>0</v>
      </c>
      <c r="C1805" s="37" t="n">
        <v>5</v>
      </c>
      <c r="D1805" s="37" t="n">
        <v>15</v>
      </c>
      <c r="E1805" s="37" t="n">
        <v>0</v>
      </c>
      <c r="F1805" s="37" t="n">
        <v>0</v>
      </c>
      <c r="G1805" s="37" t="s">
        <v>188</v>
      </c>
      <c r="H1805" s="38" t="n">
        <v>199.526856069292</v>
      </c>
      <c r="I1805" s="38" t="n">
        <v>203.290431531119</v>
      </c>
      <c r="J1805" s="38" t="n">
        <v>235.625114147568</v>
      </c>
      <c r="K1805" s="38" t="n">
        <v>275.093174063104</v>
      </c>
      <c r="L1805" s="38" t="n">
        <v>73.7103792425799</v>
      </c>
      <c r="M1805" s="38" t="n">
        <v>109.539525683382</v>
      </c>
      <c r="N1805" s="38" t="n">
        <v>151.812716620448</v>
      </c>
      <c r="O1805" s="38" t="n">
        <v>82.7266739483495</v>
      </c>
      <c r="P1805" s="37" t="n">
        <v>0</v>
      </c>
      <c r="Q1805" s="38" t="n">
        <v>0</v>
      </c>
      <c r="R1805" s="38" t="n">
        <v>72</v>
      </c>
      <c r="S1805" s="37" t="n">
        <v>1</v>
      </c>
    </row>
    <row r="1806" customFormat="false" ht="15" hidden="false" customHeight="false" outlineLevel="0" collapsed="false">
      <c r="A1806" s="37" t="n">
        <v>10</v>
      </c>
      <c r="B1806" s="37" t="n">
        <v>0</v>
      </c>
      <c r="C1806" s="37" t="n">
        <v>5</v>
      </c>
      <c r="D1806" s="37" t="n">
        <v>15</v>
      </c>
      <c r="E1806" s="37" t="n">
        <v>0</v>
      </c>
      <c r="F1806" s="37" t="n">
        <v>0</v>
      </c>
      <c r="G1806" s="37" t="s">
        <v>192</v>
      </c>
      <c r="H1806" s="38" t="n">
        <v>199.526856069292</v>
      </c>
      <c r="I1806" s="38" t="n">
        <v>202.997845560325</v>
      </c>
      <c r="J1806" s="38" t="n">
        <v>230.348322692003</v>
      </c>
      <c r="K1806" s="38" t="n">
        <v>266.220663309766</v>
      </c>
      <c r="L1806" s="38" t="n">
        <v>65.6925695437302</v>
      </c>
      <c r="M1806" s="38" t="n">
        <v>102.279815882187</v>
      </c>
      <c r="N1806" s="38" t="n">
        <v>136.695239743207</v>
      </c>
      <c r="O1806" s="38" t="n">
        <v>74.3741642815641</v>
      </c>
      <c r="P1806" s="37" t="n">
        <v>0</v>
      </c>
      <c r="Q1806" s="38" t="n">
        <v>0</v>
      </c>
      <c r="R1806" s="38" t="n">
        <v>72</v>
      </c>
      <c r="S1806" s="37" t="n">
        <v>0</v>
      </c>
    </row>
    <row r="1807" customFormat="false" ht="15" hidden="false" customHeight="false" outlineLevel="0" collapsed="false">
      <c r="A1807" s="37" t="n">
        <v>10</v>
      </c>
      <c r="B1807" s="37" t="n">
        <v>0</v>
      </c>
      <c r="C1807" s="37" t="n">
        <v>5</v>
      </c>
      <c r="D1807" s="37" t="n">
        <v>15</v>
      </c>
      <c r="E1807" s="37" t="n">
        <v>0</v>
      </c>
      <c r="F1807" s="37" t="n">
        <v>0</v>
      </c>
      <c r="G1807" s="37" t="s">
        <v>195</v>
      </c>
      <c r="H1807" s="38" t="n">
        <v>199.526856069292</v>
      </c>
      <c r="I1807" s="38" t="n">
        <v>203.254991175229</v>
      </c>
      <c r="J1807" s="38" t="n">
        <v>232.890484215186</v>
      </c>
      <c r="K1807" s="38" t="n">
        <v>270.760276671187</v>
      </c>
      <c r="L1807" s="38" t="n">
        <v>77.5102766711867</v>
      </c>
      <c r="M1807" s="38" t="n">
        <v>109.346056209127</v>
      </c>
      <c r="N1807" s="38" t="n">
        <v>150.172406817655</v>
      </c>
      <c r="O1807" s="38" t="n">
        <v>80.105867572648</v>
      </c>
      <c r="P1807" s="37" t="n">
        <v>0</v>
      </c>
      <c r="Q1807" s="38" t="n">
        <v>0</v>
      </c>
      <c r="R1807" s="38" t="n">
        <v>67.6171340990965</v>
      </c>
      <c r="S1807" s="37" t="n">
        <v>0</v>
      </c>
    </row>
    <row r="1808" customFormat="false" ht="15" hidden="false" customHeight="false" outlineLevel="0" collapsed="false">
      <c r="A1808" s="37" t="n">
        <v>10</v>
      </c>
      <c r="B1808" s="37" t="n">
        <v>0</v>
      </c>
      <c r="C1808" s="37" t="n">
        <v>5</v>
      </c>
      <c r="D1808" s="37" t="n">
        <v>15</v>
      </c>
      <c r="E1808" s="37" t="n">
        <v>0</v>
      </c>
      <c r="F1808" s="37" t="n">
        <v>0</v>
      </c>
      <c r="G1808" s="37" t="s">
        <v>197</v>
      </c>
      <c r="H1808" s="38" t="n">
        <v>199.526856069292</v>
      </c>
      <c r="I1808" s="38" t="n">
        <v>202.99660957385</v>
      </c>
      <c r="J1808" s="38" t="n">
        <v>229.563216094926</v>
      </c>
      <c r="K1808" s="38" t="n">
        <v>265.218642613221</v>
      </c>
      <c r="L1808" s="38" t="n">
        <v>63.2660085581938</v>
      </c>
      <c r="M1808" s="38" t="n">
        <v>104.826531114486</v>
      </c>
      <c r="N1808" s="38" t="n">
        <v>133.490647729304</v>
      </c>
      <c r="O1808" s="38" t="n">
        <v>75.019908283271</v>
      </c>
      <c r="P1808" s="37" t="n">
        <v>0</v>
      </c>
      <c r="Q1808" s="38" t="n">
        <v>0</v>
      </c>
      <c r="R1808" s="38" t="n">
        <v>72</v>
      </c>
      <c r="S1808" s="37" t="n">
        <v>0</v>
      </c>
    </row>
    <row r="1809" customFormat="false" ht="15" hidden="false" customHeight="false" outlineLevel="0" collapsed="false">
      <c r="A1809" s="37" t="n">
        <v>10</v>
      </c>
      <c r="B1809" s="37" t="n">
        <v>0</v>
      </c>
      <c r="C1809" s="37" t="n">
        <v>5</v>
      </c>
      <c r="D1809" s="37" t="n">
        <v>15</v>
      </c>
      <c r="E1809" s="37" t="n">
        <v>0</v>
      </c>
      <c r="F1809" s="37" t="n">
        <v>0</v>
      </c>
      <c r="G1809" s="37" t="s">
        <v>196</v>
      </c>
      <c r="H1809" s="38" t="n">
        <v>199.526856069292</v>
      </c>
      <c r="I1809" s="38" t="n">
        <v>203.009305976909</v>
      </c>
      <c r="J1809" s="38" t="n">
        <v>221.808965612177</v>
      </c>
      <c r="K1809" s="38" t="n">
        <v>266.683997326624</v>
      </c>
      <c r="L1809" s="38" t="n">
        <v>73.1284417710679</v>
      </c>
      <c r="M1809" s="38" t="n">
        <v>108.053320950666</v>
      </c>
      <c r="N1809" s="38" t="n">
        <v>140.831111094118</v>
      </c>
      <c r="O1809" s="38" t="n">
        <v>76.0045447963192</v>
      </c>
      <c r="P1809" s="37" t="n">
        <v>0</v>
      </c>
      <c r="Q1809" s="38" t="n">
        <v>0</v>
      </c>
      <c r="R1809" s="38" t="n">
        <v>70.604</v>
      </c>
      <c r="S1809" s="37" t="n">
        <v>0</v>
      </c>
    </row>
    <row r="1810" customFormat="false" ht="15" hidden="false" customHeight="false" outlineLevel="0" collapsed="false">
      <c r="A1810" s="37" t="n">
        <v>10</v>
      </c>
      <c r="B1810" s="37" t="n">
        <v>0</v>
      </c>
      <c r="C1810" s="37" t="n">
        <v>10</v>
      </c>
      <c r="D1810" s="37" t="n">
        <v>0</v>
      </c>
      <c r="E1810" s="37" t="n">
        <v>0</v>
      </c>
      <c r="F1810" s="37" t="n">
        <v>10</v>
      </c>
      <c r="G1810" s="37" t="s">
        <v>188</v>
      </c>
      <c r="H1810" s="38" t="n">
        <v>199.172469040509</v>
      </c>
      <c r="I1810" s="38" t="n">
        <v>203.401714793097</v>
      </c>
      <c r="J1810" s="38" t="n">
        <v>231.56415421109</v>
      </c>
      <c r="K1810" s="38" t="n">
        <v>294.999993862587</v>
      </c>
      <c r="L1810" s="38" t="n">
        <v>172.9866242368</v>
      </c>
      <c r="M1810" s="38" t="n">
        <v>114.056107271276</v>
      </c>
      <c r="N1810" s="38" t="n">
        <v>156.343175865447</v>
      </c>
      <c r="O1810" s="38" t="n">
        <v>81.0315460807172</v>
      </c>
      <c r="P1810" s="37" t="n">
        <v>0</v>
      </c>
      <c r="Q1810" s="38" t="n">
        <v>0</v>
      </c>
      <c r="R1810" s="38" t="n">
        <v>70.5</v>
      </c>
      <c r="S1810" s="37" t="n">
        <v>1</v>
      </c>
    </row>
    <row r="1811" customFormat="false" ht="15" hidden="false" customHeight="false" outlineLevel="0" collapsed="false">
      <c r="A1811" s="37" t="n">
        <v>10</v>
      </c>
      <c r="B1811" s="37" t="n">
        <v>0</v>
      </c>
      <c r="C1811" s="37" t="n">
        <v>10</v>
      </c>
      <c r="D1811" s="37" t="n">
        <v>0</v>
      </c>
      <c r="E1811" s="37" t="n">
        <v>0</v>
      </c>
      <c r="F1811" s="37" t="n">
        <v>10</v>
      </c>
      <c r="G1811" s="37" t="s">
        <v>192</v>
      </c>
      <c r="H1811" s="38" t="n">
        <v>199.172469040509</v>
      </c>
      <c r="I1811" s="38" t="n">
        <v>203.033531720906</v>
      </c>
      <c r="J1811" s="38" t="n">
        <v>225.260030697533</v>
      </c>
      <c r="K1811" s="38" t="n">
        <v>284.746120446519</v>
      </c>
      <c r="L1811" s="38" t="n">
        <v>163.808281660507</v>
      </c>
      <c r="M1811" s="38" t="n">
        <v>106.52738406817</v>
      </c>
      <c r="N1811" s="38" t="n">
        <v>138.057049895564</v>
      </c>
      <c r="O1811" s="38" t="n">
        <v>73.1441403145123</v>
      </c>
      <c r="P1811" s="37" t="n">
        <v>0</v>
      </c>
      <c r="Q1811" s="38" t="n">
        <v>0</v>
      </c>
      <c r="R1811" s="38" t="n">
        <v>70.5</v>
      </c>
      <c r="S1811" s="37" t="n">
        <v>0</v>
      </c>
    </row>
    <row r="1812" customFormat="false" ht="15" hidden="false" customHeight="false" outlineLevel="0" collapsed="false">
      <c r="A1812" s="37" t="n">
        <v>10</v>
      </c>
      <c r="B1812" s="37" t="n">
        <v>0</v>
      </c>
      <c r="C1812" s="37" t="n">
        <v>10</v>
      </c>
      <c r="D1812" s="37" t="n">
        <v>0</v>
      </c>
      <c r="E1812" s="37" t="n">
        <v>0</v>
      </c>
      <c r="F1812" s="37" t="n">
        <v>10</v>
      </c>
      <c r="G1812" s="37" t="s">
        <v>195</v>
      </c>
      <c r="H1812" s="38" t="n">
        <v>199.172469040509</v>
      </c>
      <c r="I1812" s="38" t="n">
        <v>203.071757634629</v>
      </c>
      <c r="J1812" s="38" t="n">
        <v>221.058761906681</v>
      </c>
      <c r="K1812" s="38" t="n">
        <v>276.303042431295</v>
      </c>
      <c r="L1812" s="38" t="n">
        <v>157.776194328344</v>
      </c>
      <c r="M1812" s="38" t="n">
        <v>109.600553920155</v>
      </c>
      <c r="N1812" s="38" t="n">
        <v>134.652902152476</v>
      </c>
      <c r="O1812" s="38" t="n">
        <v>72.385647070047</v>
      </c>
      <c r="P1812" s="37" t="n">
        <v>0</v>
      </c>
      <c r="Q1812" s="38" t="n">
        <v>0</v>
      </c>
      <c r="R1812" s="38" t="n">
        <v>68.6169455691147</v>
      </c>
      <c r="S1812" s="37" t="n">
        <v>0</v>
      </c>
    </row>
    <row r="1813" customFormat="false" ht="15" hidden="false" customHeight="false" outlineLevel="0" collapsed="false">
      <c r="A1813" s="37" t="n">
        <v>10</v>
      </c>
      <c r="B1813" s="37" t="n">
        <v>0</v>
      </c>
      <c r="C1813" s="37" t="n">
        <v>10</v>
      </c>
      <c r="D1813" s="37" t="n">
        <v>0</v>
      </c>
      <c r="E1813" s="37" t="n">
        <v>0</v>
      </c>
      <c r="F1813" s="37" t="n">
        <v>10</v>
      </c>
      <c r="G1813" s="37" t="s">
        <v>197</v>
      </c>
      <c r="H1813" s="38" t="n">
        <v>199.172469040509</v>
      </c>
      <c r="I1813" s="38" t="n">
        <v>203.023886683102</v>
      </c>
      <c r="J1813" s="38" t="n">
        <v>224.113946205557</v>
      </c>
      <c r="K1813" s="38" t="n">
        <v>283.187516312122</v>
      </c>
      <c r="L1813" s="38" t="n">
        <v>160.728163491117</v>
      </c>
      <c r="M1813" s="38" t="n">
        <v>107.086766650767</v>
      </c>
      <c r="N1813" s="38" t="n">
        <v>129.680467190979</v>
      </c>
      <c r="O1813" s="38" t="n">
        <v>72.3022708929023</v>
      </c>
      <c r="P1813" s="37" t="n">
        <v>0</v>
      </c>
      <c r="Q1813" s="38" t="n">
        <v>0</v>
      </c>
      <c r="R1813" s="38" t="n">
        <v>70.5</v>
      </c>
      <c r="S1813" s="37" t="n">
        <v>0</v>
      </c>
    </row>
    <row r="1814" customFormat="false" ht="15" hidden="false" customHeight="false" outlineLevel="0" collapsed="false">
      <c r="A1814" s="37" t="n">
        <v>10</v>
      </c>
      <c r="B1814" s="37" t="n">
        <v>0</v>
      </c>
      <c r="C1814" s="37" t="n">
        <v>10</v>
      </c>
      <c r="D1814" s="37" t="n">
        <v>0</v>
      </c>
      <c r="E1814" s="37" t="n">
        <v>0</v>
      </c>
      <c r="F1814" s="37" t="n">
        <v>10</v>
      </c>
      <c r="G1814" s="37" t="s">
        <v>196</v>
      </c>
      <c r="H1814" s="38" t="n">
        <v>199.172469040509</v>
      </c>
      <c r="I1814" s="38" t="n">
        <v>203.045532817807</v>
      </c>
      <c r="J1814" s="38" t="n">
        <v>224.909358488781</v>
      </c>
      <c r="K1814" s="38" t="n">
        <v>284.506148234834</v>
      </c>
      <c r="L1814" s="38" t="n">
        <v>168.38522307357</v>
      </c>
      <c r="M1814" s="38" t="n">
        <v>109.74682676233</v>
      </c>
      <c r="N1814" s="38" t="n">
        <v>139.013084736139</v>
      </c>
      <c r="O1814" s="38" t="n">
        <v>76.3713267324917</v>
      </c>
      <c r="P1814" s="37" t="n">
        <v>0</v>
      </c>
      <c r="Q1814" s="38" t="n">
        <v>0</v>
      </c>
      <c r="R1814" s="38" t="n">
        <v>69.5843112946299</v>
      </c>
      <c r="S1814" s="37" t="n">
        <v>0</v>
      </c>
    </row>
    <row r="1815" customFormat="false" ht="15" hidden="false" customHeight="false" outlineLevel="0" collapsed="false">
      <c r="A1815" s="37" t="n">
        <v>10</v>
      </c>
      <c r="B1815" s="37" t="n">
        <v>0</v>
      </c>
      <c r="C1815" s="37" t="n">
        <v>10</v>
      </c>
      <c r="D1815" s="37" t="n">
        <v>0</v>
      </c>
      <c r="E1815" s="37" t="n">
        <v>5</v>
      </c>
      <c r="F1815" s="37" t="n">
        <v>5</v>
      </c>
      <c r="G1815" s="37" t="s">
        <v>188</v>
      </c>
      <c r="H1815" s="38" t="n">
        <v>199.163663109392</v>
      </c>
      <c r="I1815" s="38" t="n">
        <v>203.364583976745</v>
      </c>
      <c r="J1815" s="38" t="n">
        <v>233.857253975947</v>
      </c>
      <c r="K1815" s="38" t="n">
        <v>297.899821217497</v>
      </c>
      <c r="L1815" s="38" t="n">
        <v>136.060778891805</v>
      </c>
      <c r="M1815" s="38" t="n">
        <v>114.545861901854</v>
      </c>
      <c r="N1815" s="38" t="n">
        <v>161.582377033467</v>
      </c>
      <c r="O1815" s="38" t="n">
        <v>81.486699070536</v>
      </c>
      <c r="P1815" s="37" t="n">
        <v>0</v>
      </c>
      <c r="Q1815" s="38" t="n">
        <v>0</v>
      </c>
      <c r="R1815" s="38" t="n">
        <v>70.5</v>
      </c>
      <c r="S1815" s="37" t="n">
        <v>1</v>
      </c>
    </row>
    <row r="1816" customFormat="false" ht="15" hidden="false" customHeight="false" outlineLevel="0" collapsed="false">
      <c r="A1816" s="37" t="n">
        <v>10</v>
      </c>
      <c r="B1816" s="37" t="n">
        <v>0</v>
      </c>
      <c r="C1816" s="37" t="n">
        <v>10</v>
      </c>
      <c r="D1816" s="37" t="n">
        <v>0</v>
      </c>
      <c r="E1816" s="37" t="n">
        <v>5</v>
      </c>
      <c r="F1816" s="37" t="n">
        <v>5</v>
      </c>
      <c r="G1816" s="37" t="s">
        <v>192</v>
      </c>
      <c r="H1816" s="38" t="n">
        <v>199.163663109392</v>
      </c>
      <c r="I1816" s="38" t="n">
        <v>203.006049992898</v>
      </c>
      <c r="J1816" s="38" t="n">
        <v>227.464990383772</v>
      </c>
      <c r="K1816" s="38" t="n">
        <v>287.420428402869</v>
      </c>
      <c r="L1816" s="38" t="n">
        <v>126.448261735789</v>
      </c>
      <c r="M1816" s="38" t="n">
        <v>107.14950667942</v>
      </c>
      <c r="N1816" s="38" t="n">
        <v>143.523634458017</v>
      </c>
      <c r="O1816" s="38" t="n">
        <v>73.3481498488759</v>
      </c>
      <c r="P1816" s="37" t="n">
        <v>0</v>
      </c>
      <c r="Q1816" s="38" t="n">
        <v>0</v>
      </c>
      <c r="R1816" s="38" t="n">
        <v>70.5</v>
      </c>
      <c r="S1816" s="37" t="n">
        <v>0</v>
      </c>
    </row>
    <row r="1817" customFormat="false" ht="15" hidden="false" customHeight="false" outlineLevel="0" collapsed="false">
      <c r="A1817" s="37" t="n">
        <v>10</v>
      </c>
      <c r="B1817" s="37" t="n">
        <v>0</v>
      </c>
      <c r="C1817" s="37" t="n">
        <v>10</v>
      </c>
      <c r="D1817" s="37" t="n">
        <v>0</v>
      </c>
      <c r="E1817" s="37" t="n">
        <v>5</v>
      </c>
      <c r="F1817" s="37" t="n">
        <v>5</v>
      </c>
      <c r="G1817" s="37" t="s">
        <v>195</v>
      </c>
      <c r="H1817" s="38" t="n">
        <v>199.163663109392</v>
      </c>
      <c r="I1817" s="38" t="n">
        <v>203.048947699172</v>
      </c>
      <c r="J1817" s="38" t="n">
        <v>223.175189389894</v>
      </c>
      <c r="K1817" s="38" t="n">
        <v>278.878760576508</v>
      </c>
      <c r="L1817" s="38" t="n">
        <v>120.250313095767</v>
      </c>
      <c r="M1817" s="38" t="n">
        <v>110.234098818586</v>
      </c>
      <c r="N1817" s="38" t="n">
        <v>140.141978903036</v>
      </c>
      <c r="O1817" s="38" t="n">
        <v>72.507486763597</v>
      </c>
      <c r="P1817" s="37" t="n">
        <v>0</v>
      </c>
      <c r="Q1817" s="38" t="n">
        <v>0</v>
      </c>
      <c r="R1817" s="38" t="n">
        <v>68.5864657557777</v>
      </c>
      <c r="S1817" s="37" t="n">
        <v>0</v>
      </c>
    </row>
    <row r="1818" customFormat="false" ht="15" hidden="false" customHeight="false" outlineLevel="0" collapsed="false">
      <c r="A1818" s="37" t="n">
        <v>10</v>
      </c>
      <c r="B1818" s="37" t="n">
        <v>0</v>
      </c>
      <c r="C1818" s="37" t="n">
        <v>10</v>
      </c>
      <c r="D1818" s="37" t="n">
        <v>0</v>
      </c>
      <c r="E1818" s="37" t="n">
        <v>5</v>
      </c>
      <c r="F1818" s="37" t="n">
        <v>5</v>
      </c>
      <c r="G1818" s="37" t="s">
        <v>197</v>
      </c>
      <c r="H1818" s="38" t="n">
        <v>199.163663109392</v>
      </c>
      <c r="I1818" s="38" t="n">
        <v>203.011255155036</v>
      </c>
      <c r="J1818" s="38" t="n">
        <v>227.073505252019</v>
      </c>
      <c r="K1818" s="38" t="n">
        <v>287.009310552322</v>
      </c>
      <c r="L1818" s="38" t="n">
        <v>125.040242267973</v>
      </c>
      <c r="M1818" s="38" t="n">
        <v>111.039267548123</v>
      </c>
      <c r="N1818" s="38" t="n">
        <v>144.464115192375</v>
      </c>
      <c r="O1818" s="38" t="n">
        <v>76.3895083669876</v>
      </c>
      <c r="P1818" s="37" t="n">
        <v>0</v>
      </c>
      <c r="Q1818" s="38" t="n">
        <v>0</v>
      </c>
      <c r="R1818" s="38" t="n">
        <v>70.5</v>
      </c>
      <c r="S1818" s="37" t="n">
        <v>0</v>
      </c>
    </row>
    <row r="1819" customFormat="false" ht="15" hidden="false" customHeight="false" outlineLevel="0" collapsed="false">
      <c r="A1819" s="37" t="n">
        <v>10</v>
      </c>
      <c r="B1819" s="37" t="n">
        <v>0</v>
      </c>
      <c r="C1819" s="37" t="n">
        <v>10</v>
      </c>
      <c r="D1819" s="37" t="n">
        <v>0</v>
      </c>
      <c r="E1819" s="37" t="n">
        <v>5</v>
      </c>
      <c r="F1819" s="37" t="n">
        <v>5</v>
      </c>
      <c r="G1819" s="37" t="s">
        <v>196</v>
      </c>
      <c r="H1819" s="38" t="n">
        <v>199.163663109392</v>
      </c>
      <c r="I1819" s="38" t="n">
        <v>203.02456024378</v>
      </c>
      <c r="J1819" s="38" t="n">
        <v>227.070553356425</v>
      </c>
      <c r="K1819" s="38" t="n">
        <v>287.215817895013</v>
      </c>
      <c r="L1819" s="38" t="n">
        <v>130.658279243409</v>
      </c>
      <c r="M1819" s="38" t="n">
        <v>111.055658828345</v>
      </c>
      <c r="N1819" s="38" t="n">
        <v>146.278315412536</v>
      </c>
      <c r="O1819" s="38" t="n">
        <v>77.9564460126163</v>
      </c>
      <c r="P1819" s="37" t="n">
        <v>0</v>
      </c>
      <c r="Q1819" s="38" t="n">
        <v>0</v>
      </c>
      <c r="R1819" s="38" t="n">
        <v>69.4795240569484</v>
      </c>
      <c r="S1819" s="37" t="n">
        <v>0</v>
      </c>
    </row>
    <row r="1820" customFormat="false" ht="15" hidden="false" customHeight="false" outlineLevel="0" collapsed="false">
      <c r="A1820" s="37" t="n">
        <v>10</v>
      </c>
      <c r="B1820" s="37" t="n">
        <v>0</v>
      </c>
      <c r="C1820" s="37" t="n">
        <v>10</v>
      </c>
      <c r="D1820" s="37" t="n">
        <v>0</v>
      </c>
      <c r="E1820" s="37" t="n">
        <v>10</v>
      </c>
      <c r="F1820" s="37" t="n">
        <v>0</v>
      </c>
      <c r="G1820" s="37" t="s">
        <v>188</v>
      </c>
      <c r="H1820" s="38" t="n">
        <v>199.153914304479</v>
      </c>
      <c r="I1820" s="38" t="n">
        <v>203.291363807674</v>
      </c>
      <c r="J1820" s="38" t="n">
        <v>234.93119359116</v>
      </c>
      <c r="K1820" s="38" t="n">
        <v>299.103936475018</v>
      </c>
      <c r="L1820" s="38" t="n">
        <v>97.39484063988</v>
      </c>
      <c r="M1820" s="38" t="n">
        <v>114.791937590763</v>
      </c>
      <c r="N1820" s="38" t="n">
        <v>164.427410416515</v>
      </c>
      <c r="O1820" s="38" t="n">
        <v>80.7768653017819</v>
      </c>
      <c r="P1820" s="37" t="n">
        <v>0</v>
      </c>
      <c r="Q1820" s="38" t="n">
        <v>0</v>
      </c>
      <c r="R1820" s="38" t="n">
        <v>70.5</v>
      </c>
      <c r="S1820" s="37" t="n">
        <v>1</v>
      </c>
    </row>
    <row r="1821" customFormat="false" ht="15" hidden="false" customHeight="false" outlineLevel="0" collapsed="false">
      <c r="A1821" s="37" t="n">
        <v>10</v>
      </c>
      <c r="B1821" s="37" t="n">
        <v>0</v>
      </c>
      <c r="C1821" s="37" t="n">
        <v>10</v>
      </c>
      <c r="D1821" s="37" t="n">
        <v>0</v>
      </c>
      <c r="E1821" s="37" t="n">
        <v>10</v>
      </c>
      <c r="F1821" s="37" t="n">
        <v>0</v>
      </c>
      <c r="G1821" s="37" t="s">
        <v>192</v>
      </c>
      <c r="H1821" s="38" t="n">
        <v>199.153914304479</v>
      </c>
      <c r="I1821" s="38" t="n">
        <v>202.945208054886</v>
      </c>
      <c r="J1821" s="38" t="n">
        <v>228.845028861212</v>
      </c>
      <c r="K1821" s="38" t="n">
        <v>288.827662014408</v>
      </c>
      <c r="L1821" s="38" t="n">
        <v>87.8194939834598</v>
      </c>
      <c r="M1821" s="38" t="n">
        <v>107.545837505563</v>
      </c>
      <c r="N1821" s="38" t="n">
        <v>147.290464849033</v>
      </c>
      <c r="O1821" s="38" t="n">
        <v>72.7880518332459</v>
      </c>
      <c r="P1821" s="37" t="n">
        <v>0</v>
      </c>
      <c r="Q1821" s="38" t="n">
        <v>0</v>
      </c>
      <c r="R1821" s="38" t="n">
        <v>70.5</v>
      </c>
      <c r="S1821" s="37" t="n">
        <v>0</v>
      </c>
    </row>
    <row r="1822" customFormat="false" ht="15" hidden="false" customHeight="false" outlineLevel="0" collapsed="false">
      <c r="A1822" s="37" t="n">
        <v>10</v>
      </c>
      <c r="B1822" s="37" t="n">
        <v>0</v>
      </c>
      <c r="C1822" s="37" t="n">
        <v>10</v>
      </c>
      <c r="D1822" s="37" t="n">
        <v>0</v>
      </c>
      <c r="E1822" s="37" t="n">
        <v>10</v>
      </c>
      <c r="F1822" s="37" t="n">
        <v>0</v>
      </c>
      <c r="G1822" s="37" t="s">
        <v>195</v>
      </c>
      <c r="H1822" s="38" t="n">
        <v>199.153914304479</v>
      </c>
      <c r="I1822" s="38" t="n">
        <v>202.992454596098</v>
      </c>
      <c r="J1822" s="38" t="n">
        <v>224.319485644997</v>
      </c>
      <c r="K1822" s="38" t="n">
        <v>280.096509066726</v>
      </c>
      <c r="L1822" s="38" t="n">
        <v>81.392562456356</v>
      </c>
      <c r="M1822" s="38" t="n">
        <v>110.642079258401</v>
      </c>
      <c r="N1822" s="38" t="n">
        <v>143.53732603874</v>
      </c>
      <c r="O1822" s="38" t="n">
        <v>71.8534908310079</v>
      </c>
      <c r="P1822" s="37" t="n">
        <v>0</v>
      </c>
      <c r="Q1822" s="38" t="n">
        <v>0</v>
      </c>
      <c r="R1822" s="38" t="n">
        <v>68.563816016889</v>
      </c>
      <c r="S1822" s="37" t="n">
        <v>0</v>
      </c>
    </row>
    <row r="1823" customFormat="false" ht="15" hidden="false" customHeight="false" outlineLevel="0" collapsed="false">
      <c r="A1823" s="37" t="n">
        <v>10</v>
      </c>
      <c r="B1823" s="37" t="n">
        <v>0</v>
      </c>
      <c r="C1823" s="37" t="n">
        <v>10</v>
      </c>
      <c r="D1823" s="37" t="n">
        <v>0</v>
      </c>
      <c r="E1823" s="37" t="n">
        <v>10</v>
      </c>
      <c r="F1823" s="37" t="n">
        <v>0</v>
      </c>
      <c r="G1823" s="37" t="s">
        <v>197</v>
      </c>
      <c r="H1823" s="38" t="n">
        <v>199.153914304479</v>
      </c>
      <c r="I1823" s="38" t="n">
        <v>202.976726136752</v>
      </c>
      <c r="J1823" s="38" t="n">
        <v>229.591104163513</v>
      </c>
      <c r="K1823" s="38" t="n">
        <v>290.074162173476</v>
      </c>
      <c r="L1823" s="38" t="n">
        <v>88.7266596351912</v>
      </c>
      <c r="M1823" s="38" t="n">
        <v>114.003896733656</v>
      </c>
      <c r="N1823" s="38" t="n">
        <v>156.395519979348</v>
      </c>
      <c r="O1823" s="38" t="n">
        <v>77.8195428919708</v>
      </c>
      <c r="P1823" s="37" t="n">
        <v>0</v>
      </c>
      <c r="Q1823" s="38" t="n">
        <v>0</v>
      </c>
      <c r="R1823" s="38" t="n">
        <v>70.5</v>
      </c>
      <c r="S1823" s="37" t="n">
        <v>0</v>
      </c>
    </row>
    <row r="1824" customFormat="false" ht="15" hidden="false" customHeight="false" outlineLevel="0" collapsed="false">
      <c r="A1824" s="37" t="n">
        <v>10</v>
      </c>
      <c r="B1824" s="37" t="n">
        <v>0</v>
      </c>
      <c r="C1824" s="37" t="n">
        <v>10</v>
      </c>
      <c r="D1824" s="37" t="n">
        <v>0</v>
      </c>
      <c r="E1824" s="37" t="n">
        <v>10</v>
      </c>
      <c r="F1824" s="37" t="n">
        <v>0</v>
      </c>
      <c r="G1824" s="37" t="s">
        <v>196</v>
      </c>
      <c r="H1824" s="38" t="n">
        <v>199.153914304479</v>
      </c>
      <c r="I1824" s="38" t="n">
        <v>202.975151785707</v>
      </c>
      <c r="J1824" s="38" t="n">
        <v>228.62264223015</v>
      </c>
      <c r="K1824" s="38" t="n">
        <v>288.987225842598</v>
      </c>
      <c r="L1824" s="38" t="n">
        <v>92.3594690697099</v>
      </c>
      <c r="M1824" s="38" t="n">
        <v>111.995749129076</v>
      </c>
      <c r="N1824" s="38" t="n">
        <v>151.728800642081</v>
      </c>
      <c r="O1824" s="38" t="n">
        <v>77.8783375435824</v>
      </c>
      <c r="P1824" s="37" t="n">
        <v>0</v>
      </c>
      <c r="Q1824" s="38" t="n">
        <v>0</v>
      </c>
      <c r="R1824" s="38" t="n">
        <v>69.4626717078403</v>
      </c>
      <c r="S1824" s="37" t="n">
        <v>0</v>
      </c>
    </row>
    <row r="1825" customFormat="false" ht="15" hidden="false" customHeight="false" outlineLevel="0" collapsed="false">
      <c r="A1825" s="37" t="n">
        <v>10</v>
      </c>
      <c r="B1825" s="37" t="n">
        <v>0</v>
      </c>
      <c r="C1825" s="37" t="n">
        <v>10</v>
      </c>
      <c r="D1825" s="37" t="n">
        <v>5</v>
      </c>
      <c r="E1825" s="37" t="n">
        <v>0</v>
      </c>
      <c r="F1825" s="37" t="n">
        <v>5</v>
      </c>
      <c r="G1825" s="37" t="s">
        <v>188</v>
      </c>
      <c r="H1825" s="38" t="n">
        <v>199.390810100579</v>
      </c>
      <c r="I1825" s="38" t="n">
        <v>205.194681063887</v>
      </c>
      <c r="J1825" s="38" t="n">
        <v>242.117544545216</v>
      </c>
      <c r="K1825" s="38" t="n">
        <v>302.854796626536</v>
      </c>
      <c r="L1825" s="38" t="n">
        <v>141.936026401751</v>
      </c>
      <c r="M1825" s="38" t="n">
        <v>116.417775915221</v>
      </c>
      <c r="N1825" s="38" t="n">
        <v>163.424611014724</v>
      </c>
      <c r="O1825" s="38" t="n">
        <v>86.2372295707215</v>
      </c>
      <c r="P1825" s="37" t="n">
        <v>0</v>
      </c>
      <c r="Q1825" s="38" t="n">
        <v>0</v>
      </c>
      <c r="R1825" s="38" t="n">
        <v>72</v>
      </c>
      <c r="S1825" s="37" t="n">
        <v>1</v>
      </c>
    </row>
    <row r="1826" customFormat="false" ht="15" hidden="false" customHeight="false" outlineLevel="0" collapsed="false">
      <c r="A1826" s="37" t="n">
        <v>10</v>
      </c>
      <c r="B1826" s="37" t="n">
        <v>0</v>
      </c>
      <c r="C1826" s="37" t="n">
        <v>10</v>
      </c>
      <c r="D1826" s="37" t="n">
        <v>5</v>
      </c>
      <c r="E1826" s="37" t="n">
        <v>0</v>
      </c>
      <c r="F1826" s="37" t="n">
        <v>5</v>
      </c>
      <c r="G1826" s="37" t="s">
        <v>192</v>
      </c>
      <c r="H1826" s="38" t="n">
        <v>199.390810100579</v>
      </c>
      <c r="I1826" s="38" t="n">
        <v>204.789048411175</v>
      </c>
      <c r="J1826" s="38" t="n">
        <v>235.634242919243</v>
      </c>
      <c r="K1826" s="38" t="n">
        <v>291.785253326325</v>
      </c>
      <c r="L1826" s="38" t="n">
        <v>131.259455797074</v>
      </c>
      <c r="M1826" s="38" t="n">
        <v>108.854368722171</v>
      </c>
      <c r="N1826" s="38" t="n">
        <v>146.597571793561</v>
      </c>
      <c r="O1826" s="38" t="n">
        <v>78.2222313519854</v>
      </c>
      <c r="P1826" s="37" t="n">
        <v>0</v>
      </c>
      <c r="Q1826" s="38" t="n">
        <v>0</v>
      </c>
      <c r="R1826" s="38" t="n">
        <v>72</v>
      </c>
      <c r="S1826" s="37" t="n">
        <v>0</v>
      </c>
    </row>
    <row r="1827" customFormat="false" ht="15" hidden="false" customHeight="false" outlineLevel="0" collapsed="false">
      <c r="A1827" s="37" t="n">
        <v>10</v>
      </c>
      <c r="B1827" s="37" t="n">
        <v>0</v>
      </c>
      <c r="C1827" s="37" t="n">
        <v>10</v>
      </c>
      <c r="D1827" s="37" t="n">
        <v>5</v>
      </c>
      <c r="E1827" s="37" t="n">
        <v>0</v>
      </c>
      <c r="F1827" s="37" t="n">
        <v>5</v>
      </c>
      <c r="G1827" s="37" t="s">
        <v>195</v>
      </c>
      <c r="H1827" s="38" t="n">
        <v>199.390810100579</v>
      </c>
      <c r="I1827" s="38" t="n">
        <v>204.950794139304</v>
      </c>
      <c r="J1827" s="38" t="n">
        <v>235.621083193532</v>
      </c>
      <c r="K1827" s="38" t="n">
        <v>290.027414109333</v>
      </c>
      <c r="L1827" s="38" t="n">
        <v>132.973651410864</v>
      </c>
      <c r="M1827" s="38" t="n">
        <v>113.73198021828</v>
      </c>
      <c r="N1827" s="38" t="n">
        <v>152.738660950615</v>
      </c>
      <c r="O1827" s="38" t="n">
        <v>81.3502613954554</v>
      </c>
      <c r="P1827" s="37" t="n">
        <v>0</v>
      </c>
      <c r="Q1827" s="38" t="n">
        <v>0</v>
      </c>
      <c r="R1827" s="38" t="n">
        <v>70.5588711904594</v>
      </c>
      <c r="S1827" s="37" t="n">
        <v>0</v>
      </c>
    </row>
    <row r="1828" customFormat="false" ht="15" hidden="false" customHeight="false" outlineLevel="0" collapsed="false">
      <c r="A1828" s="37" t="n">
        <v>10</v>
      </c>
      <c r="B1828" s="37" t="n">
        <v>0</v>
      </c>
      <c r="C1828" s="37" t="n">
        <v>10</v>
      </c>
      <c r="D1828" s="37" t="n">
        <v>5</v>
      </c>
      <c r="E1828" s="37" t="n">
        <v>0</v>
      </c>
      <c r="F1828" s="37" t="n">
        <v>5</v>
      </c>
      <c r="G1828" s="37" t="s">
        <v>197</v>
      </c>
      <c r="H1828" s="38" t="n">
        <v>199.390810100579</v>
      </c>
      <c r="I1828" s="38" t="n">
        <v>204.778634858575</v>
      </c>
      <c r="J1828" s="38" t="n">
        <v>234.527244753038</v>
      </c>
      <c r="K1828" s="38" t="n">
        <v>290.254083195807</v>
      </c>
      <c r="L1828" s="38" t="n">
        <v>128.041594520731</v>
      </c>
      <c r="M1828" s="38" t="n">
        <v>109.487785850453</v>
      </c>
      <c r="N1828" s="38" t="n">
        <v>138.470944046901</v>
      </c>
      <c r="O1828" s="38" t="n">
        <v>77.6118088207033</v>
      </c>
      <c r="P1828" s="37" t="n">
        <v>0</v>
      </c>
      <c r="Q1828" s="38" t="n">
        <v>0</v>
      </c>
      <c r="R1828" s="38" t="n">
        <v>72</v>
      </c>
      <c r="S1828" s="37" t="n">
        <v>0</v>
      </c>
    </row>
    <row r="1829" customFormat="false" ht="15" hidden="false" customHeight="false" outlineLevel="0" collapsed="false">
      <c r="A1829" s="37" t="n">
        <v>10</v>
      </c>
      <c r="B1829" s="37" t="n">
        <v>0</v>
      </c>
      <c r="C1829" s="37" t="n">
        <v>10</v>
      </c>
      <c r="D1829" s="37" t="n">
        <v>5</v>
      </c>
      <c r="E1829" s="37" t="n">
        <v>0</v>
      </c>
      <c r="F1829" s="37" t="n">
        <v>5</v>
      </c>
      <c r="G1829" s="37" t="s">
        <v>196</v>
      </c>
      <c r="H1829" s="38" t="n">
        <v>199.390810100579</v>
      </c>
      <c r="I1829" s="38" t="n">
        <v>204.804295298088</v>
      </c>
      <c r="J1829" s="38" t="n">
        <v>235.454333547449</v>
      </c>
      <c r="K1829" s="38" t="n">
        <v>291.733325304911</v>
      </c>
      <c r="L1829" s="38" t="n">
        <v>135.649985498682</v>
      </c>
      <c r="M1829" s="38" t="n">
        <v>112.711331576626</v>
      </c>
      <c r="N1829" s="38" t="n">
        <v>149.18950112961</v>
      </c>
      <c r="O1829" s="38" t="n">
        <v>81.6663684794114</v>
      </c>
      <c r="P1829" s="37" t="n">
        <v>0</v>
      </c>
      <c r="Q1829" s="38" t="n">
        <v>0</v>
      </c>
      <c r="R1829" s="38" t="n">
        <v>71.0933317798384</v>
      </c>
      <c r="S1829" s="37" t="n">
        <v>0</v>
      </c>
    </row>
    <row r="1830" customFormat="false" ht="15" hidden="false" customHeight="false" outlineLevel="0" collapsed="false">
      <c r="A1830" s="37" t="n">
        <v>10</v>
      </c>
      <c r="B1830" s="37" t="n">
        <v>0</v>
      </c>
      <c r="C1830" s="37" t="n">
        <v>10</v>
      </c>
      <c r="D1830" s="37" t="n">
        <v>5</v>
      </c>
      <c r="E1830" s="37" t="n">
        <v>5</v>
      </c>
      <c r="F1830" s="37" t="n">
        <v>0</v>
      </c>
      <c r="G1830" s="37" t="s">
        <v>188</v>
      </c>
      <c r="H1830" s="38" t="n">
        <v>199.325188893917</v>
      </c>
      <c r="I1830" s="38" t="n">
        <v>204.680498693904</v>
      </c>
      <c r="J1830" s="38" t="n">
        <v>242.972753942203</v>
      </c>
      <c r="K1830" s="38" t="n">
        <v>302.045177549962</v>
      </c>
      <c r="L1830" s="38" t="n">
        <v>101.132057672563</v>
      </c>
      <c r="M1830" s="38" t="n">
        <v>115.795768639844</v>
      </c>
      <c r="N1830" s="38" t="n">
        <v>166.472622438717</v>
      </c>
      <c r="O1830" s="38" t="n">
        <v>85.332152915296</v>
      </c>
      <c r="P1830" s="37" t="n">
        <v>0</v>
      </c>
      <c r="Q1830" s="38" t="n">
        <v>0</v>
      </c>
      <c r="R1830" s="38" t="n">
        <v>72</v>
      </c>
      <c r="S1830" s="37" t="n">
        <v>1</v>
      </c>
    </row>
    <row r="1831" customFormat="false" ht="15" hidden="false" customHeight="false" outlineLevel="0" collapsed="false">
      <c r="A1831" s="37" t="n">
        <v>10</v>
      </c>
      <c r="B1831" s="37" t="n">
        <v>0</v>
      </c>
      <c r="C1831" s="37" t="n">
        <v>10</v>
      </c>
      <c r="D1831" s="37" t="n">
        <v>5</v>
      </c>
      <c r="E1831" s="37" t="n">
        <v>5</v>
      </c>
      <c r="F1831" s="37" t="n">
        <v>0</v>
      </c>
      <c r="G1831" s="37" t="s">
        <v>192</v>
      </c>
      <c r="H1831" s="38" t="n">
        <v>199.325188893917</v>
      </c>
      <c r="I1831" s="38" t="n">
        <v>204.305416501971</v>
      </c>
      <c r="J1831" s="38" t="n">
        <v>236.88719561613</v>
      </c>
      <c r="K1831" s="38" t="n">
        <v>291.288993350206</v>
      </c>
      <c r="L1831" s="38" t="n">
        <v>90.7193297723684</v>
      </c>
      <c r="M1831" s="38" t="n">
        <v>108.501522842996</v>
      </c>
      <c r="N1831" s="38" t="n">
        <v>151.112312442611</v>
      </c>
      <c r="O1831" s="38" t="n">
        <v>77.4783901503725</v>
      </c>
      <c r="P1831" s="37" t="n">
        <v>0</v>
      </c>
      <c r="Q1831" s="38" t="n">
        <v>0</v>
      </c>
      <c r="R1831" s="38" t="n">
        <v>72</v>
      </c>
      <c r="S1831" s="37" t="n">
        <v>0</v>
      </c>
    </row>
    <row r="1832" customFormat="false" ht="15" hidden="false" customHeight="false" outlineLevel="0" collapsed="false">
      <c r="A1832" s="37" t="n">
        <v>10</v>
      </c>
      <c r="B1832" s="37" t="n">
        <v>0</v>
      </c>
      <c r="C1832" s="37" t="n">
        <v>10</v>
      </c>
      <c r="D1832" s="37" t="n">
        <v>5</v>
      </c>
      <c r="E1832" s="37" t="n">
        <v>5</v>
      </c>
      <c r="F1832" s="37" t="n">
        <v>0</v>
      </c>
      <c r="G1832" s="37" t="s">
        <v>195</v>
      </c>
      <c r="H1832" s="38" t="n">
        <v>199.325188893917</v>
      </c>
      <c r="I1832" s="38" t="n">
        <v>204.470809100224</v>
      </c>
      <c r="J1832" s="38" t="n">
        <v>236.971063909117</v>
      </c>
      <c r="K1832" s="38" t="n">
        <v>289.694209171141</v>
      </c>
      <c r="L1832" s="38" t="n">
        <v>92.5020277933895</v>
      </c>
      <c r="M1832" s="38" t="n">
        <v>113.311095262495</v>
      </c>
      <c r="N1832" s="38" t="n">
        <v>157.359914347131</v>
      </c>
      <c r="O1832" s="38" t="n">
        <v>80.6181608532956</v>
      </c>
      <c r="P1832" s="37" t="n">
        <v>0</v>
      </c>
      <c r="Q1832" s="38" t="n">
        <v>0</v>
      </c>
      <c r="R1832" s="38" t="n">
        <v>70.5173455866747</v>
      </c>
      <c r="S1832" s="37" t="n">
        <v>0</v>
      </c>
    </row>
    <row r="1833" customFormat="false" ht="15" hidden="false" customHeight="false" outlineLevel="0" collapsed="false">
      <c r="A1833" s="37" t="n">
        <v>10</v>
      </c>
      <c r="B1833" s="37" t="n">
        <v>0</v>
      </c>
      <c r="C1833" s="37" t="n">
        <v>10</v>
      </c>
      <c r="D1833" s="37" t="n">
        <v>5</v>
      </c>
      <c r="E1833" s="37" t="n">
        <v>5</v>
      </c>
      <c r="F1833" s="37" t="n">
        <v>0</v>
      </c>
      <c r="G1833" s="37" t="s">
        <v>197</v>
      </c>
      <c r="H1833" s="38" t="n">
        <v>199.325188893917</v>
      </c>
      <c r="I1833" s="38" t="n">
        <v>204.312528697214</v>
      </c>
      <c r="J1833" s="38" t="n">
        <v>236.556353962171</v>
      </c>
      <c r="K1833" s="38" t="n">
        <v>290.956210788523</v>
      </c>
      <c r="L1833" s="38" t="n">
        <v>89.1910071354131</v>
      </c>
      <c r="M1833" s="38" t="n">
        <v>112.439276024225</v>
      </c>
      <c r="N1833" s="38" t="n">
        <v>152.28670086845</v>
      </c>
      <c r="O1833" s="38" t="n">
        <v>80.8279107000763</v>
      </c>
      <c r="P1833" s="37" t="n">
        <v>0</v>
      </c>
      <c r="Q1833" s="38" t="n">
        <v>0</v>
      </c>
      <c r="R1833" s="38" t="n">
        <v>72</v>
      </c>
      <c r="S1833" s="37" t="n">
        <v>0</v>
      </c>
    </row>
    <row r="1834" customFormat="false" ht="15" hidden="false" customHeight="false" outlineLevel="0" collapsed="false">
      <c r="A1834" s="37" t="n">
        <v>10</v>
      </c>
      <c r="B1834" s="37" t="n">
        <v>0</v>
      </c>
      <c r="C1834" s="37" t="n">
        <v>10</v>
      </c>
      <c r="D1834" s="37" t="n">
        <v>5</v>
      </c>
      <c r="E1834" s="37" t="n">
        <v>5</v>
      </c>
      <c r="F1834" s="37" t="n">
        <v>0</v>
      </c>
      <c r="G1834" s="37" t="s">
        <v>196</v>
      </c>
      <c r="H1834" s="38" t="n">
        <v>199.325188893917</v>
      </c>
      <c r="I1834" s="38" t="n">
        <v>204.331559120469</v>
      </c>
      <c r="J1834" s="38" t="n">
        <v>236.579306296779</v>
      </c>
      <c r="K1834" s="38" t="n">
        <v>291.232396584762</v>
      </c>
      <c r="L1834" s="38" t="n">
        <v>94.6861616749417</v>
      </c>
      <c r="M1834" s="38" t="n">
        <v>113.025584571505</v>
      </c>
      <c r="N1834" s="38" t="n">
        <v>155.318913142225</v>
      </c>
      <c r="O1834" s="38" t="n">
        <v>82.132806502064</v>
      </c>
      <c r="P1834" s="37" t="n">
        <v>0</v>
      </c>
      <c r="Q1834" s="38" t="n">
        <v>0</v>
      </c>
      <c r="R1834" s="38" t="n">
        <v>70.9822369549764</v>
      </c>
      <c r="S1834" s="37" t="n">
        <v>0</v>
      </c>
    </row>
    <row r="1835" customFormat="false" ht="15" hidden="false" customHeight="false" outlineLevel="0" collapsed="false">
      <c r="A1835" s="37" t="n">
        <v>10</v>
      </c>
      <c r="B1835" s="37" t="n">
        <v>0</v>
      </c>
      <c r="C1835" s="37" t="n">
        <v>10</v>
      </c>
      <c r="D1835" s="37" t="n">
        <v>10</v>
      </c>
      <c r="E1835" s="37" t="n">
        <v>0</v>
      </c>
      <c r="F1835" s="37" t="n">
        <v>0</v>
      </c>
      <c r="G1835" s="37" t="s">
        <v>188</v>
      </c>
      <c r="H1835" s="38" t="n">
        <v>199.595655014641</v>
      </c>
      <c r="I1835" s="38" t="n">
        <v>206.445365728625</v>
      </c>
      <c r="J1835" s="38" t="n">
        <v>242.190402801595</v>
      </c>
      <c r="K1835" s="38" t="n">
        <v>299.848738902362</v>
      </c>
      <c r="L1835" s="38" t="n">
        <v>107.598738902362</v>
      </c>
      <c r="M1835" s="38" t="n">
        <v>117.737456982364</v>
      </c>
      <c r="N1835" s="38" t="n">
        <v>161.66476019359</v>
      </c>
      <c r="O1835" s="38" t="n">
        <v>85.781052156169</v>
      </c>
      <c r="P1835" s="37" t="n">
        <v>0</v>
      </c>
      <c r="Q1835" s="38" t="n">
        <v>0</v>
      </c>
      <c r="R1835" s="38" t="n">
        <v>72</v>
      </c>
      <c r="S1835" s="37" t="n">
        <v>0</v>
      </c>
    </row>
    <row r="1836" customFormat="false" ht="15" hidden="false" customHeight="false" outlineLevel="0" collapsed="false">
      <c r="A1836" s="37" t="n">
        <v>10</v>
      </c>
      <c r="B1836" s="37" t="n">
        <v>0</v>
      </c>
      <c r="C1836" s="37" t="n">
        <v>10</v>
      </c>
      <c r="D1836" s="37" t="n">
        <v>10</v>
      </c>
      <c r="E1836" s="37" t="n">
        <v>0</v>
      </c>
      <c r="F1836" s="37" t="n">
        <v>0</v>
      </c>
      <c r="G1836" s="37" t="s">
        <v>192</v>
      </c>
      <c r="H1836" s="38" t="n">
        <v>199.595655014641</v>
      </c>
      <c r="I1836" s="38" t="n">
        <v>206.019890251531</v>
      </c>
      <c r="J1836" s="38" t="n">
        <v>241.577089442407</v>
      </c>
      <c r="K1836" s="38" t="n">
        <v>296.446130743631</v>
      </c>
      <c r="L1836" s="38" t="n">
        <v>96.1417321787108</v>
      </c>
      <c r="M1836" s="38" t="n">
        <v>110.177106807052</v>
      </c>
      <c r="N1836" s="38" t="n">
        <v>151.471135204074</v>
      </c>
      <c r="O1836" s="38" t="n">
        <v>79.0884416602985</v>
      </c>
      <c r="P1836" s="37" t="n">
        <v>0</v>
      </c>
      <c r="Q1836" s="38" t="n">
        <v>0</v>
      </c>
      <c r="R1836" s="38" t="n">
        <v>72</v>
      </c>
      <c r="S1836" s="37" t="n">
        <v>0</v>
      </c>
    </row>
    <row r="1837" customFormat="false" ht="15" hidden="false" customHeight="false" outlineLevel="0" collapsed="false">
      <c r="A1837" s="37" t="n">
        <v>10</v>
      </c>
      <c r="B1837" s="37" t="n">
        <v>0</v>
      </c>
      <c r="C1837" s="37" t="n">
        <v>10</v>
      </c>
      <c r="D1837" s="37" t="n">
        <v>10</v>
      </c>
      <c r="E1837" s="37" t="n">
        <v>0</v>
      </c>
      <c r="F1837" s="37" t="n">
        <v>0</v>
      </c>
      <c r="G1837" s="37" t="s">
        <v>195</v>
      </c>
      <c r="H1837" s="38" t="n">
        <v>199.595655014641</v>
      </c>
      <c r="I1837" s="38" t="n">
        <v>206.305949100464</v>
      </c>
      <c r="J1837" s="38" t="n">
        <v>243.511272172722</v>
      </c>
      <c r="K1837" s="38" t="n">
        <v>300.396254937691</v>
      </c>
      <c r="L1837" s="38" t="n">
        <v>107.146254937691</v>
      </c>
      <c r="M1837" s="38" t="n">
        <v>116.448353166112</v>
      </c>
      <c r="N1837" s="38" t="n">
        <v>163.648208900503</v>
      </c>
      <c r="O1837" s="38" t="n">
        <v>84.0274605953981</v>
      </c>
      <c r="P1837" s="37" t="n">
        <v>0</v>
      </c>
      <c r="Q1837" s="38" t="n">
        <v>0</v>
      </c>
      <c r="R1837" s="38" t="n">
        <v>67.6898058153052</v>
      </c>
      <c r="S1837" s="37" t="n">
        <v>1</v>
      </c>
    </row>
    <row r="1838" customFormat="false" ht="15" hidden="false" customHeight="false" outlineLevel="0" collapsed="false">
      <c r="A1838" s="37" t="n">
        <v>10</v>
      </c>
      <c r="B1838" s="37" t="n">
        <v>0</v>
      </c>
      <c r="C1838" s="37" t="n">
        <v>10</v>
      </c>
      <c r="D1838" s="37" t="n">
        <v>10</v>
      </c>
      <c r="E1838" s="37" t="n">
        <v>0</v>
      </c>
      <c r="F1838" s="37" t="n">
        <v>0</v>
      </c>
      <c r="G1838" s="37" t="s">
        <v>197</v>
      </c>
      <c r="H1838" s="38" t="n">
        <v>199.595655014641</v>
      </c>
      <c r="I1838" s="38" t="n">
        <v>206.010037092035</v>
      </c>
      <c r="J1838" s="38" t="n">
        <v>240.505467328152</v>
      </c>
      <c r="K1838" s="38" t="n">
        <v>294.965553592145</v>
      </c>
      <c r="L1838" s="38" t="n">
        <v>92.9484195569588</v>
      </c>
      <c r="M1838" s="38" t="n">
        <v>110.87814824283</v>
      </c>
      <c r="N1838" s="38" t="n">
        <v>143.513245380582</v>
      </c>
      <c r="O1838" s="38" t="n">
        <v>78.8610690952134</v>
      </c>
      <c r="P1838" s="37" t="n">
        <v>0</v>
      </c>
      <c r="Q1838" s="38" t="n">
        <v>0</v>
      </c>
      <c r="R1838" s="38" t="n">
        <v>72</v>
      </c>
      <c r="S1838" s="37" t="n">
        <v>0</v>
      </c>
    </row>
    <row r="1839" customFormat="false" ht="15" hidden="false" customHeight="false" outlineLevel="0" collapsed="false">
      <c r="A1839" s="37" t="n">
        <v>10</v>
      </c>
      <c r="B1839" s="37" t="n">
        <v>0</v>
      </c>
      <c r="C1839" s="37" t="n">
        <v>10</v>
      </c>
      <c r="D1839" s="37" t="n">
        <v>10</v>
      </c>
      <c r="E1839" s="37" t="n">
        <v>0</v>
      </c>
      <c r="F1839" s="37" t="n">
        <v>0</v>
      </c>
      <c r="G1839" s="37" t="s">
        <v>196</v>
      </c>
      <c r="H1839" s="38" t="n">
        <v>199.595655014641</v>
      </c>
      <c r="I1839" s="38" t="n">
        <v>206.036262808458</v>
      </c>
      <c r="J1839" s="38" t="n">
        <v>232.712710786731</v>
      </c>
      <c r="K1839" s="38" t="n">
        <v>296.501051472262</v>
      </c>
      <c r="L1839" s="38" t="n">
        <v>102.945495916707</v>
      </c>
      <c r="M1839" s="38" t="n">
        <v>114.499783451715</v>
      </c>
      <c r="N1839" s="38" t="n">
        <v>152.776390926758</v>
      </c>
      <c r="O1839" s="38" t="n">
        <v>81.1105806116043</v>
      </c>
      <c r="P1839" s="37" t="n">
        <v>0</v>
      </c>
      <c r="Q1839" s="38" t="n">
        <v>0</v>
      </c>
      <c r="R1839" s="38" t="n">
        <v>70.604</v>
      </c>
      <c r="S1839" s="37" t="n">
        <v>0</v>
      </c>
    </row>
    <row r="1840" customFormat="false" ht="15" hidden="false" customHeight="false" outlineLevel="0" collapsed="false">
      <c r="A1840" s="37" t="n">
        <v>10</v>
      </c>
      <c r="B1840" s="37" t="n">
        <v>0</v>
      </c>
      <c r="C1840" s="37" t="n">
        <v>15</v>
      </c>
      <c r="D1840" s="37" t="n">
        <v>0</v>
      </c>
      <c r="E1840" s="37" t="n">
        <v>0</v>
      </c>
      <c r="F1840" s="37" t="n">
        <v>5</v>
      </c>
      <c r="G1840" s="37" t="s">
        <v>188</v>
      </c>
      <c r="H1840" s="38" t="n">
        <v>199.462900407265</v>
      </c>
      <c r="I1840" s="38" t="n">
        <v>205.545903507268</v>
      </c>
      <c r="J1840" s="38" t="n">
        <v>238.190499327772</v>
      </c>
      <c r="K1840" s="38" t="n">
        <v>304.953963233744</v>
      </c>
      <c r="L1840" s="38" t="n">
        <v>143.615262290559</v>
      </c>
      <c r="M1840" s="38" t="n">
        <v>118.304654183994</v>
      </c>
      <c r="N1840" s="38" t="n">
        <v>161.951698871411</v>
      </c>
      <c r="O1840" s="38" t="n">
        <v>82.2403784655423</v>
      </c>
      <c r="P1840" s="37" t="n">
        <v>0</v>
      </c>
      <c r="Q1840" s="38" t="n">
        <v>0</v>
      </c>
      <c r="R1840" s="38" t="n">
        <v>70.5</v>
      </c>
      <c r="S1840" s="37" t="n">
        <v>1</v>
      </c>
    </row>
    <row r="1841" customFormat="false" ht="15" hidden="false" customHeight="false" outlineLevel="0" collapsed="false">
      <c r="A1841" s="37" t="n">
        <v>10</v>
      </c>
      <c r="B1841" s="37" t="n">
        <v>0</v>
      </c>
      <c r="C1841" s="37" t="n">
        <v>15</v>
      </c>
      <c r="D1841" s="37" t="n">
        <v>0</v>
      </c>
      <c r="E1841" s="37" t="n">
        <v>0</v>
      </c>
      <c r="F1841" s="37" t="n">
        <v>5</v>
      </c>
      <c r="G1841" s="37" t="s">
        <v>192</v>
      </c>
      <c r="H1841" s="38" t="n">
        <v>199.462900407265</v>
      </c>
      <c r="I1841" s="38" t="n">
        <v>205.114705985073</v>
      </c>
      <c r="J1841" s="38" t="n">
        <v>231.244429423399</v>
      </c>
      <c r="K1841" s="38" t="n">
        <v>293.395192706689</v>
      </c>
      <c r="L1841" s="38" t="n">
        <v>132.659543873717</v>
      </c>
      <c r="M1841" s="38" t="n">
        <v>110.663364312741</v>
      </c>
      <c r="N1841" s="38" t="n">
        <v>143.287980633675</v>
      </c>
      <c r="O1841" s="38" t="n">
        <v>74.0444063678498</v>
      </c>
      <c r="P1841" s="37" t="n">
        <v>0</v>
      </c>
      <c r="Q1841" s="38" t="n">
        <v>0</v>
      </c>
      <c r="R1841" s="38" t="n">
        <v>70.5</v>
      </c>
      <c r="S1841" s="37" t="n">
        <v>0</v>
      </c>
    </row>
    <row r="1842" customFormat="false" ht="15" hidden="false" customHeight="false" outlineLevel="0" collapsed="false">
      <c r="A1842" s="37" t="n">
        <v>10</v>
      </c>
      <c r="B1842" s="37" t="n">
        <v>0</v>
      </c>
      <c r="C1842" s="37" t="n">
        <v>15</v>
      </c>
      <c r="D1842" s="37" t="n">
        <v>0</v>
      </c>
      <c r="E1842" s="37" t="n">
        <v>0</v>
      </c>
      <c r="F1842" s="37" t="n">
        <v>5</v>
      </c>
      <c r="G1842" s="37" t="s">
        <v>195</v>
      </c>
      <c r="H1842" s="38" t="n">
        <v>199.462900407265</v>
      </c>
      <c r="I1842" s="38" t="n">
        <v>205.177608384443</v>
      </c>
      <c r="J1842" s="38" t="n">
        <v>227.469221253708</v>
      </c>
      <c r="K1842" s="38" t="n">
        <v>285.679829461524</v>
      </c>
      <c r="L1842" s="38" t="n">
        <v>127.235639695519</v>
      </c>
      <c r="M1842" s="38" t="n">
        <v>113.784554515988</v>
      </c>
      <c r="N1842" s="38" t="n">
        <v>140.560610422618</v>
      </c>
      <c r="O1842" s="38" t="n">
        <v>73.480499945696</v>
      </c>
      <c r="P1842" s="37" t="n">
        <v>0</v>
      </c>
      <c r="Q1842" s="38" t="n">
        <v>0</v>
      </c>
      <c r="R1842" s="38" t="n">
        <v>68.6417430701984</v>
      </c>
      <c r="S1842" s="37" t="n">
        <v>0</v>
      </c>
    </row>
    <row r="1843" customFormat="false" ht="15" hidden="false" customHeight="false" outlineLevel="0" collapsed="false">
      <c r="A1843" s="37" t="n">
        <v>10</v>
      </c>
      <c r="B1843" s="37" t="n">
        <v>0</v>
      </c>
      <c r="C1843" s="37" t="n">
        <v>15</v>
      </c>
      <c r="D1843" s="37" t="n">
        <v>0</v>
      </c>
      <c r="E1843" s="37" t="n">
        <v>0</v>
      </c>
      <c r="F1843" s="37" t="n">
        <v>5</v>
      </c>
      <c r="G1843" s="37" t="s">
        <v>197</v>
      </c>
      <c r="H1843" s="38" t="n">
        <v>199.462900407265</v>
      </c>
      <c r="I1843" s="38" t="n">
        <v>205.101598222118</v>
      </c>
      <c r="J1843" s="38" t="n">
        <v>229.9058845135</v>
      </c>
      <c r="K1843" s="38" t="n">
        <v>291.49177485065</v>
      </c>
      <c r="L1843" s="38" t="n">
        <v>129.096622297012</v>
      </c>
      <c r="M1843" s="38" t="n">
        <v>110.041430235752</v>
      </c>
      <c r="N1843" s="38" t="n">
        <v>133.907435532443</v>
      </c>
      <c r="O1843" s="38" t="n">
        <v>72.9473193671098</v>
      </c>
      <c r="P1843" s="37" t="n">
        <v>0</v>
      </c>
      <c r="Q1843" s="38" t="n">
        <v>0</v>
      </c>
      <c r="R1843" s="38" t="n">
        <v>70.5</v>
      </c>
      <c r="S1843" s="37" t="n">
        <v>0</v>
      </c>
    </row>
    <row r="1844" customFormat="false" ht="15" hidden="false" customHeight="false" outlineLevel="0" collapsed="false">
      <c r="A1844" s="37" t="n">
        <v>10</v>
      </c>
      <c r="B1844" s="37" t="n">
        <v>0</v>
      </c>
      <c r="C1844" s="37" t="n">
        <v>15</v>
      </c>
      <c r="D1844" s="37" t="n">
        <v>0</v>
      </c>
      <c r="E1844" s="37" t="n">
        <v>0</v>
      </c>
      <c r="F1844" s="37" t="n">
        <v>5</v>
      </c>
      <c r="G1844" s="37" t="s">
        <v>196</v>
      </c>
      <c r="H1844" s="38" t="n">
        <v>199.462900407265</v>
      </c>
      <c r="I1844" s="38" t="n">
        <v>205.120497490754</v>
      </c>
      <c r="J1844" s="38" t="n">
        <v>230.698352351001</v>
      </c>
      <c r="K1844" s="38" t="n">
        <v>292.868663700429</v>
      </c>
      <c r="L1844" s="38" t="n">
        <v>136.641525560207</v>
      </c>
      <c r="M1844" s="38" t="n">
        <v>113.129944419192</v>
      </c>
      <c r="N1844" s="38" t="n">
        <v>143.49049706425</v>
      </c>
      <c r="O1844" s="38" t="n">
        <v>77.3007508195831</v>
      </c>
      <c r="P1844" s="37" t="n">
        <v>0</v>
      </c>
      <c r="Q1844" s="38" t="n">
        <v>0</v>
      </c>
      <c r="R1844" s="38" t="n">
        <v>69.5588201796801</v>
      </c>
      <c r="S1844" s="37" t="n">
        <v>0</v>
      </c>
    </row>
    <row r="1845" customFormat="false" ht="15" hidden="false" customHeight="false" outlineLevel="0" collapsed="false">
      <c r="A1845" s="37" t="n">
        <v>10</v>
      </c>
      <c r="B1845" s="37" t="n">
        <v>0</v>
      </c>
      <c r="C1845" s="37" t="n">
        <v>15</v>
      </c>
      <c r="D1845" s="37" t="n">
        <v>0</v>
      </c>
      <c r="E1845" s="37" t="n">
        <v>5</v>
      </c>
      <c r="F1845" s="37" t="n">
        <v>0</v>
      </c>
      <c r="G1845" s="37" t="s">
        <v>188</v>
      </c>
      <c r="H1845" s="38" t="n">
        <v>199.388471311221</v>
      </c>
      <c r="I1845" s="38" t="n">
        <v>205.194714196858</v>
      </c>
      <c r="J1845" s="38" t="n">
        <v>239.208773135624</v>
      </c>
      <c r="K1845" s="38" t="n">
        <v>304.933469179552</v>
      </c>
      <c r="L1845" s="38" t="n">
        <v>103.66870177874</v>
      </c>
      <c r="M1845" s="38" t="n">
        <v>118.042065887459</v>
      </c>
      <c r="N1845" s="38" t="n">
        <v>165.791216804784</v>
      </c>
      <c r="O1845" s="38" t="n">
        <v>81.6030634721707</v>
      </c>
      <c r="P1845" s="37" t="n">
        <v>0</v>
      </c>
      <c r="Q1845" s="38" t="n">
        <v>0</v>
      </c>
      <c r="R1845" s="38" t="n">
        <v>70.5</v>
      </c>
      <c r="S1845" s="37" t="n">
        <v>1</v>
      </c>
    </row>
    <row r="1846" customFormat="false" ht="15" hidden="false" customHeight="false" outlineLevel="0" collapsed="false">
      <c r="A1846" s="37" t="n">
        <v>10</v>
      </c>
      <c r="B1846" s="37" t="n">
        <v>0</v>
      </c>
      <c r="C1846" s="37" t="n">
        <v>15</v>
      </c>
      <c r="D1846" s="37" t="n">
        <v>0</v>
      </c>
      <c r="E1846" s="37" t="n">
        <v>5</v>
      </c>
      <c r="F1846" s="37" t="n">
        <v>0</v>
      </c>
      <c r="G1846" s="37" t="s">
        <v>192</v>
      </c>
      <c r="H1846" s="38" t="n">
        <v>199.388471311221</v>
      </c>
      <c r="I1846" s="38" t="n">
        <v>204.790431624875</v>
      </c>
      <c r="J1846" s="38" t="n">
        <v>232.558706281284</v>
      </c>
      <c r="K1846" s="38" t="n">
        <v>293.558705426048</v>
      </c>
      <c r="L1846" s="38" t="n">
        <v>92.7737169652243</v>
      </c>
      <c r="M1846" s="38" t="n">
        <v>110.642678351999</v>
      </c>
      <c r="N1846" s="38" t="n">
        <v>148.194316858707</v>
      </c>
      <c r="O1846" s="38" t="n">
        <v>73.6007357590025</v>
      </c>
      <c r="P1846" s="37" t="n">
        <v>0</v>
      </c>
      <c r="Q1846" s="38" t="n">
        <v>0</v>
      </c>
      <c r="R1846" s="38" t="n">
        <v>70.5</v>
      </c>
      <c r="S1846" s="37" t="n">
        <v>0</v>
      </c>
    </row>
    <row r="1847" customFormat="false" ht="15" hidden="false" customHeight="false" outlineLevel="0" collapsed="false">
      <c r="A1847" s="37" t="n">
        <v>10</v>
      </c>
      <c r="B1847" s="37" t="n">
        <v>0</v>
      </c>
      <c r="C1847" s="37" t="n">
        <v>15</v>
      </c>
      <c r="D1847" s="37" t="n">
        <v>0</v>
      </c>
      <c r="E1847" s="37" t="n">
        <v>5</v>
      </c>
      <c r="F1847" s="37" t="n">
        <v>0</v>
      </c>
      <c r="G1847" s="37" t="s">
        <v>195</v>
      </c>
      <c r="H1847" s="38" t="n">
        <v>199.388471311221</v>
      </c>
      <c r="I1847" s="38" t="n">
        <v>204.856713265261</v>
      </c>
      <c r="J1847" s="38" t="n">
        <v>228.759046107737</v>
      </c>
      <c r="K1847" s="38" t="n">
        <v>285.805841878942</v>
      </c>
      <c r="L1847" s="38" t="n">
        <v>87.2522652117199</v>
      </c>
      <c r="M1847" s="38" t="n">
        <v>113.773140552387</v>
      </c>
      <c r="N1847" s="38" t="n">
        <v>145.5330700977</v>
      </c>
      <c r="O1847" s="38" t="n">
        <v>73.1151921935915</v>
      </c>
      <c r="P1847" s="37" t="n">
        <v>0</v>
      </c>
      <c r="Q1847" s="38" t="n">
        <v>0</v>
      </c>
      <c r="R1847" s="38" t="n">
        <v>68.6089269998334</v>
      </c>
      <c r="S1847" s="37" t="n">
        <v>0</v>
      </c>
    </row>
    <row r="1848" customFormat="false" ht="15" hidden="false" customHeight="false" outlineLevel="0" collapsed="false">
      <c r="A1848" s="37" t="n">
        <v>10</v>
      </c>
      <c r="B1848" s="37" t="n">
        <v>0</v>
      </c>
      <c r="C1848" s="37" t="n">
        <v>15</v>
      </c>
      <c r="D1848" s="37" t="n">
        <v>0</v>
      </c>
      <c r="E1848" s="37" t="n">
        <v>5</v>
      </c>
      <c r="F1848" s="37" t="n">
        <v>0</v>
      </c>
      <c r="G1848" s="37" t="s">
        <v>197</v>
      </c>
      <c r="H1848" s="38" t="n">
        <v>199.388471311221</v>
      </c>
      <c r="I1848" s="38" t="n">
        <v>204.790892718461</v>
      </c>
      <c r="J1848" s="38" t="n">
        <v>231.930405256635</v>
      </c>
      <c r="K1848" s="38" t="n">
        <v>292.753663545246</v>
      </c>
      <c r="L1848" s="38" t="n">
        <v>90.7948841205139</v>
      </c>
      <c r="M1848" s="38" t="n">
        <v>113.359877426015</v>
      </c>
      <c r="N1848" s="38" t="n">
        <v>147.094626419957</v>
      </c>
      <c r="O1848" s="38" t="n">
        <v>76.1350036000256</v>
      </c>
      <c r="P1848" s="37" t="n">
        <v>0</v>
      </c>
      <c r="Q1848" s="38" t="n">
        <v>0</v>
      </c>
      <c r="R1848" s="38" t="n">
        <v>70.5</v>
      </c>
      <c r="S1848" s="37" t="n">
        <v>0</v>
      </c>
    </row>
    <row r="1849" customFormat="false" ht="15" hidden="false" customHeight="false" outlineLevel="0" collapsed="false">
      <c r="A1849" s="37" t="n">
        <v>10</v>
      </c>
      <c r="B1849" s="37" t="n">
        <v>0</v>
      </c>
      <c r="C1849" s="37" t="n">
        <v>15</v>
      </c>
      <c r="D1849" s="37" t="n">
        <v>0</v>
      </c>
      <c r="E1849" s="37" t="n">
        <v>5</v>
      </c>
      <c r="F1849" s="37" t="n">
        <v>0</v>
      </c>
      <c r="G1849" s="37" t="s">
        <v>196</v>
      </c>
      <c r="H1849" s="38" t="n">
        <v>199.388471311221</v>
      </c>
      <c r="I1849" s="38" t="n">
        <v>204.806341633589</v>
      </c>
      <c r="J1849" s="38" t="n">
        <v>232.093231789045</v>
      </c>
      <c r="K1849" s="38" t="n">
        <v>293.311782601406</v>
      </c>
      <c r="L1849" s="38" t="n">
        <v>96.6449941051548</v>
      </c>
      <c r="M1849" s="38" t="n">
        <v>113.849864383981</v>
      </c>
      <c r="N1849" s="38" t="n">
        <v>149.961892674953</v>
      </c>
      <c r="O1849" s="38" t="n">
        <v>77.9698081171478</v>
      </c>
      <c r="P1849" s="37" t="n">
        <v>0</v>
      </c>
      <c r="Q1849" s="38" t="n">
        <v>0</v>
      </c>
      <c r="R1849" s="38" t="n">
        <v>69.4533040942331</v>
      </c>
      <c r="S1849" s="37" t="n">
        <v>0</v>
      </c>
    </row>
    <row r="1850" customFormat="false" ht="15" hidden="false" customHeight="false" outlineLevel="0" collapsed="false">
      <c r="A1850" s="37" t="n">
        <v>10</v>
      </c>
      <c r="B1850" s="37" t="n">
        <v>0</v>
      </c>
      <c r="C1850" s="37" t="n">
        <v>15</v>
      </c>
      <c r="D1850" s="37" t="n">
        <v>5</v>
      </c>
      <c r="E1850" s="37" t="n">
        <v>0</v>
      </c>
      <c r="F1850" s="37" t="n">
        <v>0</v>
      </c>
      <c r="G1850" s="37" t="s">
        <v>188</v>
      </c>
      <c r="H1850" s="38" t="n">
        <v>199.633441360875</v>
      </c>
      <c r="I1850" s="38" t="n">
        <v>207.190692361673</v>
      </c>
      <c r="J1850" s="38" t="n">
        <v>241.331906707652</v>
      </c>
      <c r="K1850" s="38" t="n">
        <v>301.600198013359</v>
      </c>
      <c r="L1850" s="38" t="n">
        <v>109.350198013359</v>
      </c>
      <c r="M1850" s="38" t="n">
        <v>120.27554194144</v>
      </c>
      <c r="N1850" s="38" t="n">
        <v>161.503237059059</v>
      </c>
      <c r="O1850" s="38" t="n">
        <v>84.6979278050583</v>
      </c>
      <c r="P1850" s="37" t="n">
        <v>0</v>
      </c>
      <c r="Q1850" s="38" t="n">
        <v>0</v>
      </c>
      <c r="R1850" s="38" t="n">
        <v>72</v>
      </c>
      <c r="S1850" s="37" t="n">
        <v>1</v>
      </c>
    </row>
    <row r="1851" customFormat="false" ht="15" hidden="false" customHeight="false" outlineLevel="0" collapsed="false">
      <c r="A1851" s="37" t="n">
        <v>10</v>
      </c>
      <c r="B1851" s="37" t="n">
        <v>0</v>
      </c>
      <c r="C1851" s="37" t="n">
        <v>15</v>
      </c>
      <c r="D1851" s="37" t="n">
        <v>5</v>
      </c>
      <c r="E1851" s="37" t="n">
        <v>0</v>
      </c>
      <c r="F1851" s="37" t="n">
        <v>0</v>
      </c>
      <c r="G1851" s="37" t="s">
        <v>192</v>
      </c>
      <c r="H1851" s="38" t="n">
        <v>199.633441360875</v>
      </c>
      <c r="I1851" s="38" t="n">
        <v>206.73230514325</v>
      </c>
      <c r="J1851" s="38" t="n">
        <v>245.618232919394</v>
      </c>
      <c r="K1851" s="38" t="n">
        <v>299.13784599839</v>
      </c>
      <c r="L1851" s="38" t="n">
        <v>88.5205751377559</v>
      </c>
      <c r="M1851" s="38" t="n">
        <v>112.681883153093</v>
      </c>
      <c r="N1851" s="38" t="n">
        <v>152.032002446157</v>
      </c>
      <c r="O1851" s="38" t="n">
        <v>78.1643156960508</v>
      </c>
      <c r="P1851" s="37" t="n">
        <v>0</v>
      </c>
      <c r="Q1851" s="38" t="n">
        <v>0</v>
      </c>
      <c r="R1851" s="38" t="n">
        <v>72</v>
      </c>
      <c r="S1851" s="37" t="n">
        <v>0</v>
      </c>
    </row>
    <row r="1852" customFormat="false" ht="15" hidden="false" customHeight="false" outlineLevel="0" collapsed="false">
      <c r="A1852" s="37" t="n">
        <v>10</v>
      </c>
      <c r="B1852" s="37" t="n">
        <v>0</v>
      </c>
      <c r="C1852" s="37" t="n">
        <v>15</v>
      </c>
      <c r="D1852" s="37" t="n">
        <v>5</v>
      </c>
      <c r="E1852" s="37" t="n">
        <v>0</v>
      </c>
      <c r="F1852" s="37" t="n">
        <v>0</v>
      </c>
      <c r="G1852" s="37" t="s">
        <v>195</v>
      </c>
      <c r="H1852" s="38" t="n">
        <v>199.633441360875</v>
      </c>
      <c r="I1852" s="38" t="n">
        <v>206.929978475524</v>
      </c>
      <c r="J1852" s="38" t="n">
        <v>240.359830524404</v>
      </c>
      <c r="K1852" s="38" t="n">
        <v>296.198646414735</v>
      </c>
      <c r="L1852" s="38" t="n">
        <v>99.0642196755944</v>
      </c>
      <c r="M1852" s="38" t="n">
        <v>117.572840751262</v>
      </c>
      <c r="N1852" s="38" t="n">
        <v>156.230210734867</v>
      </c>
      <c r="O1852" s="38" t="n">
        <v>81.2290021285014</v>
      </c>
      <c r="P1852" s="37" t="n">
        <v>0</v>
      </c>
      <c r="Q1852" s="38" t="n">
        <v>0</v>
      </c>
      <c r="R1852" s="38" t="n">
        <v>70.5346719782578</v>
      </c>
      <c r="S1852" s="37" t="n">
        <v>0</v>
      </c>
    </row>
    <row r="1853" customFormat="false" ht="15" hidden="false" customHeight="false" outlineLevel="0" collapsed="false">
      <c r="A1853" s="37" t="n">
        <v>10</v>
      </c>
      <c r="B1853" s="37" t="n">
        <v>0</v>
      </c>
      <c r="C1853" s="37" t="n">
        <v>15</v>
      </c>
      <c r="D1853" s="37" t="n">
        <v>5</v>
      </c>
      <c r="E1853" s="37" t="n">
        <v>0</v>
      </c>
      <c r="F1853" s="37" t="n">
        <v>0</v>
      </c>
      <c r="G1853" s="37" t="s">
        <v>197</v>
      </c>
      <c r="H1853" s="38" t="n">
        <v>199.633441360875</v>
      </c>
      <c r="I1853" s="38" t="n">
        <v>206.715785927543</v>
      </c>
      <c r="J1853" s="38" t="n">
        <v>238.8936273396</v>
      </c>
      <c r="K1853" s="38" t="n">
        <v>295.743917882629</v>
      </c>
      <c r="L1853" s="38" t="n">
        <v>93.5811849581462</v>
      </c>
      <c r="M1853" s="38" t="n">
        <v>112.242404692977</v>
      </c>
      <c r="N1853" s="38" t="n">
        <v>140.968695930452</v>
      </c>
      <c r="O1853" s="38" t="n">
        <v>77.2743743507331</v>
      </c>
      <c r="P1853" s="37" t="n">
        <v>0</v>
      </c>
      <c r="Q1853" s="38" t="n">
        <v>0</v>
      </c>
      <c r="R1853" s="38" t="n">
        <v>72</v>
      </c>
      <c r="S1853" s="37" t="n">
        <v>0</v>
      </c>
    </row>
    <row r="1854" customFormat="false" ht="15" hidden="false" customHeight="false" outlineLevel="0" collapsed="false">
      <c r="A1854" s="37" t="n">
        <v>10</v>
      </c>
      <c r="B1854" s="37" t="n">
        <v>0</v>
      </c>
      <c r="C1854" s="37" t="n">
        <v>15</v>
      </c>
      <c r="D1854" s="37" t="n">
        <v>5</v>
      </c>
      <c r="E1854" s="37" t="n">
        <v>0</v>
      </c>
      <c r="F1854" s="37" t="n">
        <v>0</v>
      </c>
      <c r="G1854" s="37" t="s">
        <v>196</v>
      </c>
      <c r="H1854" s="38" t="n">
        <v>199.633441360875</v>
      </c>
      <c r="I1854" s="38" t="n">
        <v>206.74110398218</v>
      </c>
      <c r="J1854" s="38" t="n">
        <v>239.802788551688</v>
      </c>
      <c r="K1854" s="38" t="n">
        <v>297.217456552233</v>
      </c>
      <c r="L1854" s="38" t="n">
        <v>101.031791980444</v>
      </c>
      <c r="M1854" s="38" t="n">
        <v>115.809961471782</v>
      </c>
      <c r="N1854" s="38" t="n">
        <v>151.907585213506</v>
      </c>
      <c r="O1854" s="38" t="n">
        <v>81.2657361568717</v>
      </c>
      <c r="P1854" s="37" t="n">
        <v>0</v>
      </c>
      <c r="Q1854" s="38" t="n">
        <v>0</v>
      </c>
      <c r="R1854" s="38" t="n">
        <v>71.0687738361039</v>
      </c>
      <c r="S1854" s="37" t="n">
        <v>0</v>
      </c>
    </row>
    <row r="1855" customFormat="false" ht="15" hidden="false" customHeight="false" outlineLevel="0" collapsed="false">
      <c r="A1855" s="37" t="n">
        <v>10</v>
      </c>
      <c r="B1855" s="37" t="n">
        <v>0</v>
      </c>
      <c r="C1855" s="37" t="n">
        <v>20</v>
      </c>
      <c r="D1855" s="37" t="n">
        <v>0</v>
      </c>
      <c r="E1855" s="37" t="n">
        <v>0</v>
      </c>
      <c r="F1855" s="37" t="n">
        <v>0</v>
      </c>
      <c r="G1855" s="37" t="s">
        <v>188</v>
      </c>
      <c r="H1855" s="38" t="n">
        <v>199.70844022128</v>
      </c>
      <c r="I1855" s="38" t="n">
        <v>207.024545543112</v>
      </c>
      <c r="J1855" s="38" t="n">
        <v>241.815633984284</v>
      </c>
      <c r="K1855" s="38" t="n">
        <v>308.163689688918</v>
      </c>
      <c r="L1855" s="38" t="n">
        <v>107.296901021643</v>
      </c>
      <c r="M1855" s="38" t="n">
        <v>120.884458664513</v>
      </c>
      <c r="N1855" s="38" t="n">
        <v>163.76831628461</v>
      </c>
      <c r="O1855" s="38" t="n">
        <v>81.6855627039805</v>
      </c>
      <c r="P1855" s="37" t="n">
        <v>0</v>
      </c>
      <c r="Q1855" s="38" t="n">
        <v>0</v>
      </c>
      <c r="R1855" s="38" t="n">
        <v>70.5</v>
      </c>
      <c r="S1855" s="37" t="n">
        <v>1</v>
      </c>
    </row>
    <row r="1856" customFormat="false" ht="15" hidden="false" customHeight="false" outlineLevel="0" collapsed="false">
      <c r="A1856" s="37" t="n">
        <v>10</v>
      </c>
      <c r="B1856" s="37" t="n">
        <v>0</v>
      </c>
      <c r="C1856" s="37" t="n">
        <v>20</v>
      </c>
      <c r="D1856" s="37" t="n">
        <v>0</v>
      </c>
      <c r="E1856" s="37" t="n">
        <v>0</v>
      </c>
      <c r="F1856" s="37" t="n">
        <v>0</v>
      </c>
      <c r="G1856" s="37" t="s">
        <v>192</v>
      </c>
      <c r="H1856" s="38" t="n">
        <v>199.70844022128</v>
      </c>
      <c r="I1856" s="38" t="n">
        <v>206.551219876827</v>
      </c>
      <c r="J1856" s="38" t="n">
        <v>234.698848311876</v>
      </c>
      <c r="K1856" s="38" t="n">
        <v>296.019922008014</v>
      </c>
      <c r="L1856" s="38" t="n">
        <v>95.3407129137541</v>
      </c>
      <c r="M1856" s="38" t="n">
        <v>113.258885851996</v>
      </c>
      <c r="N1856" s="38" t="n">
        <v>145.124795437841</v>
      </c>
      <c r="O1856" s="38" t="n">
        <v>73.4715082197394</v>
      </c>
      <c r="P1856" s="37" t="n">
        <v>0</v>
      </c>
      <c r="Q1856" s="38" t="n">
        <v>0</v>
      </c>
      <c r="R1856" s="38" t="n">
        <v>70.5</v>
      </c>
      <c r="S1856" s="37" t="n">
        <v>0</v>
      </c>
    </row>
    <row r="1857" customFormat="false" ht="15" hidden="false" customHeight="false" outlineLevel="0" collapsed="false">
      <c r="A1857" s="37" t="n">
        <v>10</v>
      </c>
      <c r="B1857" s="37" t="n">
        <v>0</v>
      </c>
      <c r="C1857" s="37" t="n">
        <v>20</v>
      </c>
      <c r="D1857" s="37" t="n">
        <v>0</v>
      </c>
      <c r="E1857" s="37" t="n">
        <v>0</v>
      </c>
      <c r="F1857" s="37" t="n">
        <v>0</v>
      </c>
      <c r="G1857" s="37" t="s">
        <v>195</v>
      </c>
      <c r="H1857" s="38" t="n">
        <v>199.70844022128</v>
      </c>
      <c r="I1857" s="38" t="n">
        <v>206.621702265683</v>
      </c>
      <c r="J1857" s="38" t="n">
        <v>230.90744462666</v>
      </c>
      <c r="K1857" s="38" t="n">
        <v>288.259879784319</v>
      </c>
      <c r="L1857" s="38" t="n">
        <v>89.7603195256883</v>
      </c>
      <c r="M1857" s="38" t="n">
        <v>116.389638451972</v>
      </c>
      <c r="N1857" s="38" t="n">
        <v>142.464254520275</v>
      </c>
      <c r="O1857" s="38" t="n">
        <v>73.0149897065596</v>
      </c>
      <c r="P1857" s="37" t="n">
        <v>0</v>
      </c>
      <c r="Q1857" s="38" t="n">
        <v>0</v>
      </c>
      <c r="R1857" s="38" t="n">
        <v>68.6251319224107</v>
      </c>
      <c r="S1857" s="37" t="n">
        <v>0</v>
      </c>
    </row>
    <row r="1858" customFormat="false" ht="15" hidden="false" customHeight="false" outlineLevel="0" collapsed="false">
      <c r="A1858" s="37" t="n">
        <v>10</v>
      </c>
      <c r="B1858" s="37" t="n">
        <v>0</v>
      </c>
      <c r="C1858" s="37" t="n">
        <v>20</v>
      </c>
      <c r="D1858" s="37" t="n">
        <v>0</v>
      </c>
      <c r="E1858" s="37" t="n">
        <v>0</v>
      </c>
      <c r="F1858" s="37" t="n">
        <v>0</v>
      </c>
      <c r="G1858" s="37" t="s">
        <v>197</v>
      </c>
      <c r="H1858" s="38" t="n">
        <v>199.70844022128</v>
      </c>
      <c r="I1858" s="38" t="n">
        <v>206.529383135572</v>
      </c>
      <c r="J1858" s="38" t="n">
        <v>233.176572717608</v>
      </c>
      <c r="K1858" s="38" t="n">
        <v>293.742953387525</v>
      </c>
      <c r="L1858" s="38" t="n">
        <v>91.3975807082661</v>
      </c>
      <c r="M1858" s="38" t="n">
        <v>111.643236976673</v>
      </c>
      <c r="N1858" s="38" t="n">
        <v>135.548793059933</v>
      </c>
      <c r="O1858" s="38" t="n">
        <v>72.3644466200113</v>
      </c>
      <c r="P1858" s="37" t="n">
        <v>0</v>
      </c>
      <c r="Q1858" s="38" t="n">
        <v>0</v>
      </c>
      <c r="R1858" s="38" t="n">
        <v>70.5</v>
      </c>
      <c r="S1858" s="37" t="n">
        <v>0</v>
      </c>
    </row>
    <row r="1859" customFormat="false" ht="15" hidden="false" customHeight="false" outlineLevel="0" collapsed="false">
      <c r="A1859" s="37" t="n">
        <v>10</v>
      </c>
      <c r="B1859" s="37" t="n">
        <v>0</v>
      </c>
      <c r="C1859" s="37" t="n">
        <v>20</v>
      </c>
      <c r="D1859" s="37" t="n">
        <v>0</v>
      </c>
      <c r="E1859" s="37" t="n">
        <v>0</v>
      </c>
      <c r="F1859" s="37" t="n">
        <v>0</v>
      </c>
      <c r="G1859" s="37" t="s">
        <v>196</v>
      </c>
      <c r="H1859" s="38" t="n">
        <v>199.70844022128</v>
      </c>
      <c r="I1859" s="38" t="n">
        <v>206.55622591363</v>
      </c>
      <c r="J1859" s="38" t="n">
        <v>233.999261175444</v>
      </c>
      <c r="K1859" s="38" t="n">
        <v>295.270237959318</v>
      </c>
      <c r="L1859" s="38" t="n">
        <v>98.9257067703584</v>
      </c>
      <c r="M1859" s="38" t="n">
        <v>115.079622419913</v>
      </c>
      <c r="N1859" s="38" t="n">
        <v>145.154348213145</v>
      </c>
      <c r="O1859" s="38" t="n">
        <v>76.6458503177982</v>
      </c>
      <c r="P1859" s="37" t="n">
        <v>0</v>
      </c>
      <c r="Q1859" s="38" t="n">
        <v>0</v>
      </c>
      <c r="R1859" s="38" t="n">
        <v>69.5306458479829</v>
      </c>
      <c r="S1859" s="37" t="n">
        <v>0</v>
      </c>
    </row>
    <row r="1860" customFormat="false" ht="15" hidden="false" customHeight="false" outlineLevel="0" collapsed="false">
      <c r="A1860" s="37" t="n">
        <v>10</v>
      </c>
      <c r="B1860" s="37" t="n">
        <v>5</v>
      </c>
      <c r="C1860" s="37" t="n">
        <v>0</v>
      </c>
      <c r="D1860" s="37" t="n">
        <v>0</v>
      </c>
      <c r="E1860" s="37" t="n">
        <v>0</v>
      </c>
      <c r="F1860" s="37" t="n">
        <v>15</v>
      </c>
      <c r="G1860" s="37" t="s">
        <v>188</v>
      </c>
      <c r="H1860" s="38" t="n">
        <v>198.861995916548</v>
      </c>
      <c r="I1860" s="38" t="n">
        <v>197.912926946856</v>
      </c>
      <c r="J1860" s="38" t="n">
        <v>197.145515008725</v>
      </c>
      <c r="K1860" s="38" t="n">
        <v>231.05330356292</v>
      </c>
      <c r="L1860" s="38" t="n">
        <v>146.218358063715</v>
      </c>
      <c r="M1860" s="38" t="n">
        <v>100.15460300785</v>
      </c>
      <c r="N1860" s="38" t="n">
        <v>102.677389853216</v>
      </c>
      <c r="O1860" s="38" t="n">
        <v>63.7781167988593</v>
      </c>
      <c r="P1860" s="37" t="n">
        <v>0</v>
      </c>
      <c r="Q1860" s="38" t="n">
        <v>0</v>
      </c>
      <c r="R1860" s="38" t="n">
        <v>70.5</v>
      </c>
      <c r="S1860" s="37" t="n">
        <v>1</v>
      </c>
    </row>
    <row r="1861" customFormat="false" ht="15" hidden="false" customHeight="false" outlineLevel="0" collapsed="false">
      <c r="A1861" s="37" t="n">
        <v>10</v>
      </c>
      <c r="B1861" s="37" t="n">
        <v>5</v>
      </c>
      <c r="C1861" s="37" t="n">
        <v>0</v>
      </c>
      <c r="D1861" s="37" t="n">
        <v>0</v>
      </c>
      <c r="E1861" s="37" t="n">
        <v>0</v>
      </c>
      <c r="F1861" s="37" t="n">
        <v>15</v>
      </c>
      <c r="G1861" s="37" t="s">
        <v>192</v>
      </c>
      <c r="H1861" s="38" t="n">
        <v>198.861995916548</v>
      </c>
      <c r="I1861" s="38" t="n">
        <v>197.769267652705</v>
      </c>
      <c r="J1861" s="38" t="n">
        <v>195.827131495231</v>
      </c>
      <c r="K1861" s="38" t="n">
        <v>228.495093295742</v>
      </c>
      <c r="L1861" s="38" t="n">
        <v>146.888090103968</v>
      </c>
      <c r="M1861" s="38" t="n">
        <v>95.3050207391557</v>
      </c>
      <c r="N1861" s="38" t="n">
        <v>96.1236434006509</v>
      </c>
      <c r="O1861" s="38" t="n">
        <v>62.920606107086</v>
      </c>
      <c r="P1861" s="37" t="n">
        <v>0</v>
      </c>
      <c r="Q1861" s="38" t="n">
        <v>0</v>
      </c>
      <c r="R1861" s="38" t="n">
        <v>70.5</v>
      </c>
      <c r="S1861" s="37" t="n">
        <v>0</v>
      </c>
    </row>
    <row r="1862" customFormat="false" ht="15" hidden="false" customHeight="false" outlineLevel="0" collapsed="false">
      <c r="A1862" s="37" t="n">
        <v>10</v>
      </c>
      <c r="B1862" s="37" t="n">
        <v>5</v>
      </c>
      <c r="C1862" s="37" t="n">
        <v>0</v>
      </c>
      <c r="D1862" s="37" t="n">
        <v>0</v>
      </c>
      <c r="E1862" s="37" t="n">
        <v>0</v>
      </c>
      <c r="F1862" s="37" t="n">
        <v>15</v>
      </c>
      <c r="G1862" s="37" t="s">
        <v>195</v>
      </c>
      <c r="H1862" s="38" t="n">
        <v>198.861995916548</v>
      </c>
      <c r="I1862" s="38" t="n">
        <v>197.766091116492</v>
      </c>
      <c r="J1862" s="38" t="n">
        <v>191.284413391908</v>
      </c>
      <c r="K1862" s="38" t="n">
        <v>218.885243367065</v>
      </c>
      <c r="L1862" s="38" t="n">
        <v>139.817118798002</v>
      </c>
      <c r="M1862" s="38" t="n">
        <v>96.1602157757635</v>
      </c>
      <c r="N1862" s="38" t="n">
        <v>85.6198466520826</v>
      </c>
      <c r="O1862" s="38" t="n">
        <v>56.7914070973234</v>
      </c>
      <c r="P1862" s="37" t="n">
        <v>0</v>
      </c>
      <c r="Q1862" s="38" t="n">
        <v>0</v>
      </c>
      <c r="R1862" s="38" t="n">
        <v>68.454562629281</v>
      </c>
      <c r="S1862" s="37" t="n">
        <v>0</v>
      </c>
    </row>
    <row r="1863" customFormat="false" ht="15" hidden="false" customHeight="false" outlineLevel="0" collapsed="false">
      <c r="A1863" s="37" t="n">
        <v>10</v>
      </c>
      <c r="B1863" s="37" t="n">
        <v>5</v>
      </c>
      <c r="C1863" s="37" t="n">
        <v>0</v>
      </c>
      <c r="D1863" s="37" t="n">
        <v>0</v>
      </c>
      <c r="E1863" s="37" t="n">
        <v>0</v>
      </c>
      <c r="F1863" s="37" t="n">
        <v>15</v>
      </c>
      <c r="G1863" s="37" t="s">
        <v>197</v>
      </c>
      <c r="H1863" s="38" t="n">
        <v>198.861995916548</v>
      </c>
      <c r="I1863" s="38" t="n">
        <v>197.767140244581</v>
      </c>
      <c r="J1863" s="38" t="n">
        <v>194.988338214408</v>
      </c>
      <c r="K1863" s="38" t="n">
        <v>227.427132734379</v>
      </c>
      <c r="L1863" s="38" t="n">
        <v>144.715193977602</v>
      </c>
      <c r="M1863" s="38" t="n">
        <v>97.9630675001839</v>
      </c>
      <c r="N1863" s="38" t="n">
        <v>92.5059324546526</v>
      </c>
      <c r="O1863" s="38" t="n">
        <v>59.4532292081765</v>
      </c>
      <c r="P1863" s="37" t="n">
        <v>0</v>
      </c>
      <c r="Q1863" s="38" t="n">
        <v>0</v>
      </c>
      <c r="R1863" s="38" t="n">
        <v>70.5</v>
      </c>
      <c r="S1863" s="37" t="n">
        <v>0</v>
      </c>
    </row>
    <row r="1864" customFormat="false" ht="15" hidden="false" customHeight="false" outlineLevel="0" collapsed="false">
      <c r="A1864" s="37" t="n">
        <v>10</v>
      </c>
      <c r="B1864" s="37" t="n">
        <v>5</v>
      </c>
      <c r="C1864" s="37" t="n">
        <v>0</v>
      </c>
      <c r="D1864" s="37" t="n">
        <v>0</v>
      </c>
      <c r="E1864" s="37" t="n">
        <v>0</v>
      </c>
      <c r="F1864" s="37" t="n">
        <v>15</v>
      </c>
      <c r="G1864" s="37" t="s">
        <v>196</v>
      </c>
      <c r="H1864" s="38" t="n">
        <v>198.861995916548</v>
      </c>
      <c r="I1864" s="38" t="n">
        <v>197.771340501637</v>
      </c>
      <c r="J1864" s="38" t="n">
        <v>196.025053672519</v>
      </c>
      <c r="K1864" s="38" t="n">
        <v>228.919946609509</v>
      </c>
      <c r="L1864" s="38" t="n">
        <v>152.881295815858</v>
      </c>
      <c r="M1864" s="38" t="n">
        <v>99.7810900952933</v>
      </c>
      <c r="N1864" s="38" t="n">
        <v>100.428422072758</v>
      </c>
      <c r="O1864" s="38" t="n">
        <v>63.9590195291426</v>
      </c>
      <c r="P1864" s="37" t="n">
        <v>0</v>
      </c>
      <c r="Q1864" s="38" t="n">
        <v>0</v>
      </c>
      <c r="R1864" s="38" t="n">
        <v>69.6040571428571</v>
      </c>
      <c r="S1864" s="37" t="n">
        <v>0</v>
      </c>
    </row>
    <row r="1865" customFormat="false" ht="15" hidden="false" customHeight="false" outlineLevel="0" collapsed="false">
      <c r="A1865" s="37" t="n">
        <v>10</v>
      </c>
      <c r="B1865" s="37" t="n">
        <v>5</v>
      </c>
      <c r="C1865" s="37" t="n">
        <v>0</v>
      </c>
      <c r="D1865" s="37" t="n">
        <v>0</v>
      </c>
      <c r="E1865" s="37" t="n">
        <v>5</v>
      </c>
      <c r="F1865" s="37" t="n">
        <v>10</v>
      </c>
      <c r="G1865" s="37" t="s">
        <v>188</v>
      </c>
      <c r="H1865" s="38" t="n">
        <v>198.880307723423</v>
      </c>
      <c r="I1865" s="38" t="n">
        <v>198.126070545752</v>
      </c>
      <c r="J1865" s="38" t="n">
        <v>200.326666407648</v>
      </c>
      <c r="K1865" s="38" t="n">
        <v>236.046731440632</v>
      </c>
      <c r="L1865" s="38" t="n">
        <v>111.452013097065</v>
      </c>
      <c r="M1865" s="38" t="n">
        <v>101.31793583121</v>
      </c>
      <c r="N1865" s="38" t="n">
        <v>110.665014504912</v>
      </c>
      <c r="O1865" s="38" t="n">
        <v>63.9483715573661</v>
      </c>
      <c r="P1865" s="37" t="n">
        <v>0</v>
      </c>
      <c r="Q1865" s="38" t="n">
        <v>0</v>
      </c>
      <c r="R1865" s="38" t="n">
        <v>70.5</v>
      </c>
      <c r="S1865" s="37" t="n">
        <v>1</v>
      </c>
    </row>
    <row r="1866" customFormat="false" ht="15" hidden="false" customHeight="false" outlineLevel="0" collapsed="false">
      <c r="A1866" s="37" t="n">
        <v>10</v>
      </c>
      <c r="B1866" s="37" t="n">
        <v>5</v>
      </c>
      <c r="C1866" s="37" t="n">
        <v>0</v>
      </c>
      <c r="D1866" s="37" t="n">
        <v>0</v>
      </c>
      <c r="E1866" s="37" t="n">
        <v>5</v>
      </c>
      <c r="F1866" s="37" t="n">
        <v>10</v>
      </c>
      <c r="G1866" s="37" t="s">
        <v>192</v>
      </c>
      <c r="H1866" s="38" t="n">
        <v>198.880307723423</v>
      </c>
      <c r="I1866" s="38" t="n">
        <v>197.986112461787</v>
      </c>
      <c r="J1866" s="38" t="n">
        <v>198.747868635098</v>
      </c>
      <c r="K1866" s="38" t="n">
        <v>233.353866097921</v>
      </c>
      <c r="L1866" s="38" t="n">
        <v>111.737233201614</v>
      </c>
      <c r="M1866" s="38" t="n">
        <v>96.5114203720007</v>
      </c>
      <c r="N1866" s="38" t="n">
        <v>103.354967734345</v>
      </c>
      <c r="O1866" s="38" t="n">
        <v>62.9904998993322</v>
      </c>
      <c r="P1866" s="37" t="n">
        <v>0</v>
      </c>
      <c r="Q1866" s="38" t="n">
        <v>0</v>
      </c>
      <c r="R1866" s="38" t="n">
        <v>70.5</v>
      </c>
      <c r="S1866" s="37" t="n">
        <v>0</v>
      </c>
    </row>
    <row r="1867" customFormat="false" ht="15" hidden="false" customHeight="false" outlineLevel="0" collapsed="false">
      <c r="A1867" s="37" t="n">
        <v>10</v>
      </c>
      <c r="B1867" s="37" t="n">
        <v>5</v>
      </c>
      <c r="C1867" s="37" t="n">
        <v>0</v>
      </c>
      <c r="D1867" s="37" t="n">
        <v>0</v>
      </c>
      <c r="E1867" s="37" t="n">
        <v>5</v>
      </c>
      <c r="F1867" s="37" t="n">
        <v>10</v>
      </c>
      <c r="G1867" s="37" t="s">
        <v>195</v>
      </c>
      <c r="H1867" s="38" t="n">
        <v>198.880307723423</v>
      </c>
      <c r="I1867" s="38" t="n">
        <v>197.983131929272</v>
      </c>
      <c r="J1867" s="38" t="n">
        <v>193.918143517475</v>
      </c>
      <c r="K1867" s="38" t="n">
        <v>223.429207304745</v>
      </c>
      <c r="L1867" s="38" t="n">
        <v>104.281399484728</v>
      </c>
      <c r="M1867" s="38" t="n">
        <v>97.4147803861093</v>
      </c>
      <c r="N1867" s="38" t="n">
        <v>92.6123471848901</v>
      </c>
      <c r="O1867" s="38" t="n">
        <v>57.0503770008036</v>
      </c>
      <c r="P1867" s="37" t="n">
        <v>0</v>
      </c>
      <c r="Q1867" s="38" t="n">
        <v>0</v>
      </c>
      <c r="R1867" s="38" t="n">
        <v>68.4306576539949</v>
      </c>
      <c r="S1867" s="37" t="n">
        <v>0</v>
      </c>
    </row>
    <row r="1868" customFormat="false" ht="15" hidden="false" customHeight="false" outlineLevel="0" collapsed="false">
      <c r="A1868" s="37" t="n">
        <v>10</v>
      </c>
      <c r="B1868" s="37" t="n">
        <v>5</v>
      </c>
      <c r="C1868" s="37" t="n">
        <v>0</v>
      </c>
      <c r="D1868" s="37" t="n">
        <v>0</v>
      </c>
      <c r="E1868" s="37" t="n">
        <v>5</v>
      </c>
      <c r="F1868" s="37" t="n">
        <v>10</v>
      </c>
      <c r="G1868" s="37" t="s">
        <v>197</v>
      </c>
      <c r="H1868" s="38" t="n">
        <v>198.880307723423</v>
      </c>
      <c r="I1868" s="38" t="n">
        <v>197.994388636888</v>
      </c>
      <c r="J1868" s="38" t="n">
        <v>198.51680734423</v>
      </c>
      <c r="K1868" s="38" t="n">
        <v>233.25343425888</v>
      </c>
      <c r="L1868" s="38" t="n">
        <v>111.08444365449</v>
      </c>
      <c r="M1868" s="38" t="n">
        <v>102.538190988866</v>
      </c>
      <c r="N1868" s="38" t="n">
        <v>109.221827062135</v>
      </c>
      <c r="O1868" s="38" t="n">
        <v>63.7377017765662</v>
      </c>
      <c r="P1868" s="37" t="n">
        <v>0</v>
      </c>
      <c r="Q1868" s="38" t="n">
        <v>0</v>
      </c>
      <c r="R1868" s="38" t="n">
        <v>70.5</v>
      </c>
      <c r="S1868" s="37" t="n">
        <v>0</v>
      </c>
    </row>
    <row r="1869" customFormat="false" ht="15" hidden="false" customHeight="false" outlineLevel="0" collapsed="false">
      <c r="A1869" s="37" t="n">
        <v>10</v>
      </c>
      <c r="B1869" s="37" t="n">
        <v>5</v>
      </c>
      <c r="C1869" s="37" t="n">
        <v>0</v>
      </c>
      <c r="D1869" s="37" t="n">
        <v>0</v>
      </c>
      <c r="E1869" s="37" t="n">
        <v>5</v>
      </c>
      <c r="F1869" s="37" t="n">
        <v>10</v>
      </c>
      <c r="G1869" s="37" t="s">
        <v>196</v>
      </c>
      <c r="H1869" s="38" t="n">
        <v>198.880307723423</v>
      </c>
      <c r="I1869" s="38" t="n">
        <v>197.992699318565</v>
      </c>
      <c r="J1869" s="38" t="n">
        <v>198.680326588067</v>
      </c>
      <c r="K1869" s="38" t="n">
        <v>233.527024568612</v>
      </c>
      <c r="L1869" s="38" t="n">
        <v>117.117534099236</v>
      </c>
      <c r="M1869" s="38" t="n">
        <v>101.658162306232</v>
      </c>
      <c r="N1869" s="38" t="n">
        <v>108.948329513479</v>
      </c>
      <c r="O1869" s="38" t="n">
        <v>65.4663118095158</v>
      </c>
      <c r="P1869" s="37" t="n">
        <v>0</v>
      </c>
      <c r="Q1869" s="38" t="n">
        <v>0</v>
      </c>
      <c r="R1869" s="38" t="n">
        <v>69.515055620683</v>
      </c>
      <c r="S1869" s="37" t="n">
        <v>0</v>
      </c>
    </row>
    <row r="1870" customFormat="false" ht="15" hidden="false" customHeight="false" outlineLevel="0" collapsed="false">
      <c r="A1870" s="37" t="n">
        <v>10</v>
      </c>
      <c r="B1870" s="37" t="n">
        <v>5</v>
      </c>
      <c r="C1870" s="37" t="n">
        <v>0</v>
      </c>
      <c r="D1870" s="37" t="n">
        <v>0</v>
      </c>
      <c r="E1870" s="37" t="n">
        <v>10</v>
      </c>
      <c r="F1870" s="37" t="n">
        <v>5</v>
      </c>
      <c r="G1870" s="37" t="s">
        <v>188</v>
      </c>
      <c r="H1870" s="38" t="n">
        <v>198.899496484014</v>
      </c>
      <c r="I1870" s="38" t="n">
        <v>198.369264837345</v>
      </c>
      <c r="J1870" s="38" t="n">
        <v>202.832283052379</v>
      </c>
      <c r="K1870" s="38" t="n">
        <v>240.305339004954</v>
      </c>
      <c r="L1870" s="38" t="n">
        <v>75.9303979765612</v>
      </c>
      <c r="M1870" s="38" t="n">
        <v>102.437345838886</v>
      </c>
      <c r="N1870" s="38" t="n">
        <v>116.812226427429</v>
      </c>
      <c r="O1870" s="38" t="n">
        <v>63.8082176675646</v>
      </c>
      <c r="P1870" s="37" t="n">
        <v>0</v>
      </c>
      <c r="Q1870" s="38" t="n">
        <v>0</v>
      </c>
      <c r="R1870" s="38" t="n">
        <v>70.5</v>
      </c>
      <c r="S1870" s="37" t="n">
        <v>0</v>
      </c>
    </row>
    <row r="1871" customFormat="false" ht="15" hidden="false" customHeight="false" outlineLevel="0" collapsed="false">
      <c r="A1871" s="37" t="n">
        <v>10</v>
      </c>
      <c r="B1871" s="37" t="n">
        <v>5</v>
      </c>
      <c r="C1871" s="37" t="n">
        <v>0</v>
      </c>
      <c r="D1871" s="37" t="n">
        <v>0</v>
      </c>
      <c r="E1871" s="37" t="n">
        <v>10</v>
      </c>
      <c r="F1871" s="37" t="n">
        <v>5</v>
      </c>
      <c r="G1871" s="37" t="s">
        <v>192</v>
      </c>
      <c r="H1871" s="38" t="n">
        <v>198.899496484014</v>
      </c>
      <c r="I1871" s="38" t="n">
        <v>198.23409433145</v>
      </c>
      <c r="J1871" s="38" t="n">
        <v>200.970798347429</v>
      </c>
      <c r="K1871" s="38" t="n">
        <v>237.41594336764</v>
      </c>
      <c r="L1871" s="38" t="n">
        <v>75.7914841717696</v>
      </c>
      <c r="M1871" s="38" t="n">
        <v>97.6750464466874</v>
      </c>
      <c r="N1871" s="38" t="n">
        <v>108.796915445118</v>
      </c>
      <c r="O1871" s="38" t="n">
        <v>62.7673753044558</v>
      </c>
      <c r="P1871" s="37" t="n">
        <v>0</v>
      </c>
      <c r="Q1871" s="38" t="n">
        <v>0</v>
      </c>
      <c r="R1871" s="38" t="n">
        <v>70.5</v>
      </c>
      <c r="S1871" s="37" t="n">
        <v>0</v>
      </c>
    </row>
    <row r="1872" customFormat="false" ht="15" hidden="false" customHeight="false" outlineLevel="0" collapsed="false">
      <c r="A1872" s="37" t="n">
        <v>10</v>
      </c>
      <c r="B1872" s="37" t="n">
        <v>5</v>
      </c>
      <c r="C1872" s="37" t="n">
        <v>0</v>
      </c>
      <c r="D1872" s="37" t="n">
        <v>0</v>
      </c>
      <c r="E1872" s="37" t="n">
        <v>10</v>
      </c>
      <c r="F1872" s="37" t="n">
        <v>5</v>
      </c>
      <c r="G1872" s="37" t="s">
        <v>195</v>
      </c>
      <c r="H1872" s="38" t="n">
        <v>198.899496484014</v>
      </c>
      <c r="I1872" s="38" t="n">
        <v>198.232225122949</v>
      </c>
      <c r="J1872" s="38" t="n">
        <v>196.111874619462</v>
      </c>
      <c r="K1872" s="38" t="n">
        <v>227.438465398859</v>
      </c>
      <c r="L1872" s="38" t="n">
        <v>68.2382571615271</v>
      </c>
      <c r="M1872" s="38" t="n">
        <v>98.6182187867297</v>
      </c>
      <c r="N1872" s="38" t="n">
        <v>98.3064558747119</v>
      </c>
      <c r="O1872" s="38" t="n">
        <v>57.0620347174921</v>
      </c>
      <c r="P1872" s="37" t="n">
        <v>0</v>
      </c>
      <c r="Q1872" s="38" t="n">
        <v>0</v>
      </c>
      <c r="R1872" s="38" t="n">
        <v>68.4149375288004</v>
      </c>
      <c r="S1872" s="37" t="n">
        <v>0</v>
      </c>
    </row>
    <row r="1873" customFormat="false" ht="15" hidden="false" customHeight="false" outlineLevel="0" collapsed="false">
      <c r="A1873" s="37" t="n">
        <v>10</v>
      </c>
      <c r="B1873" s="37" t="n">
        <v>5</v>
      </c>
      <c r="C1873" s="37" t="n">
        <v>0</v>
      </c>
      <c r="D1873" s="37" t="n">
        <v>0</v>
      </c>
      <c r="E1873" s="37" t="n">
        <v>10</v>
      </c>
      <c r="F1873" s="37" t="n">
        <v>5</v>
      </c>
      <c r="G1873" s="37" t="s">
        <v>197</v>
      </c>
      <c r="H1873" s="38" t="n">
        <v>198.899496484014</v>
      </c>
      <c r="I1873" s="38" t="n">
        <v>198.262302592211</v>
      </c>
      <c r="J1873" s="38" t="n">
        <v>201.702672003509</v>
      </c>
      <c r="K1873" s="38" t="n">
        <v>238.741842271229</v>
      </c>
      <c r="L1873" s="38" t="n">
        <v>77.2628458823971</v>
      </c>
      <c r="M1873" s="38" t="n">
        <v>106.35173289017</v>
      </c>
      <c r="N1873" s="38" t="n">
        <v>123.15019677825</v>
      </c>
      <c r="O1873" s="38" t="n">
        <v>65.3643796539197</v>
      </c>
      <c r="P1873" s="37" t="n">
        <v>0</v>
      </c>
      <c r="Q1873" s="38" t="n">
        <v>0</v>
      </c>
      <c r="R1873" s="38" t="n">
        <v>70.5</v>
      </c>
      <c r="S1873" s="37" t="n">
        <v>1</v>
      </c>
    </row>
    <row r="1874" customFormat="false" ht="15" hidden="false" customHeight="false" outlineLevel="0" collapsed="false">
      <c r="A1874" s="37" t="n">
        <v>10</v>
      </c>
      <c r="B1874" s="37" t="n">
        <v>5</v>
      </c>
      <c r="C1874" s="37" t="n">
        <v>0</v>
      </c>
      <c r="D1874" s="37" t="n">
        <v>0</v>
      </c>
      <c r="E1874" s="37" t="n">
        <v>10</v>
      </c>
      <c r="F1874" s="37" t="n">
        <v>5</v>
      </c>
      <c r="G1874" s="37" t="s">
        <v>196</v>
      </c>
      <c r="H1874" s="38" t="n">
        <v>198.899496484014</v>
      </c>
      <c r="I1874" s="38" t="n">
        <v>198.242681848795</v>
      </c>
      <c r="J1874" s="38" t="n">
        <v>200.946524779358</v>
      </c>
      <c r="K1874" s="38" t="n">
        <v>237.682167314014</v>
      </c>
      <c r="L1874" s="38" t="n">
        <v>81.2097831174774</v>
      </c>
      <c r="M1874" s="38" t="n">
        <v>103.331510476852</v>
      </c>
      <c r="N1874" s="38" t="n">
        <v>115.829157913262</v>
      </c>
      <c r="O1874" s="38" t="n">
        <v>65.8254851119572</v>
      </c>
      <c r="P1874" s="37" t="n">
        <v>0</v>
      </c>
      <c r="Q1874" s="38" t="n">
        <v>0</v>
      </c>
      <c r="R1874" s="38" t="n">
        <v>69.4999611261645</v>
      </c>
      <c r="S1874" s="37" t="n">
        <v>0</v>
      </c>
    </row>
    <row r="1875" customFormat="false" ht="15" hidden="false" customHeight="false" outlineLevel="0" collapsed="false">
      <c r="A1875" s="37" t="n">
        <v>10</v>
      </c>
      <c r="B1875" s="37" t="n">
        <v>5</v>
      </c>
      <c r="C1875" s="37" t="n">
        <v>0</v>
      </c>
      <c r="D1875" s="37" t="n">
        <v>0</v>
      </c>
      <c r="E1875" s="37" t="n">
        <v>15</v>
      </c>
      <c r="F1875" s="37" t="n">
        <v>0</v>
      </c>
      <c r="G1875" s="37" t="s">
        <v>188</v>
      </c>
      <c r="H1875" s="38" t="n">
        <v>198.91664694301</v>
      </c>
      <c r="I1875" s="38" t="n">
        <v>198.541125267124</v>
      </c>
      <c r="J1875" s="38" t="n">
        <v>204.23435721949</v>
      </c>
      <c r="K1875" s="38" t="n">
        <v>242.900277366379</v>
      </c>
      <c r="L1875" s="38" t="n">
        <v>38.7192062199491</v>
      </c>
      <c r="M1875" s="38" t="n">
        <v>103.269335379129</v>
      </c>
      <c r="N1875" s="38" t="n">
        <v>119.328621882419</v>
      </c>
      <c r="O1875" s="38" t="n">
        <v>63.2729255099647</v>
      </c>
      <c r="P1875" s="37" t="n">
        <v>0</v>
      </c>
      <c r="Q1875" s="38" t="n">
        <v>0</v>
      </c>
      <c r="R1875" s="38" t="n">
        <v>70.5</v>
      </c>
      <c r="S1875" s="37" t="n">
        <v>0</v>
      </c>
    </row>
    <row r="1876" customFormat="false" ht="15" hidden="false" customHeight="false" outlineLevel="0" collapsed="false">
      <c r="A1876" s="37" t="n">
        <v>10</v>
      </c>
      <c r="B1876" s="37" t="n">
        <v>5</v>
      </c>
      <c r="C1876" s="37" t="n">
        <v>0</v>
      </c>
      <c r="D1876" s="37" t="n">
        <v>0</v>
      </c>
      <c r="E1876" s="37" t="n">
        <v>15</v>
      </c>
      <c r="F1876" s="37" t="n">
        <v>0</v>
      </c>
      <c r="G1876" s="37" t="s">
        <v>192</v>
      </c>
      <c r="H1876" s="38" t="n">
        <v>198.91664694301</v>
      </c>
      <c r="I1876" s="38" t="n">
        <v>198.410162171889</v>
      </c>
      <c r="J1876" s="38" t="n">
        <v>202.445966856559</v>
      </c>
      <c r="K1876" s="38" t="n">
        <v>240.140959367746</v>
      </c>
      <c r="L1876" s="38" t="n">
        <v>38.5090151321463</v>
      </c>
      <c r="M1876" s="38" t="n">
        <v>98.5468721097634</v>
      </c>
      <c r="N1876" s="38" t="n">
        <v>111.19860577398</v>
      </c>
      <c r="O1876" s="38" t="n">
        <v>62.222892883665</v>
      </c>
      <c r="P1876" s="37" t="n">
        <v>0</v>
      </c>
      <c r="Q1876" s="38" t="n">
        <v>0</v>
      </c>
      <c r="R1876" s="38" t="n">
        <v>70.5</v>
      </c>
      <c r="S1876" s="37" t="n">
        <v>0</v>
      </c>
    </row>
    <row r="1877" customFormat="false" ht="15" hidden="false" customHeight="false" outlineLevel="0" collapsed="false">
      <c r="A1877" s="37" t="n">
        <v>10</v>
      </c>
      <c r="B1877" s="37" t="n">
        <v>5</v>
      </c>
      <c r="C1877" s="37" t="n">
        <v>0</v>
      </c>
      <c r="D1877" s="37" t="n">
        <v>0</v>
      </c>
      <c r="E1877" s="37" t="n">
        <v>15</v>
      </c>
      <c r="F1877" s="37" t="n">
        <v>0</v>
      </c>
      <c r="G1877" s="37" t="s">
        <v>195</v>
      </c>
      <c r="H1877" s="38" t="n">
        <v>198.91664694301</v>
      </c>
      <c r="I1877" s="38" t="n">
        <v>198.408198622223</v>
      </c>
      <c r="J1877" s="38" t="n">
        <v>197.599312894211</v>
      </c>
      <c r="K1877" s="38" t="n">
        <v>230.159171852868</v>
      </c>
      <c r="L1877" s="38" t="n">
        <v>30.9133223355414</v>
      </c>
      <c r="M1877" s="38" t="n">
        <v>99.5256836006375</v>
      </c>
      <c r="N1877" s="38" t="n">
        <v>94.3665594819474</v>
      </c>
      <c r="O1877" s="38" t="n">
        <v>56.7230914622343</v>
      </c>
      <c r="P1877" s="37" t="n">
        <v>0</v>
      </c>
      <c r="Q1877" s="38" t="n">
        <v>0</v>
      </c>
      <c r="R1877" s="38" t="n">
        <v>68.401245144802</v>
      </c>
      <c r="S1877" s="37" t="n">
        <v>0</v>
      </c>
    </row>
    <row r="1878" customFormat="false" ht="15" hidden="false" customHeight="false" outlineLevel="0" collapsed="false">
      <c r="A1878" s="37" t="n">
        <v>10</v>
      </c>
      <c r="B1878" s="37" t="n">
        <v>5</v>
      </c>
      <c r="C1878" s="37" t="n">
        <v>0</v>
      </c>
      <c r="D1878" s="37" t="n">
        <v>0</v>
      </c>
      <c r="E1878" s="37" t="n">
        <v>15</v>
      </c>
      <c r="F1878" s="37" t="n">
        <v>0</v>
      </c>
      <c r="G1878" s="37" t="s">
        <v>197</v>
      </c>
      <c r="H1878" s="38" t="n">
        <v>198.91664694301</v>
      </c>
      <c r="I1878" s="38" t="n">
        <v>198.455508675394</v>
      </c>
      <c r="J1878" s="38" t="n">
        <v>203.914498834198</v>
      </c>
      <c r="K1878" s="38" t="n">
        <v>242.532565620836</v>
      </c>
      <c r="L1878" s="38" t="n">
        <v>41.506402198929</v>
      </c>
      <c r="M1878" s="38" t="n">
        <v>108.825255218328</v>
      </c>
      <c r="N1878" s="38" t="n">
        <v>129.369278102969</v>
      </c>
      <c r="O1878" s="38" t="n">
        <v>65.4224165988664</v>
      </c>
      <c r="P1878" s="37" t="n">
        <v>0</v>
      </c>
      <c r="Q1878" s="38" t="n">
        <v>0</v>
      </c>
      <c r="R1878" s="38" t="n">
        <v>70.5</v>
      </c>
      <c r="S1878" s="37" t="n">
        <v>1</v>
      </c>
    </row>
    <row r="1879" customFormat="false" ht="15" hidden="false" customHeight="false" outlineLevel="0" collapsed="false">
      <c r="A1879" s="37" t="n">
        <v>10</v>
      </c>
      <c r="B1879" s="37" t="n">
        <v>5</v>
      </c>
      <c r="C1879" s="37" t="n">
        <v>0</v>
      </c>
      <c r="D1879" s="37" t="n">
        <v>0</v>
      </c>
      <c r="E1879" s="37" t="n">
        <v>15</v>
      </c>
      <c r="F1879" s="37" t="n">
        <v>0</v>
      </c>
      <c r="G1879" s="37" t="s">
        <v>196</v>
      </c>
      <c r="H1879" s="38" t="n">
        <v>198.91664694301</v>
      </c>
      <c r="I1879" s="38" t="n">
        <v>198.420660845528</v>
      </c>
      <c r="J1879" s="38" t="n">
        <v>202.473994139752</v>
      </c>
      <c r="K1879" s="38" t="n">
        <v>240.515371801902</v>
      </c>
      <c r="L1879" s="38" t="n">
        <v>43.9795504990926</v>
      </c>
      <c r="M1879" s="38" t="n">
        <v>104.504821449235</v>
      </c>
      <c r="N1879" s="38" t="n">
        <v>119.848300341347</v>
      </c>
      <c r="O1879" s="38" t="n">
        <v>65.3239601041696</v>
      </c>
      <c r="P1879" s="37" t="n">
        <v>0</v>
      </c>
      <c r="Q1879" s="38" t="n">
        <v>0</v>
      </c>
      <c r="R1879" s="38" t="n">
        <v>69.4847362206591</v>
      </c>
      <c r="S1879" s="37" t="n">
        <v>0</v>
      </c>
    </row>
    <row r="1880" customFormat="false" ht="15" hidden="false" customHeight="false" outlineLevel="0" collapsed="false">
      <c r="A1880" s="37" t="n">
        <v>10</v>
      </c>
      <c r="B1880" s="37" t="n">
        <v>5</v>
      </c>
      <c r="C1880" s="37" t="n">
        <v>0</v>
      </c>
      <c r="D1880" s="37" t="n">
        <v>5</v>
      </c>
      <c r="E1880" s="37" t="n">
        <v>0</v>
      </c>
      <c r="F1880" s="37" t="n">
        <v>10</v>
      </c>
      <c r="G1880" s="37" t="s">
        <v>188</v>
      </c>
      <c r="H1880" s="38" t="n">
        <v>199.022333001384</v>
      </c>
      <c r="I1880" s="38" t="n">
        <v>198.913057219867</v>
      </c>
      <c r="J1880" s="38" t="n">
        <v>202.331720903019</v>
      </c>
      <c r="K1880" s="38" t="n">
        <v>228.509556267991</v>
      </c>
      <c r="L1880" s="38" t="n">
        <v>104.322683640348</v>
      </c>
      <c r="M1880" s="38" t="n">
        <v>101.113806638977</v>
      </c>
      <c r="N1880" s="38" t="n">
        <v>106.681057597538</v>
      </c>
      <c r="O1880" s="38" t="n">
        <v>67.2154002202868</v>
      </c>
      <c r="P1880" s="37" t="n">
        <v>0</v>
      </c>
      <c r="Q1880" s="38" t="n">
        <v>0</v>
      </c>
      <c r="R1880" s="38" t="n">
        <v>72</v>
      </c>
      <c r="S1880" s="37" t="n">
        <v>1</v>
      </c>
    </row>
    <row r="1881" customFormat="false" ht="15" hidden="false" customHeight="false" outlineLevel="0" collapsed="false">
      <c r="A1881" s="37" t="n">
        <v>10</v>
      </c>
      <c r="B1881" s="37" t="n">
        <v>5</v>
      </c>
      <c r="C1881" s="37" t="n">
        <v>0</v>
      </c>
      <c r="D1881" s="37" t="n">
        <v>5</v>
      </c>
      <c r="E1881" s="37" t="n">
        <v>0</v>
      </c>
      <c r="F1881" s="37" t="n">
        <v>10</v>
      </c>
      <c r="G1881" s="37" t="s">
        <v>192</v>
      </c>
      <c r="H1881" s="38" t="n">
        <v>199.022333001384</v>
      </c>
      <c r="I1881" s="38" t="n">
        <v>198.756680611762</v>
      </c>
      <c r="J1881" s="38" t="n">
        <v>200.533181337841</v>
      </c>
      <c r="K1881" s="38" t="n">
        <v>225.4001191466</v>
      </c>
      <c r="L1881" s="38" t="n">
        <v>104.084116053943</v>
      </c>
      <c r="M1881" s="38" t="n">
        <v>96.2505664763428</v>
      </c>
      <c r="N1881" s="38" t="n">
        <v>99.45010624886</v>
      </c>
      <c r="O1881" s="38" t="n">
        <v>65.7505846997367</v>
      </c>
      <c r="P1881" s="37" t="n">
        <v>0</v>
      </c>
      <c r="Q1881" s="38" t="n">
        <v>0</v>
      </c>
      <c r="R1881" s="38" t="n">
        <v>72</v>
      </c>
      <c r="S1881" s="37" t="n">
        <v>0</v>
      </c>
    </row>
    <row r="1882" customFormat="false" ht="15" hidden="false" customHeight="false" outlineLevel="0" collapsed="false">
      <c r="A1882" s="37" t="n">
        <v>10</v>
      </c>
      <c r="B1882" s="37" t="n">
        <v>5</v>
      </c>
      <c r="C1882" s="37" t="n">
        <v>0</v>
      </c>
      <c r="D1882" s="37" t="n">
        <v>5</v>
      </c>
      <c r="E1882" s="37" t="n">
        <v>0</v>
      </c>
      <c r="F1882" s="37" t="n">
        <v>10</v>
      </c>
      <c r="G1882" s="37" t="s">
        <v>195</v>
      </c>
      <c r="H1882" s="38" t="n">
        <v>199.022333001384</v>
      </c>
      <c r="I1882" s="38" t="n">
        <v>198.784905818719</v>
      </c>
      <c r="J1882" s="38" t="n">
        <v>198.15440993153</v>
      </c>
      <c r="K1882" s="38" t="n">
        <v>219.463297507249</v>
      </c>
      <c r="L1882" s="38" t="n">
        <v>101.723583668282</v>
      </c>
      <c r="M1882" s="38" t="n">
        <v>98.784547860858</v>
      </c>
      <c r="N1882" s="38" t="n">
        <v>96.4449543890812</v>
      </c>
      <c r="O1882" s="38" t="n">
        <v>63.021753891389</v>
      </c>
      <c r="P1882" s="37" t="n">
        <v>0</v>
      </c>
      <c r="Q1882" s="38" t="n">
        <v>0</v>
      </c>
      <c r="R1882" s="38" t="n">
        <v>70.3530858483099</v>
      </c>
      <c r="S1882" s="37" t="n">
        <v>0</v>
      </c>
    </row>
    <row r="1883" customFormat="false" ht="15" hidden="false" customHeight="false" outlineLevel="0" collapsed="false">
      <c r="A1883" s="37" t="n">
        <v>10</v>
      </c>
      <c r="B1883" s="37" t="n">
        <v>5</v>
      </c>
      <c r="C1883" s="37" t="n">
        <v>0</v>
      </c>
      <c r="D1883" s="37" t="n">
        <v>5</v>
      </c>
      <c r="E1883" s="37" t="n">
        <v>0</v>
      </c>
      <c r="F1883" s="37" t="n">
        <v>10</v>
      </c>
      <c r="G1883" s="37" t="s">
        <v>197</v>
      </c>
      <c r="H1883" s="38" t="n">
        <v>199.022333001384</v>
      </c>
      <c r="I1883" s="38" t="n">
        <v>198.754225668738</v>
      </c>
      <c r="J1883" s="38" t="n">
        <v>199.760867080421</v>
      </c>
      <c r="K1883" s="38" t="n">
        <v>224.40845979108</v>
      </c>
      <c r="L1883" s="38" t="n">
        <v>101.951175755843</v>
      </c>
      <c r="M1883" s="38" t="n">
        <v>98.9383399040451</v>
      </c>
      <c r="N1883" s="38" t="n">
        <v>96.1215060690211</v>
      </c>
      <c r="O1883" s="38" t="n">
        <v>62.6803752872711</v>
      </c>
      <c r="P1883" s="37" t="n">
        <v>0</v>
      </c>
      <c r="Q1883" s="38" t="n">
        <v>0</v>
      </c>
      <c r="R1883" s="38" t="n">
        <v>72</v>
      </c>
      <c r="S1883" s="37" t="n">
        <v>0</v>
      </c>
    </row>
    <row r="1884" customFormat="false" ht="15" hidden="false" customHeight="false" outlineLevel="0" collapsed="false">
      <c r="A1884" s="37" t="n">
        <v>10</v>
      </c>
      <c r="B1884" s="37" t="n">
        <v>5</v>
      </c>
      <c r="C1884" s="37" t="n">
        <v>0</v>
      </c>
      <c r="D1884" s="37" t="n">
        <v>5</v>
      </c>
      <c r="E1884" s="37" t="n">
        <v>0</v>
      </c>
      <c r="F1884" s="37" t="n">
        <v>10</v>
      </c>
      <c r="G1884" s="37" t="s">
        <v>196</v>
      </c>
      <c r="H1884" s="38" t="n">
        <v>199.022333001384</v>
      </c>
      <c r="I1884" s="38" t="n">
        <v>198.760238131705</v>
      </c>
      <c r="J1884" s="38" t="n">
        <v>200.84697214004</v>
      </c>
      <c r="K1884" s="38" t="n">
        <v>225.943026834275</v>
      </c>
      <c r="L1884" s="38" t="n">
        <v>109.901458451977</v>
      </c>
      <c r="M1884" s="38" t="n">
        <v>101.361159587009</v>
      </c>
      <c r="N1884" s="38" t="n">
        <v>105.413479562959</v>
      </c>
      <c r="O1884" s="38" t="n">
        <v>66.8843476546662</v>
      </c>
      <c r="P1884" s="37" t="n">
        <v>0</v>
      </c>
      <c r="Q1884" s="38" t="n">
        <v>0</v>
      </c>
      <c r="R1884" s="38" t="n">
        <v>71.103356921582</v>
      </c>
      <c r="S1884" s="37" t="n">
        <v>0</v>
      </c>
    </row>
    <row r="1885" customFormat="false" ht="15" hidden="false" customHeight="false" outlineLevel="0" collapsed="false">
      <c r="A1885" s="37" t="n">
        <v>10</v>
      </c>
      <c r="B1885" s="37" t="n">
        <v>5</v>
      </c>
      <c r="C1885" s="37" t="n">
        <v>0</v>
      </c>
      <c r="D1885" s="37" t="n">
        <v>5</v>
      </c>
      <c r="E1885" s="37" t="n">
        <v>5</v>
      </c>
      <c r="F1885" s="37" t="n">
        <v>5</v>
      </c>
      <c r="G1885" s="37" t="s">
        <v>188</v>
      </c>
      <c r="H1885" s="38" t="n">
        <v>199.029818156411</v>
      </c>
      <c r="I1885" s="38" t="n">
        <v>199.117489458984</v>
      </c>
      <c r="J1885" s="38" t="n">
        <v>205.932431927933</v>
      </c>
      <c r="K1885" s="38" t="n">
        <v>233.930846039686</v>
      </c>
      <c r="L1885" s="38" t="n">
        <v>69.9841172491962</v>
      </c>
      <c r="M1885" s="38" t="n">
        <v>102.228922079597</v>
      </c>
      <c r="N1885" s="38" t="n">
        <v>115.064994225061</v>
      </c>
      <c r="O1885" s="38" t="n">
        <v>67.359668034151</v>
      </c>
      <c r="P1885" s="37" t="n">
        <v>0</v>
      </c>
      <c r="Q1885" s="38" t="n">
        <v>0</v>
      </c>
      <c r="R1885" s="38" t="n">
        <v>72</v>
      </c>
      <c r="S1885" s="37" t="n">
        <v>1</v>
      </c>
    </row>
    <row r="1886" customFormat="false" ht="15" hidden="false" customHeight="false" outlineLevel="0" collapsed="false">
      <c r="A1886" s="37" t="n">
        <v>10</v>
      </c>
      <c r="B1886" s="37" t="n">
        <v>5</v>
      </c>
      <c r="C1886" s="37" t="n">
        <v>0</v>
      </c>
      <c r="D1886" s="37" t="n">
        <v>5</v>
      </c>
      <c r="E1886" s="37" t="n">
        <v>5</v>
      </c>
      <c r="F1886" s="37" t="n">
        <v>5</v>
      </c>
      <c r="G1886" s="37" t="s">
        <v>192</v>
      </c>
      <c r="H1886" s="38" t="n">
        <v>199.029818156411</v>
      </c>
      <c r="I1886" s="38" t="n">
        <v>198.96346946804</v>
      </c>
      <c r="J1886" s="38" t="n">
        <v>203.804857183516</v>
      </c>
      <c r="K1886" s="38" t="n">
        <v>230.647909814491</v>
      </c>
      <c r="L1886" s="38" t="n">
        <v>69.3099166141481</v>
      </c>
      <c r="M1886" s="38" t="n">
        <v>97.4176258013351</v>
      </c>
      <c r="N1886" s="38" t="n">
        <v>107.058966110306</v>
      </c>
      <c r="O1886" s="38" t="n">
        <v>65.7691790790898</v>
      </c>
      <c r="P1886" s="37" t="n">
        <v>0</v>
      </c>
      <c r="Q1886" s="38" t="n">
        <v>0</v>
      </c>
      <c r="R1886" s="38" t="n">
        <v>72</v>
      </c>
      <c r="S1886" s="37" t="n">
        <v>0</v>
      </c>
    </row>
    <row r="1887" customFormat="false" ht="15" hidden="false" customHeight="false" outlineLevel="0" collapsed="false">
      <c r="A1887" s="37" t="n">
        <v>10</v>
      </c>
      <c r="B1887" s="37" t="n">
        <v>5</v>
      </c>
      <c r="C1887" s="37" t="n">
        <v>0</v>
      </c>
      <c r="D1887" s="37" t="n">
        <v>5</v>
      </c>
      <c r="E1887" s="37" t="n">
        <v>5</v>
      </c>
      <c r="F1887" s="37" t="n">
        <v>5</v>
      </c>
      <c r="G1887" s="37" t="s">
        <v>195</v>
      </c>
      <c r="H1887" s="38" t="n">
        <v>199.029818156411</v>
      </c>
      <c r="I1887" s="38" t="n">
        <v>198.997198499432</v>
      </c>
      <c r="J1887" s="38" t="n">
        <v>201.373368113907</v>
      </c>
      <c r="K1887" s="38" t="n">
        <v>224.634872721467</v>
      </c>
      <c r="L1887" s="38" t="n">
        <v>66.791112316198</v>
      </c>
      <c r="M1887" s="38" t="n">
        <v>99.9786712196792</v>
      </c>
      <c r="N1887" s="38" t="n">
        <v>104.166003869387</v>
      </c>
      <c r="O1887" s="38" t="n">
        <v>63.2445727629143</v>
      </c>
      <c r="P1887" s="37" t="n">
        <v>0</v>
      </c>
      <c r="Q1887" s="38" t="n">
        <v>0</v>
      </c>
      <c r="R1887" s="38" t="n">
        <v>70.3218718784192</v>
      </c>
      <c r="S1887" s="37" t="n">
        <v>0</v>
      </c>
    </row>
    <row r="1888" customFormat="false" ht="15" hidden="false" customHeight="false" outlineLevel="0" collapsed="false">
      <c r="A1888" s="37" t="n">
        <v>10</v>
      </c>
      <c r="B1888" s="37" t="n">
        <v>5</v>
      </c>
      <c r="C1888" s="37" t="n">
        <v>0</v>
      </c>
      <c r="D1888" s="37" t="n">
        <v>5</v>
      </c>
      <c r="E1888" s="37" t="n">
        <v>5</v>
      </c>
      <c r="F1888" s="37" t="n">
        <v>5</v>
      </c>
      <c r="G1888" s="37" t="s">
        <v>197</v>
      </c>
      <c r="H1888" s="38" t="n">
        <v>199.029818156411</v>
      </c>
      <c r="I1888" s="38" t="n">
        <v>198.973152849404</v>
      </c>
      <c r="J1888" s="38" t="n">
        <v>203.733522807256</v>
      </c>
      <c r="K1888" s="38" t="n">
        <v>230.724799397555</v>
      </c>
      <c r="L1888" s="38" t="n">
        <v>68.7886308646973</v>
      </c>
      <c r="M1888" s="38" t="n">
        <v>103.423357064324</v>
      </c>
      <c r="N1888" s="38" t="n">
        <v>113.291697721396</v>
      </c>
      <c r="O1888" s="38" t="n">
        <v>66.9291636015405</v>
      </c>
      <c r="P1888" s="37" t="n">
        <v>0</v>
      </c>
      <c r="Q1888" s="38" t="n">
        <v>0</v>
      </c>
      <c r="R1888" s="38" t="n">
        <v>72</v>
      </c>
      <c r="S1888" s="37" t="n">
        <v>0</v>
      </c>
    </row>
    <row r="1889" customFormat="false" ht="15" hidden="false" customHeight="false" outlineLevel="0" collapsed="false">
      <c r="A1889" s="37" t="n">
        <v>10</v>
      </c>
      <c r="B1889" s="37" t="n">
        <v>5</v>
      </c>
      <c r="C1889" s="37" t="n">
        <v>0</v>
      </c>
      <c r="D1889" s="37" t="n">
        <v>5</v>
      </c>
      <c r="E1889" s="37" t="n">
        <v>5</v>
      </c>
      <c r="F1889" s="37" t="n">
        <v>5</v>
      </c>
      <c r="G1889" s="37" t="s">
        <v>196</v>
      </c>
      <c r="H1889" s="38" t="n">
        <v>199.029818156411</v>
      </c>
      <c r="I1889" s="38" t="n">
        <v>198.971987318639</v>
      </c>
      <c r="J1889" s="38" t="n">
        <v>204.007442750371</v>
      </c>
      <c r="K1889" s="38" t="n">
        <v>231.095236023593</v>
      </c>
      <c r="L1889" s="38" t="n">
        <v>74.698183536753</v>
      </c>
      <c r="M1889" s="38" t="n">
        <v>103.163073789633</v>
      </c>
      <c r="N1889" s="38" t="n">
        <v>114.532758775692</v>
      </c>
      <c r="O1889" s="38" t="n">
        <v>68.3091471162192</v>
      </c>
      <c r="P1889" s="37" t="n">
        <v>0</v>
      </c>
      <c r="Q1889" s="38" t="n">
        <v>0</v>
      </c>
      <c r="R1889" s="38" t="n">
        <v>71.0180407364919</v>
      </c>
      <c r="S1889" s="37" t="n">
        <v>0</v>
      </c>
    </row>
    <row r="1890" customFormat="false" ht="15" hidden="false" customHeight="false" outlineLevel="0" collapsed="false">
      <c r="A1890" s="37" t="n">
        <v>10</v>
      </c>
      <c r="B1890" s="37" t="n">
        <v>5</v>
      </c>
      <c r="C1890" s="37" t="n">
        <v>0</v>
      </c>
      <c r="D1890" s="37" t="n">
        <v>5</v>
      </c>
      <c r="E1890" s="37" t="n">
        <v>10</v>
      </c>
      <c r="F1890" s="37" t="n">
        <v>0</v>
      </c>
      <c r="G1890" s="37" t="s">
        <v>188</v>
      </c>
      <c r="H1890" s="38" t="n">
        <v>199.03445002111</v>
      </c>
      <c r="I1890" s="38" t="n">
        <v>199.33555005041</v>
      </c>
      <c r="J1890" s="38" t="n">
        <v>208.724693757233</v>
      </c>
      <c r="K1890" s="38" t="n">
        <v>238.339887970875</v>
      </c>
      <c r="L1890" s="38" t="n">
        <v>34.6102481490516</v>
      </c>
      <c r="M1890" s="38" t="n">
        <v>103.261422750718</v>
      </c>
      <c r="N1890" s="38" t="n">
        <v>116.736671543984</v>
      </c>
      <c r="O1890" s="38" t="n">
        <v>67.1682617612917</v>
      </c>
      <c r="P1890" s="37" t="n">
        <v>0</v>
      </c>
      <c r="Q1890" s="38" t="n">
        <v>0</v>
      </c>
      <c r="R1890" s="38" t="n">
        <v>72</v>
      </c>
      <c r="S1890" s="37" t="n">
        <v>0</v>
      </c>
    </row>
    <row r="1891" customFormat="false" ht="15" hidden="false" customHeight="false" outlineLevel="0" collapsed="false">
      <c r="A1891" s="37" t="n">
        <v>10</v>
      </c>
      <c r="B1891" s="37" t="n">
        <v>5</v>
      </c>
      <c r="C1891" s="37" t="n">
        <v>0</v>
      </c>
      <c r="D1891" s="37" t="n">
        <v>5</v>
      </c>
      <c r="E1891" s="37" t="n">
        <v>10</v>
      </c>
      <c r="F1891" s="37" t="n">
        <v>0</v>
      </c>
      <c r="G1891" s="37" t="s">
        <v>192</v>
      </c>
      <c r="H1891" s="38" t="n">
        <v>199.03445002111</v>
      </c>
      <c r="I1891" s="38" t="n">
        <v>199.185624084731</v>
      </c>
      <c r="J1891" s="38" t="n">
        <v>206.380356213011</v>
      </c>
      <c r="K1891" s="38" t="n">
        <v>234.851582276378</v>
      </c>
      <c r="L1891" s="38" t="n">
        <v>33.4969782415099</v>
      </c>
      <c r="M1891" s="38" t="n">
        <v>98.5005047477006</v>
      </c>
      <c r="N1891" s="38" t="n">
        <v>107.291657348465</v>
      </c>
      <c r="O1891" s="38" t="n">
        <v>65.508331484998</v>
      </c>
      <c r="P1891" s="37" t="n">
        <v>0</v>
      </c>
      <c r="Q1891" s="38" t="n">
        <v>0</v>
      </c>
      <c r="R1891" s="38" t="n">
        <v>72</v>
      </c>
      <c r="S1891" s="37" t="n">
        <v>0</v>
      </c>
    </row>
    <row r="1892" customFormat="false" ht="15" hidden="false" customHeight="false" outlineLevel="0" collapsed="false">
      <c r="A1892" s="37" t="n">
        <v>10</v>
      </c>
      <c r="B1892" s="37" t="n">
        <v>5</v>
      </c>
      <c r="C1892" s="37" t="n">
        <v>0</v>
      </c>
      <c r="D1892" s="37" t="n">
        <v>5</v>
      </c>
      <c r="E1892" s="37" t="n">
        <v>10</v>
      </c>
      <c r="F1892" s="37" t="n">
        <v>0</v>
      </c>
      <c r="G1892" s="37" t="s">
        <v>195</v>
      </c>
      <c r="H1892" s="38" t="n">
        <v>199.03445002111</v>
      </c>
      <c r="I1892" s="38" t="n">
        <v>199.224810007355</v>
      </c>
      <c r="J1892" s="38" t="n">
        <v>203.786123534118</v>
      </c>
      <c r="K1892" s="38" t="n">
        <v>228.761306731268</v>
      </c>
      <c r="L1892" s="38" t="n">
        <v>30.8393985571542</v>
      </c>
      <c r="M1892" s="38" t="n">
        <v>101.088442288474</v>
      </c>
      <c r="N1892" s="38" t="n">
        <v>102.004136586554</v>
      </c>
      <c r="O1892" s="38" t="n">
        <v>63.1495719367409</v>
      </c>
      <c r="P1892" s="37" t="n">
        <v>0</v>
      </c>
      <c r="Q1892" s="38" t="n">
        <v>0</v>
      </c>
      <c r="R1892" s="38" t="n">
        <v>70.2984275477658</v>
      </c>
      <c r="S1892" s="37" t="n">
        <v>0</v>
      </c>
    </row>
    <row r="1893" customFormat="false" ht="15" hidden="false" customHeight="false" outlineLevel="0" collapsed="false">
      <c r="A1893" s="37" t="n">
        <v>10</v>
      </c>
      <c r="B1893" s="37" t="n">
        <v>5</v>
      </c>
      <c r="C1893" s="37" t="n">
        <v>0</v>
      </c>
      <c r="D1893" s="37" t="n">
        <v>5</v>
      </c>
      <c r="E1893" s="37" t="n">
        <v>10</v>
      </c>
      <c r="F1893" s="37" t="n">
        <v>0</v>
      </c>
      <c r="G1893" s="37" t="s">
        <v>197</v>
      </c>
      <c r="H1893" s="38" t="n">
        <v>199.03445002111</v>
      </c>
      <c r="I1893" s="38" t="n">
        <v>199.215989529967</v>
      </c>
      <c r="J1893" s="38" t="n">
        <v>207.352254592411</v>
      </c>
      <c r="K1893" s="38" t="n">
        <v>236.383296324423</v>
      </c>
      <c r="L1893" s="38" t="n">
        <v>35.1116735711727</v>
      </c>
      <c r="M1893" s="38" t="n">
        <v>107.064494312765</v>
      </c>
      <c r="N1893" s="38" t="n">
        <v>123.361312005816</v>
      </c>
      <c r="O1893" s="38" t="n">
        <v>68.5634926692285</v>
      </c>
      <c r="P1893" s="37" t="n">
        <v>0</v>
      </c>
      <c r="Q1893" s="38" t="n">
        <v>0</v>
      </c>
      <c r="R1893" s="38" t="n">
        <v>72</v>
      </c>
      <c r="S1893" s="37" t="n">
        <v>1</v>
      </c>
    </row>
    <row r="1894" customFormat="false" ht="15" hidden="false" customHeight="false" outlineLevel="0" collapsed="false">
      <c r="A1894" s="37" t="n">
        <v>10</v>
      </c>
      <c r="B1894" s="37" t="n">
        <v>5</v>
      </c>
      <c r="C1894" s="37" t="n">
        <v>0</v>
      </c>
      <c r="D1894" s="37" t="n">
        <v>5</v>
      </c>
      <c r="E1894" s="37" t="n">
        <v>10</v>
      </c>
      <c r="F1894" s="37" t="n">
        <v>0</v>
      </c>
      <c r="G1894" s="37" t="s">
        <v>196</v>
      </c>
      <c r="H1894" s="38" t="n">
        <v>199.03445002111</v>
      </c>
      <c r="I1894" s="38" t="n">
        <v>199.196786366515</v>
      </c>
      <c r="J1894" s="38" t="n">
        <v>206.610101765113</v>
      </c>
      <c r="K1894" s="38" t="n">
        <v>235.391156081356</v>
      </c>
      <c r="L1894" s="38" t="n">
        <v>38.930967274531</v>
      </c>
      <c r="M1894" s="38" t="n">
        <v>104.718665920804</v>
      </c>
      <c r="N1894" s="38" t="n">
        <v>120.775644714394</v>
      </c>
      <c r="O1894" s="38" t="n">
        <v>68.6369225031907</v>
      </c>
      <c r="P1894" s="37" t="n">
        <v>0</v>
      </c>
      <c r="Q1894" s="38" t="n">
        <v>0</v>
      </c>
      <c r="R1894" s="38" t="n">
        <v>71.0028880196954</v>
      </c>
      <c r="S1894" s="37" t="n">
        <v>0</v>
      </c>
    </row>
    <row r="1895" customFormat="false" ht="15" hidden="false" customHeight="false" outlineLevel="0" collapsed="false">
      <c r="A1895" s="37" t="n">
        <v>10</v>
      </c>
      <c r="B1895" s="37" t="n">
        <v>5</v>
      </c>
      <c r="C1895" s="37" t="n">
        <v>0</v>
      </c>
      <c r="D1895" s="37" t="n">
        <v>10</v>
      </c>
      <c r="E1895" s="37" t="n">
        <v>0</v>
      </c>
      <c r="F1895" s="37" t="n">
        <v>5</v>
      </c>
      <c r="G1895" s="37" t="s">
        <v>188</v>
      </c>
      <c r="H1895" s="38" t="n">
        <v>199.234771256081</v>
      </c>
      <c r="I1895" s="38" t="n">
        <v>199.799068491351</v>
      </c>
      <c r="J1895" s="38" t="n">
        <v>206.182701098594</v>
      </c>
      <c r="K1895" s="38" t="n">
        <v>228.495650556813</v>
      </c>
      <c r="L1895" s="38" t="n">
        <v>64.8098320210117</v>
      </c>
      <c r="M1895" s="38" t="n">
        <v>101.806277202743</v>
      </c>
      <c r="N1895" s="38" t="n">
        <v>109.996596501877</v>
      </c>
      <c r="O1895" s="38" t="n">
        <v>67.8299184013214</v>
      </c>
      <c r="P1895" s="37" t="n">
        <v>0</v>
      </c>
      <c r="Q1895" s="38" t="n">
        <v>0</v>
      </c>
      <c r="R1895" s="38" t="n">
        <v>72</v>
      </c>
      <c r="S1895" s="37" t="n">
        <v>1</v>
      </c>
    </row>
    <row r="1896" customFormat="false" ht="15" hidden="false" customHeight="false" outlineLevel="0" collapsed="false">
      <c r="A1896" s="37" t="n">
        <v>10</v>
      </c>
      <c r="B1896" s="37" t="n">
        <v>5</v>
      </c>
      <c r="C1896" s="37" t="n">
        <v>0</v>
      </c>
      <c r="D1896" s="37" t="n">
        <v>10</v>
      </c>
      <c r="E1896" s="37" t="n">
        <v>0</v>
      </c>
      <c r="F1896" s="37" t="n">
        <v>5</v>
      </c>
      <c r="G1896" s="37" t="s">
        <v>192</v>
      </c>
      <c r="H1896" s="38" t="n">
        <v>199.234771256081</v>
      </c>
      <c r="I1896" s="38" t="n">
        <v>199.633057620731</v>
      </c>
      <c r="J1896" s="38" t="n">
        <v>204.010749508277</v>
      </c>
      <c r="K1896" s="38" t="n">
        <v>224.963777413221</v>
      </c>
      <c r="L1896" s="38" t="n">
        <v>63.8798040180108</v>
      </c>
      <c r="M1896" s="38" t="n">
        <v>96.930937727574</v>
      </c>
      <c r="N1896" s="38" t="n">
        <v>102.308024319711</v>
      </c>
      <c r="O1896" s="38" t="n">
        <v>65.9824179767785</v>
      </c>
      <c r="P1896" s="37" t="n">
        <v>0</v>
      </c>
      <c r="Q1896" s="38" t="n">
        <v>0</v>
      </c>
      <c r="R1896" s="38" t="n">
        <v>72</v>
      </c>
      <c r="S1896" s="37" t="n">
        <v>0</v>
      </c>
    </row>
    <row r="1897" customFormat="false" ht="15" hidden="false" customHeight="false" outlineLevel="0" collapsed="false">
      <c r="A1897" s="37" t="n">
        <v>10</v>
      </c>
      <c r="B1897" s="37" t="n">
        <v>5</v>
      </c>
      <c r="C1897" s="37" t="n">
        <v>0</v>
      </c>
      <c r="D1897" s="37" t="n">
        <v>10</v>
      </c>
      <c r="E1897" s="37" t="n">
        <v>0</v>
      </c>
      <c r="F1897" s="37" t="n">
        <v>5</v>
      </c>
      <c r="G1897" s="37" t="s">
        <v>195</v>
      </c>
      <c r="H1897" s="38" t="n">
        <v>199.234771256081</v>
      </c>
      <c r="I1897" s="38" t="n">
        <v>199.718455480768</v>
      </c>
      <c r="J1897" s="38" t="n">
        <v>202.104633542347</v>
      </c>
      <c r="K1897" s="38" t="n">
        <v>222.821433533505</v>
      </c>
      <c r="L1897" s="38" t="n">
        <v>69.5714335335053</v>
      </c>
      <c r="M1897" s="38" t="n">
        <v>100.782374858595</v>
      </c>
      <c r="N1897" s="38" t="n">
        <v>104.185544771183</v>
      </c>
      <c r="O1897" s="38" t="n">
        <v>64.7331222409799</v>
      </c>
      <c r="P1897" s="37" t="n">
        <v>0</v>
      </c>
      <c r="Q1897" s="38" t="n">
        <v>0</v>
      </c>
      <c r="R1897" s="38" t="n">
        <v>67.2801384097338</v>
      </c>
      <c r="S1897" s="37" t="n">
        <v>0</v>
      </c>
    </row>
    <row r="1898" customFormat="false" ht="15" hidden="false" customHeight="false" outlineLevel="0" collapsed="false">
      <c r="A1898" s="37" t="n">
        <v>10</v>
      </c>
      <c r="B1898" s="37" t="n">
        <v>5</v>
      </c>
      <c r="C1898" s="37" t="n">
        <v>0</v>
      </c>
      <c r="D1898" s="37" t="n">
        <v>10</v>
      </c>
      <c r="E1898" s="37" t="n">
        <v>0</v>
      </c>
      <c r="F1898" s="37" t="n">
        <v>5</v>
      </c>
      <c r="G1898" s="37" t="s">
        <v>197</v>
      </c>
      <c r="H1898" s="38" t="n">
        <v>199.234771256081</v>
      </c>
      <c r="I1898" s="38" t="n">
        <v>199.631013722652</v>
      </c>
      <c r="J1898" s="38" t="n">
        <v>203.279366609699</v>
      </c>
      <c r="K1898" s="38" t="n">
        <v>224.057453048515</v>
      </c>
      <c r="L1898" s="38" t="n">
        <v>61.8029361768101</v>
      </c>
      <c r="M1898" s="38" t="n">
        <v>99.638859828759</v>
      </c>
      <c r="N1898" s="38" t="n">
        <v>99.1708739184862</v>
      </c>
      <c r="O1898" s="38" t="n">
        <v>63.2334213001519</v>
      </c>
      <c r="P1898" s="37" t="n">
        <v>0</v>
      </c>
      <c r="Q1898" s="38" t="n">
        <v>0</v>
      </c>
      <c r="R1898" s="38" t="n">
        <v>72</v>
      </c>
      <c r="S1898" s="37" t="n">
        <v>0</v>
      </c>
    </row>
    <row r="1899" customFormat="false" ht="15" hidden="false" customHeight="false" outlineLevel="0" collapsed="false">
      <c r="A1899" s="37" t="n">
        <v>10</v>
      </c>
      <c r="B1899" s="37" t="n">
        <v>5</v>
      </c>
      <c r="C1899" s="37" t="n">
        <v>0</v>
      </c>
      <c r="D1899" s="37" t="n">
        <v>10</v>
      </c>
      <c r="E1899" s="37" t="n">
        <v>0</v>
      </c>
      <c r="F1899" s="37" t="n">
        <v>5</v>
      </c>
      <c r="G1899" s="37" t="s">
        <v>196</v>
      </c>
      <c r="H1899" s="38" t="n">
        <v>199.234771256081</v>
      </c>
      <c r="I1899" s="38" t="n">
        <v>199.636453388464</v>
      </c>
      <c r="J1899" s="38" t="n">
        <v>196.574676590263</v>
      </c>
      <c r="K1899" s="38" t="n">
        <v>226.354127000754</v>
      </c>
      <c r="L1899" s="38" t="n">
        <v>72.7985714451981</v>
      </c>
      <c r="M1899" s="38" t="n">
        <v>102.504873474572</v>
      </c>
      <c r="N1899" s="38" t="n">
        <v>107.148120287042</v>
      </c>
      <c r="O1899" s="38" t="n">
        <v>65.720873741669</v>
      </c>
      <c r="P1899" s="37" t="n">
        <v>0</v>
      </c>
      <c r="Q1899" s="38" t="n">
        <v>0</v>
      </c>
      <c r="R1899" s="38" t="n">
        <v>70.604</v>
      </c>
      <c r="S1899" s="37" t="n">
        <v>0</v>
      </c>
    </row>
    <row r="1900" customFormat="false" ht="15" hidden="false" customHeight="false" outlineLevel="0" collapsed="false">
      <c r="A1900" s="37" t="n">
        <v>10</v>
      </c>
      <c r="B1900" s="37" t="n">
        <v>5</v>
      </c>
      <c r="C1900" s="37" t="n">
        <v>0</v>
      </c>
      <c r="D1900" s="37" t="n">
        <v>10</v>
      </c>
      <c r="E1900" s="37" t="n">
        <v>5</v>
      </c>
      <c r="F1900" s="37" t="n">
        <v>0</v>
      </c>
      <c r="G1900" s="37" t="s">
        <v>188</v>
      </c>
      <c r="H1900" s="38" t="n">
        <v>199.227946209145</v>
      </c>
      <c r="I1900" s="38" t="n">
        <v>199.96463472925</v>
      </c>
      <c r="J1900" s="38" t="n">
        <v>209.784539411329</v>
      </c>
      <c r="K1900" s="38" t="n">
        <v>233.744723968534</v>
      </c>
      <c r="L1900" s="38" t="n">
        <v>41.5357819619869</v>
      </c>
      <c r="M1900" s="38" t="n">
        <v>102.839814650465</v>
      </c>
      <c r="N1900" s="38" t="n">
        <v>118.076556178578</v>
      </c>
      <c r="O1900" s="38" t="n">
        <v>65.6634457976583</v>
      </c>
      <c r="P1900" s="37" t="n">
        <v>0</v>
      </c>
      <c r="Q1900" s="38" t="n">
        <v>0</v>
      </c>
      <c r="R1900" s="38" t="n">
        <v>72</v>
      </c>
      <c r="S1900" s="37" t="n">
        <v>1</v>
      </c>
    </row>
    <row r="1901" customFormat="false" ht="15" hidden="false" customHeight="false" outlineLevel="0" collapsed="false">
      <c r="A1901" s="37" t="n">
        <v>10</v>
      </c>
      <c r="B1901" s="37" t="n">
        <v>5</v>
      </c>
      <c r="C1901" s="37" t="n">
        <v>0</v>
      </c>
      <c r="D1901" s="37" t="n">
        <v>10</v>
      </c>
      <c r="E1901" s="37" t="n">
        <v>5</v>
      </c>
      <c r="F1901" s="37" t="n">
        <v>0</v>
      </c>
      <c r="G1901" s="37" t="s">
        <v>192</v>
      </c>
      <c r="H1901" s="38" t="n">
        <v>199.227946209145</v>
      </c>
      <c r="I1901" s="38" t="n">
        <v>199.801700020333</v>
      </c>
      <c r="J1901" s="38" t="n">
        <v>207.369824070505</v>
      </c>
      <c r="K1901" s="38" t="n">
        <v>230.005979338809</v>
      </c>
      <c r="L1901" s="38" t="n">
        <v>28.8924669398534</v>
      </c>
      <c r="M1901" s="38" t="n">
        <v>98.018994175183</v>
      </c>
      <c r="N1901" s="38" t="n">
        <v>100.380092623804</v>
      </c>
      <c r="O1901" s="38" t="n">
        <v>66.139761878302</v>
      </c>
      <c r="P1901" s="37" t="n">
        <v>0</v>
      </c>
      <c r="Q1901" s="38" t="n">
        <v>0</v>
      </c>
      <c r="R1901" s="38" t="n">
        <v>72</v>
      </c>
      <c r="S1901" s="37" t="n">
        <v>0</v>
      </c>
    </row>
    <row r="1902" customFormat="false" ht="15" hidden="false" customHeight="false" outlineLevel="0" collapsed="false">
      <c r="A1902" s="37" t="n">
        <v>10</v>
      </c>
      <c r="B1902" s="37" t="n">
        <v>5</v>
      </c>
      <c r="C1902" s="37" t="n">
        <v>0</v>
      </c>
      <c r="D1902" s="37" t="n">
        <v>10</v>
      </c>
      <c r="E1902" s="37" t="n">
        <v>5</v>
      </c>
      <c r="F1902" s="37" t="n">
        <v>0</v>
      </c>
      <c r="G1902" s="37" t="s">
        <v>195</v>
      </c>
      <c r="H1902" s="38" t="n">
        <v>199.227946209145</v>
      </c>
      <c r="I1902" s="38" t="n">
        <v>199.895768721493</v>
      </c>
      <c r="J1902" s="38" t="n">
        <v>205.508474433312</v>
      </c>
      <c r="K1902" s="38" t="n">
        <v>228.078860461894</v>
      </c>
      <c r="L1902" s="38" t="n">
        <v>34.8288604618938</v>
      </c>
      <c r="M1902" s="38" t="n">
        <v>101.868491974638</v>
      </c>
      <c r="N1902" s="38" t="n">
        <v>107.557613812216</v>
      </c>
      <c r="O1902" s="38" t="n">
        <v>65.1895528103451</v>
      </c>
      <c r="P1902" s="37" t="n">
        <v>0</v>
      </c>
      <c r="Q1902" s="38" t="n">
        <v>0</v>
      </c>
      <c r="R1902" s="38" t="n">
        <v>67.2519508284242</v>
      </c>
      <c r="S1902" s="37" t="n">
        <v>0</v>
      </c>
    </row>
    <row r="1903" customFormat="false" ht="15" hidden="false" customHeight="false" outlineLevel="0" collapsed="false">
      <c r="A1903" s="37" t="n">
        <v>10</v>
      </c>
      <c r="B1903" s="37" t="n">
        <v>5</v>
      </c>
      <c r="C1903" s="37" t="n">
        <v>0</v>
      </c>
      <c r="D1903" s="37" t="n">
        <v>10</v>
      </c>
      <c r="E1903" s="37" t="n">
        <v>5</v>
      </c>
      <c r="F1903" s="37" t="n">
        <v>0</v>
      </c>
      <c r="G1903" s="37" t="s">
        <v>197</v>
      </c>
      <c r="H1903" s="38" t="n">
        <v>199.227946209145</v>
      </c>
      <c r="I1903" s="38" t="n">
        <v>199.812419147844</v>
      </c>
      <c r="J1903" s="38" t="n">
        <v>207.371572919021</v>
      </c>
      <c r="K1903" s="38" t="n">
        <v>230.186353538107</v>
      </c>
      <c r="L1903" s="38" t="n">
        <v>28.4443051099841</v>
      </c>
      <c r="M1903" s="38" t="n">
        <v>104.012978196555</v>
      </c>
      <c r="N1903" s="38" t="n">
        <v>106.437708433696</v>
      </c>
      <c r="O1903" s="38" t="n">
        <v>67.5987270344276</v>
      </c>
      <c r="P1903" s="37" t="n">
        <v>0</v>
      </c>
      <c r="Q1903" s="38" t="n">
        <v>0</v>
      </c>
      <c r="R1903" s="38" t="n">
        <v>72</v>
      </c>
      <c r="S1903" s="37" t="n">
        <v>0</v>
      </c>
    </row>
    <row r="1904" customFormat="false" ht="15" hidden="false" customHeight="false" outlineLevel="0" collapsed="false">
      <c r="A1904" s="37" t="n">
        <v>10</v>
      </c>
      <c r="B1904" s="37" t="n">
        <v>5</v>
      </c>
      <c r="C1904" s="37" t="n">
        <v>0</v>
      </c>
      <c r="D1904" s="37" t="n">
        <v>10</v>
      </c>
      <c r="E1904" s="37" t="n">
        <v>5</v>
      </c>
      <c r="F1904" s="37" t="n">
        <v>0</v>
      </c>
      <c r="G1904" s="37" t="s">
        <v>196</v>
      </c>
      <c r="H1904" s="38" t="n">
        <v>199.227946209145</v>
      </c>
      <c r="I1904" s="38" t="n">
        <v>199.810605561205</v>
      </c>
      <c r="J1904" s="38" t="n">
        <v>207.670573349992</v>
      </c>
      <c r="K1904" s="38" t="n">
        <v>230.575029725922</v>
      </c>
      <c r="L1904" s="38" t="n">
        <v>34.4461408370329</v>
      </c>
      <c r="M1904" s="38" t="n">
        <v>104.204327382996</v>
      </c>
      <c r="N1904" s="38" t="n">
        <v>113.562707336454</v>
      </c>
      <c r="O1904" s="38" t="n">
        <v>68.6109349293856</v>
      </c>
      <c r="P1904" s="37" t="n">
        <v>0</v>
      </c>
      <c r="Q1904" s="38" t="n">
        <v>0</v>
      </c>
      <c r="R1904" s="38" t="n">
        <v>71.0824</v>
      </c>
      <c r="S1904" s="37" t="n">
        <v>0</v>
      </c>
    </row>
    <row r="1905" customFormat="false" ht="15" hidden="false" customHeight="false" outlineLevel="0" collapsed="false">
      <c r="A1905" s="37" t="n">
        <v>10</v>
      </c>
      <c r="B1905" s="37" t="n">
        <v>5</v>
      </c>
      <c r="C1905" s="37" t="n">
        <v>0</v>
      </c>
      <c r="D1905" s="37" t="n">
        <v>15</v>
      </c>
      <c r="E1905" s="37" t="n">
        <v>0</v>
      </c>
      <c r="F1905" s="37" t="n">
        <v>0</v>
      </c>
      <c r="G1905" s="37" t="s">
        <v>188</v>
      </c>
      <c r="H1905" s="38" t="n">
        <v>199.383719547904</v>
      </c>
      <c r="I1905" s="38" t="n">
        <v>200.432599174556</v>
      </c>
      <c r="J1905" s="38" t="n">
        <v>208.911712218685</v>
      </c>
      <c r="K1905" s="38" t="n">
        <v>226.016126982804</v>
      </c>
      <c r="L1905" s="38" t="n">
        <v>33.9982673904167</v>
      </c>
      <c r="M1905" s="38" t="n">
        <v>102.078936089657</v>
      </c>
      <c r="N1905" s="38" t="n">
        <v>106.370769991741</v>
      </c>
      <c r="O1905" s="38" t="n">
        <v>64.4808143678059</v>
      </c>
      <c r="P1905" s="37" t="n">
        <v>0</v>
      </c>
      <c r="Q1905" s="38" t="n">
        <v>0</v>
      </c>
      <c r="R1905" s="38" t="n">
        <v>72</v>
      </c>
      <c r="S1905" s="37" t="n">
        <v>1</v>
      </c>
    </row>
    <row r="1906" customFormat="false" ht="15" hidden="false" customHeight="false" outlineLevel="0" collapsed="false">
      <c r="A1906" s="37" t="n">
        <v>10</v>
      </c>
      <c r="B1906" s="37" t="n">
        <v>5</v>
      </c>
      <c r="C1906" s="37" t="n">
        <v>0</v>
      </c>
      <c r="D1906" s="37" t="n">
        <v>15</v>
      </c>
      <c r="E1906" s="37" t="n">
        <v>0</v>
      </c>
      <c r="F1906" s="37" t="n">
        <v>0</v>
      </c>
      <c r="G1906" s="37" t="s">
        <v>192</v>
      </c>
      <c r="H1906" s="38" t="n">
        <v>199.383719547904</v>
      </c>
      <c r="I1906" s="38" t="n">
        <v>200.257999527321</v>
      </c>
      <c r="J1906" s="38" t="n">
        <v>206.44959805043</v>
      </c>
      <c r="K1906" s="38" t="n">
        <v>222.09828785468</v>
      </c>
      <c r="L1906" s="38" t="n">
        <v>32.4647583645916</v>
      </c>
      <c r="M1906" s="38" t="n">
        <v>97.1922742076818</v>
      </c>
      <c r="N1906" s="38" t="n">
        <v>96.7731542705283</v>
      </c>
      <c r="O1906" s="38" t="n">
        <v>62.2808849031066</v>
      </c>
      <c r="P1906" s="37" t="n">
        <v>0</v>
      </c>
      <c r="Q1906" s="38" t="n">
        <v>0</v>
      </c>
      <c r="R1906" s="38" t="n">
        <v>72</v>
      </c>
      <c r="S1906" s="37" t="n">
        <v>0</v>
      </c>
    </row>
    <row r="1907" customFormat="false" ht="15" hidden="false" customHeight="false" outlineLevel="0" collapsed="false">
      <c r="A1907" s="37" t="n">
        <v>10</v>
      </c>
      <c r="B1907" s="37" t="n">
        <v>5</v>
      </c>
      <c r="C1907" s="37" t="n">
        <v>0</v>
      </c>
      <c r="D1907" s="37" t="n">
        <v>15</v>
      </c>
      <c r="E1907" s="37" t="n">
        <v>0</v>
      </c>
      <c r="F1907" s="37" t="n">
        <v>0</v>
      </c>
      <c r="G1907" s="37" t="s">
        <v>195</v>
      </c>
      <c r="H1907" s="38" t="n">
        <v>199.383719547904</v>
      </c>
      <c r="I1907" s="38" t="n">
        <v>200.400413854031</v>
      </c>
      <c r="J1907" s="38" t="n">
        <v>205.733604069093</v>
      </c>
      <c r="K1907" s="38" t="n">
        <v>221.829318469878</v>
      </c>
      <c r="L1907" s="38" t="n">
        <v>28.5793184698775</v>
      </c>
      <c r="M1907" s="38" t="n">
        <v>101.954633569423</v>
      </c>
      <c r="N1907" s="38" t="n">
        <v>97.7377991929939</v>
      </c>
      <c r="O1907" s="38" t="n">
        <v>64.5224209044647</v>
      </c>
      <c r="P1907" s="37" t="n">
        <v>0</v>
      </c>
      <c r="Q1907" s="38" t="n">
        <v>0</v>
      </c>
      <c r="R1907" s="38" t="n">
        <v>67.36</v>
      </c>
      <c r="S1907" s="37" t="n">
        <v>0</v>
      </c>
    </row>
    <row r="1908" customFormat="false" ht="15" hidden="false" customHeight="false" outlineLevel="0" collapsed="false">
      <c r="A1908" s="37" t="n">
        <v>10</v>
      </c>
      <c r="B1908" s="37" t="n">
        <v>5</v>
      </c>
      <c r="C1908" s="37" t="n">
        <v>0</v>
      </c>
      <c r="D1908" s="37" t="n">
        <v>15</v>
      </c>
      <c r="E1908" s="37" t="n">
        <v>0</v>
      </c>
      <c r="F1908" s="37" t="n">
        <v>0</v>
      </c>
      <c r="G1908" s="37" t="s">
        <v>197</v>
      </c>
      <c r="H1908" s="38" t="n">
        <v>199.383719547904</v>
      </c>
      <c r="I1908" s="38" t="n">
        <v>200.256349371631</v>
      </c>
      <c r="J1908" s="38" t="n">
        <v>205.739350198461</v>
      </c>
      <c r="K1908" s="38" t="n">
        <v>221.231806503245</v>
      </c>
      <c r="L1908" s="38" t="n">
        <v>34.1518231498438</v>
      </c>
      <c r="M1908" s="38" t="n">
        <v>99.9182098681396</v>
      </c>
      <c r="N1908" s="38" t="n">
        <v>94.8896470376711</v>
      </c>
      <c r="O1908" s="38" t="n">
        <v>59.7336421791171</v>
      </c>
      <c r="P1908" s="37" t="n">
        <v>0</v>
      </c>
      <c r="Q1908" s="38" t="n">
        <v>0</v>
      </c>
      <c r="R1908" s="38" t="n">
        <v>72</v>
      </c>
      <c r="S1908" s="37" t="n">
        <v>0</v>
      </c>
    </row>
    <row r="1909" customFormat="false" ht="15" hidden="false" customHeight="false" outlineLevel="0" collapsed="false">
      <c r="A1909" s="37" t="n">
        <v>10</v>
      </c>
      <c r="B1909" s="37" t="n">
        <v>5</v>
      </c>
      <c r="C1909" s="37" t="n">
        <v>0</v>
      </c>
      <c r="D1909" s="37" t="n">
        <v>15</v>
      </c>
      <c r="E1909" s="37" t="n">
        <v>0</v>
      </c>
      <c r="F1909" s="37" t="n">
        <v>0</v>
      </c>
      <c r="G1909" s="37" t="s">
        <v>196</v>
      </c>
      <c r="H1909" s="38" t="n">
        <v>199.383719547904</v>
      </c>
      <c r="I1909" s="38" t="n">
        <v>200.261849752872</v>
      </c>
      <c r="J1909" s="38" t="n">
        <v>198.938290030919</v>
      </c>
      <c r="K1909" s="38" t="n">
        <v>223.440070726772</v>
      </c>
      <c r="L1909" s="38" t="n">
        <v>29.8845151712161</v>
      </c>
      <c r="M1909" s="38" t="n">
        <v>103.069727341326</v>
      </c>
      <c r="N1909" s="38" t="n">
        <v>99.7083660678231</v>
      </c>
      <c r="O1909" s="38" t="n">
        <v>64.5050779678616</v>
      </c>
      <c r="P1909" s="37" t="n">
        <v>0</v>
      </c>
      <c r="Q1909" s="38" t="n">
        <v>0</v>
      </c>
      <c r="R1909" s="38" t="n">
        <v>70.604</v>
      </c>
      <c r="S1909" s="37" t="n">
        <v>0</v>
      </c>
    </row>
    <row r="1910" customFormat="false" ht="15" hidden="false" customHeight="false" outlineLevel="0" collapsed="false">
      <c r="A1910" s="37" t="n">
        <v>10</v>
      </c>
      <c r="B1910" s="37" t="n">
        <v>5</v>
      </c>
      <c r="C1910" s="37" t="n">
        <v>5</v>
      </c>
      <c r="D1910" s="37" t="n">
        <v>0</v>
      </c>
      <c r="E1910" s="37" t="n">
        <v>0</v>
      </c>
      <c r="F1910" s="37" t="n">
        <v>10</v>
      </c>
      <c r="G1910" s="37" t="s">
        <v>188</v>
      </c>
      <c r="H1910" s="38" t="n">
        <v>198.967157357817</v>
      </c>
      <c r="I1910" s="38" t="n">
        <v>199.940190673643</v>
      </c>
      <c r="J1910" s="38" t="n">
        <v>216.663582211509</v>
      </c>
      <c r="K1910" s="38" t="n">
        <v>260.745324742476</v>
      </c>
      <c r="L1910" s="38" t="n">
        <v>137.145859678857</v>
      </c>
      <c r="M1910" s="38" t="n">
        <v>105.822181403552</v>
      </c>
      <c r="N1910" s="38" t="n">
        <v>136.535214735072</v>
      </c>
      <c r="O1910" s="38" t="n">
        <v>75.0975495921897</v>
      </c>
      <c r="P1910" s="37" t="n">
        <v>0</v>
      </c>
      <c r="Q1910" s="38" t="n">
        <v>0</v>
      </c>
      <c r="R1910" s="38" t="n">
        <v>70.5</v>
      </c>
      <c r="S1910" s="37" t="n">
        <v>1</v>
      </c>
    </row>
    <row r="1911" customFormat="false" ht="15" hidden="false" customHeight="false" outlineLevel="0" collapsed="false">
      <c r="A1911" s="37" t="n">
        <v>10</v>
      </c>
      <c r="B1911" s="37" t="n">
        <v>5</v>
      </c>
      <c r="C1911" s="37" t="n">
        <v>5</v>
      </c>
      <c r="D1911" s="37" t="n">
        <v>0</v>
      </c>
      <c r="E1911" s="37" t="n">
        <v>0</v>
      </c>
      <c r="F1911" s="37" t="n">
        <v>10</v>
      </c>
      <c r="G1911" s="37" t="s">
        <v>192</v>
      </c>
      <c r="H1911" s="38" t="n">
        <v>198.967157357817</v>
      </c>
      <c r="I1911" s="38" t="n">
        <v>199.713332527564</v>
      </c>
      <c r="J1911" s="38" t="n">
        <v>212.874397534285</v>
      </c>
      <c r="K1911" s="38" t="n">
        <v>254.551108232358</v>
      </c>
      <c r="L1911" s="38" t="n">
        <v>133.302813336958</v>
      </c>
      <c r="M1911" s="38" t="n">
        <v>100.789930968296</v>
      </c>
      <c r="N1911" s="38" t="n">
        <v>126.309940223613</v>
      </c>
      <c r="O1911" s="38" t="n">
        <v>72.0759652857594</v>
      </c>
      <c r="P1911" s="37" t="n">
        <v>0</v>
      </c>
      <c r="Q1911" s="38" t="n">
        <v>0</v>
      </c>
      <c r="R1911" s="38" t="n">
        <v>70.5</v>
      </c>
      <c r="S1911" s="37" t="n">
        <v>0</v>
      </c>
    </row>
    <row r="1912" customFormat="false" ht="15" hidden="false" customHeight="false" outlineLevel="0" collapsed="false">
      <c r="A1912" s="37" t="n">
        <v>10</v>
      </c>
      <c r="B1912" s="37" t="n">
        <v>5</v>
      </c>
      <c r="C1912" s="37" t="n">
        <v>5</v>
      </c>
      <c r="D1912" s="37" t="n">
        <v>0</v>
      </c>
      <c r="E1912" s="37" t="n">
        <v>0</v>
      </c>
      <c r="F1912" s="37" t="n">
        <v>10</v>
      </c>
      <c r="G1912" s="37" t="s">
        <v>195</v>
      </c>
      <c r="H1912" s="38" t="n">
        <v>198.967157357817</v>
      </c>
      <c r="I1912" s="38" t="n">
        <v>199.713686021603</v>
      </c>
      <c r="J1912" s="38" t="n">
        <v>207.776695550824</v>
      </c>
      <c r="K1912" s="38" t="n">
        <v>244.604084508718</v>
      </c>
      <c r="L1912" s="38" t="n">
        <v>125.662824354044</v>
      </c>
      <c r="M1912" s="38" t="n">
        <v>101.707828107172</v>
      </c>
      <c r="N1912" s="38" t="n">
        <v>115.585514030318</v>
      </c>
      <c r="O1912" s="38" t="n">
        <v>64.5526533445955</v>
      </c>
      <c r="P1912" s="37" t="n">
        <v>0</v>
      </c>
      <c r="Q1912" s="38" t="n">
        <v>0</v>
      </c>
      <c r="R1912" s="38" t="n">
        <v>68.4926219535979</v>
      </c>
      <c r="S1912" s="37" t="n">
        <v>0</v>
      </c>
    </row>
    <row r="1913" customFormat="false" ht="15" hidden="false" customHeight="false" outlineLevel="0" collapsed="false">
      <c r="A1913" s="37" t="n">
        <v>10</v>
      </c>
      <c r="B1913" s="37" t="n">
        <v>5</v>
      </c>
      <c r="C1913" s="37" t="n">
        <v>5</v>
      </c>
      <c r="D1913" s="37" t="n">
        <v>0</v>
      </c>
      <c r="E1913" s="37" t="n">
        <v>0</v>
      </c>
      <c r="F1913" s="37" t="n">
        <v>10</v>
      </c>
      <c r="G1913" s="37" t="s">
        <v>197</v>
      </c>
      <c r="H1913" s="38" t="n">
        <v>198.967157357817</v>
      </c>
      <c r="I1913" s="38" t="n">
        <v>199.703355248886</v>
      </c>
      <c r="J1913" s="38" t="n">
        <v>211.566482010782</v>
      </c>
      <c r="K1913" s="38" t="n">
        <v>252.825182581173</v>
      </c>
      <c r="L1913" s="38" t="n">
        <v>130.238172412962</v>
      </c>
      <c r="M1913" s="38" t="n">
        <v>101.229171015899</v>
      </c>
      <c r="N1913" s="38" t="n">
        <v>116.793031511665</v>
      </c>
      <c r="O1913" s="38" t="n">
        <v>66.3227653530261</v>
      </c>
      <c r="P1913" s="37" t="n">
        <v>0</v>
      </c>
      <c r="Q1913" s="38" t="n">
        <v>0</v>
      </c>
      <c r="R1913" s="38" t="n">
        <v>70.5</v>
      </c>
      <c r="S1913" s="37" t="n">
        <v>0</v>
      </c>
    </row>
    <row r="1914" customFormat="false" ht="15" hidden="false" customHeight="false" outlineLevel="0" collapsed="false">
      <c r="A1914" s="37" t="n">
        <v>10</v>
      </c>
      <c r="B1914" s="37" t="n">
        <v>5</v>
      </c>
      <c r="C1914" s="37" t="n">
        <v>5</v>
      </c>
      <c r="D1914" s="37" t="n">
        <v>0</v>
      </c>
      <c r="E1914" s="37" t="n">
        <v>0</v>
      </c>
      <c r="F1914" s="37" t="n">
        <v>10</v>
      </c>
      <c r="G1914" s="37" t="s">
        <v>196</v>
      </c>
      <c r="H1914" s="38" t="n">
        <v>198.967157357817</v>
      </c>
      <c r="I1914" s="38" t="n">
        <v>199.719884422159</v>
      </c>
      <c r="J1914" s="38" t="n">
        <v>212.459155418174</v>
      </c>
      <c r="K1914" s="38" t="n">
        <v>254.312068430978</v>
      </c>
      <c r="L1914" s="38" t="n">
        <v>137.837648255262</v>
      </c>
      <c r="M1914" s="38" t="n">
        <v>103.905198092277</v>
      </c>
      <c r="N1914" s="38" t="n">
        <v>126.414658624698</v>
      </c>
      <c r="O1914" s="38" t="n">
        <v>71.4718660845203</v>
      </c>
      <c r="P1914" s="37" t="n">
        <v>0</v>
      </c>
      <c r="Q1914" s="38" t="n">
        <v>0</v>
      </c>
      <c r="R1914" s="38" t="n">
        <v>69.4994724911614</v>
      </c>
      <c r="S1914" s="37" t="n">
        <v>0</v>
      </c>
    </row>
    <row r="1915" customFormat="false" ht="15" hidden="false" customHeight="false" outlineLevel="0" collapsed="false">
      <c r="A1915" s="37" t="n">
        <v>10</v>
      </c>
      <c r="B1915" s="37" t="n">
        <v>5</v>
      </c>
      <c r="C1915" s="37" t="n">
        <v>5</v>
      </c>
      <c r="D1915" s="37" t="n">
        <v>0</v>
      </c>
      <c r="E1915" s="37" t="n">
        <v>5</v>
      </c>
      <c r="F1915" s="37" t="n">
        <v>5</v>
      </c>
      <c r="G1915" s="37" t="s">
        <v>188</v>
      </c>
      <c r="H1915" s="38" t="n">
        <v>198.959111382015</v>
      </c>
      <c r="I1915" s="38" t="n">
        <v>199.911084189151</v>
      </c>
      <c r="J1915" s="38" t="n">
        <v>218.188575715633</v>
      </c>
      <c r="K1915" s="38" t="n">
        <v>262.297806106554</v>
      </c>
      <c r="L1915" s="38" t="n">
        <v>98.7921743631232</v>
      </c>
      <c r="M1915" s="38" t="n">
        <v>106.273429253625</v>
      </c>
      <c r="N1915" s="38" t="n">
        <v>141.253516302663</v>
      </c>
      <c r="O1915" s="38" t="n">
        <v>74.5142759874655</v>
      </c>
      <c r="P1915" s="37" t="n">
        <v>0</v>
      </c>
      <c r="Q1915" s="38" t="n">
        <v>0</v>
      </c>
      <c r="R1915" s="38" t="n">
        <v>70.5</v>
      </c>
      <c r="S1915" s="37" t="n">
        <v>1</v>
      </c>
    </row>
    <row r="1916" customFormat="false" ht="15" hidden="false" customHeight="false" outlineLevel="0" collapsed="false">
      <c r="A1916" s="37" t="n">
        <v>10</v>
      </c>
      <c r="B1916" s="37" t="n">
        <v>5</v>
      </c>
      <c r="C1916" s="37" t="n">
        <v>5</v>
      </c>
      <c r="D1916" s="37" t="n">
        <v>0</v>
      </c>
      <c r="E1916" s="37" t="n">
        <v>5</v>
      </c>
      <c r="F1916" s="37" t="n">
        <v>5</v>
      </c>
      <c r="G1916" s="37" t="s">
        <v>192</v>
      </c>
      <c r="H1916" s="38" t="n">
        <v>198.959111382015</v>
      </c>
      <c r="I1916" s="38" t="n">
        <v>199.698232620975</v>
      </c>
      <c r="J1916" s="38" t="n">
        <v>214.537332967214</v>
      </c>
      <c r="K1916" s="38" t="n">
        <v>256.393419829037</v>
      </c>
      <c r="L1916" s="38" t="n">
        <v>95.0865382582063</v>
      </c>
      <c r="M1916" s="38" t="n">
        <v>101.342599844966</v>
      </c>
      <c r="N1916" s="38" t="n">
        <v>130.941211535687</v>
      </c>
      <c r="O1916" s="38" t="n">
        <v>71.4151395370713</v>
      </c>
      <c r="P1916" s="37" t="n">
        <v>0</v>
      </c>
      <c r="Q1916" s="38" t="n">
        <v>0</v>
      </c>
      <c r="R1916" s="38" t="n">
        <v>70.5</v>
      </c>
      <c r="S1916" s="37" t="n">
        <v>0</v>
      </c>
    </row>
    <row r="1917" customFormat="false" ht="15" hidden="false" customHeight="false" outlineLevel="0" collapsed="false">
      <c r="A1917" s="37" t="n">
        <v>10</v>
      </c>
      <c r="B1917" s="37" t="n">
        <v>5</v>
      </c>
      <c r="C1917" s="37" t="n">
        <v>5</v>
      </c>
      <c r="D1917" s="37" t="n">
        <v>0</v>
      </c>
      <c r="E1917" s="37" t="n">
        <v>5</v>
      </c>
      <c r="F1917" s="37" t="n">
        <v>5</v>
      </c>
      <c r="G1917" s="37" t="s">
        <v>195</v>
      </c>
      <c r="H1917" s="38" t="n">
        <v>198.959111382015</v>
      </c>
      <c r="I1917" s="38" t="n">
        <v>199.696047085526</v>
      </c>
      <c r="J1917" s="38" t="n">
        <v>208.95146266132</v>
      </c>
      <c r="K1917" s="38" t="n">
        <v>245.7732505432</v>
      </c>
      <c r="L1917" s="38" t="n">
        <v>86.6954955262905</v>
      </c>
      <c r="M1917" s="38" t="n">
        <v>102.343717345386</v>
      </c>
      <c r="N1917" s="38" t="n">
        <v>119.670191643247</v>
      </c>
      <c r="O1917" s="38" t="n">
        <v>63.9972175491808</v>
      </c>
      <c r="P1917" s="37" t="n">
        <v>0</v>
      </c>
      <c r="Q1917" s="38" t="n">
        <v>0</v>
      </c>
      <c r="R1917" s="38" t="n">
        <v>68.4516734949272</v>
      </c>
      <c r="S1917" s="37" t="n">
        <v>0</v>
      </c>
    </row>
    <row r="1918" customFormat="false" ht="15" hidden="false" customHeight="false" outlineLevel="0" collapsed="false">
      <c r="A1918" s="37" t="n">
        <v>10</v>
      </c>
      <c r="B1918" s="37" t="n">
        <v>5</v>
      </c>
      <c r="C1918" s="37" t="n">
        <v>5</v>
      </c>
      <c r="D1918" s="37" t="n">
        <v>0</v>
      </c>
      <c r="E1918" s="37" t="n">
        <v>5</v>
      </c>
      <c r="F1918" s="37" t="n">
        <v>5</v>
      </c>
      <c r="G1918" s="37" t="s">
        <v>197</v>
      </c>
      <c r="H1918" s="38" t="n">
        <v>198.959111382015</v>
      </c>
      <c r="I1918" s="38" t="n">
        <v>199.697826404096</v>
      </c>
      <c r="J1918" s="38" t="n">
        <v>213.841101719911</v>
      </c>
      <c r="K1918" s="38" t="n">
        <v>255.579210746214</v>
      </c>
      <c r="L1918" s="38" t="n">
        <v>93.4651322331853</v>
      </c>
      <c r="M1918" s="38" t="n">
        <v>105.100191573884</v>
      </c>
      <c r="N1918" s="38" t="n">
        <v>130.497860544143</v>
      </c>
      <c r="O1918" s="38" t="n">
        <v>70.9892041262103</v>
      </c>
      <c r="P1918" s="37" t="n">
        <v>0</v>
      </c>
      <c r="Q1918" s="38" t="n">
        <v>0</v>
      </c>
      <c r="R1918" s="38" t="n">
        <v>70.5</v>
      </c>
      <c r="S1918" s="37" t="n">
        <v>0</v>
      </c>
    </row>
    <row r="1919" customFormat="false" ht="15" hidden="false" customHeight="false" outlineLevel="0" collapsed="false">
      <c r="A1919" s="37" t="n">
        <v>10</v>
      </c>
      <c r="B1919" s="37" t="n">
        <v>5</v>
      </c>
      <c r="C1919" s="37" t="n">
        <v>5</v>
      </c>
      <c r="D1919" s="37" t="n">
        <v>0</v>
      </c>
      <c r="E1919" s="37" t="n">
        <v>5</v>
      </c>
      <c r="F1919" s="37" t="n">
        <v>5</v>
      </c>
      <c r="G1919" s="37" t="s">
        <v>196</v>
      </c>
      <c r="H1919" s="38" t="n">
        <v>198.959111382015</v>
      </c>
      <c r="I1919" s="38" t="n">
        <v>199.709758133928</v>
      </c>
      <c r="J1919" s="38" t="n">
        <v>213.973005491444</v>
      </c>
      <c r="K1919" s="38" t="n">
        <v>256.064290164228</v>
      </c>
      <c r="L1919" s="38" t="n">
        <v>99.1271750133963</v>
      </c>
      <c r="M1919" s="38" t="n">
        <v>105.149845786704</v>
      </c>
      <c r="N1919" s="38" t="n">
        <v>132.66930828905</v>
      </c>
      <c r="O1919" s="38" t="n">
        <v>73.1638244112805</v>
      </c>
      <c r="P1919" s="37" t="n">
        <v>0</v>
      </c>
      <c r="Q1919" s="38" t="n">
        <v>0</v>
      </c>
      <c r="R1919" s="38" t="n">
        <v>69.3884256971338</v>
      </c>
      <c r="S1919" s="37" t="n">
        <v>0</v>
      </c>
    </row>
    <row r="1920" customFormat="false" ht="15" hidden="false" customHeight="false" outlineLevel="0" collapsed="false">
      <c r="A1920" s="37" t="n">
        <v>10</v>
      </c>
      <c r="B1920" s="37" t="n">
        <v>5</v>
      </c>
      <c r="C1920" s="37" t="n">
        <v>5</v>
      </c>
      <c r="D1920" s="37" t="n">
        <v>0</v>
      </c>
      <c r="E1920" s="37" t="n">
        <v>10</v>
      </c>
      <c r="F1920" s="37" t="n">
        <v>0</v>
      </c>
      <c r="G1920" s="37" t="s">
        <v>188</v>
      </c>
      <c r="H1920" s="38" t="n">
        <v>198.953505926955</v>
      </c>
      <c r="I1920" s="38" t="n">
        <v>199.916910974705</v>
      </c>
      <c r="J1920" s="38" t="n">
        <v>219.201152469958</v>
      </c>
      <c r="K1920" s="38" t="n">
        <v>263.276683331436</v>
      </c>
      <c r="L1920" s="38" t="n">
        <v>59.8559966312677</v>
      </c>
      <c r="M1920" s="38" t="n">
        <v>106.712242508018</v>
      </c>
      <c r="N1920" s="38" t="n">
        <v>144.757988810076</v>
      </c>
      <c r="O1920" s="38" t="n">
        <v>73.7416767010137</v>
      </c>
      <c r="P1920" s="37" t="n">
        <v>0</v>
      </c>
      <c r="Q1920" s="38" t="n">
        <v>0</v>
      </c>
      <c r="R1920" s="38" t="n">
        <v>70.5</v>
      </c>
      <c r="S1920" s="37" t="n">
        <v>1</v>
      </c>
    </row>
    <row r="1921" customFormat="false" ht="15" hidden="false" customHeight="false" outlineLevel="0" collapsed="false">
      <c r="A1921" s="37" t="n">
        <v>10</v>
      </c>
      <c r="B1921" s="37" t="n">
        <v>5</v>
      </c>
      <c r="C1921" s="37" t="n">
        <v>5</v>
      </c>
      <c r="D1921" s="37" t="n">
        <v>0</v>
      </c>
      <c r="E1921" s="37" t="n">
        <v>10</v>
      </c>
      <c r="F1921" s="37" t="n">
        <v>0</v>
      </c>
      <c r="G1921" s="37" t="s">
        <v>192</v>
      </c>
      <c r="H1921" s="38" t="n">
        <v>198.953505926955</v>
      </c>
      <c r="I1921" s="38" t="n">
        <v>199.715907912513</v>
      </c>
      <c r="J1921" s="38" t="n">
        <v>215.600170943367</v>
      </c>
      <c r="K1921" s="38" t="n">
        <v>257.526687432901</v>
      </c>
      <c r="L1921" s="38" t="n">
        <v>56.1710889579832</v>
      </c>
      <c r="M1921" s="38" t="n">
        <v>101.857334901877</v>
      </c>
      <c r="N1921" s="38" t="n">
        <v>134.178059179252</v>
      </c>
      <c r="O1921" s="38" t="n">
        <v>70.5418780624834</v>
      </c>
      <c r="P1921" s="37" t="n">
        <v>0</v>
      </c>
      <c r="Q1921" s="38" t="n">
        <v>0</v>
      </c>
      <c r="R1921" s="38" t="n">
        <v>70.5</v>
      </c>
      <c r="S1921" s="37" t="n">
        <v>0</v>
      </c>
    </row>
    <row r="1922" customFormat="false" ht="15" hidden="false" customHeight="false" outlineLevel="0" collapsed="false">
      <c r="A1922" s="37" t="n">
        <v>10</v>
      </c>
      <c r="B1922" s="37" t="n">
        <v>5</v>
      </c>
      <c r="C1922" s="37" t="n">
        <v>5</v>
      </c>
      <c r="D1922" s="37" t="n">
        <v>0</v>
      </c>
      <c r="E1922" s="37" t="n">
        <v>10</v>
      </c>
      <c r="F1922" s="37" t="n">
        <v>0</v>
      </c>
      <c r="G1922" s="37" t="s">
        <v>195</v>
      </c>
      <c r="H1922" s="38" t="n">
        <v>198.953505926955</v>
      </c>
      <c r="I1922" s="38" t="n">
        <v>199.716660624491</v>
      </c>
      <c r="J1922" s="38" t="n">
        <v>209.837371443568</v>
      </c>
      <c r="K1922" s="38" t="n">
        <v>246.733981453212</v>
      </c>
      <c r="L1922" s="38" t="n">
        <v>47.5726891379149</v>
      </c>
      <c r="M1922" s="38" t="n">
        <v>102.940006624264</v>
      </c>
      <c r="N1922" s="38" t="n">
        <v>122.810960825845</v>
      </c>
      <c r="O1922" s="38" t="n">
        <v>63.3195150112315</v>
      </c>
      <c r="P1922" s="37" t="n">
        <v>0</v>
      </c>
      <c r="Q1922" s="38" t="n">
        <v>0</v>
      </c>
      <c r="R1922" s="38" t="n">
        <v>68.426612305411</v>
      </c>
      <c r="S1922" s="37" t="n">
        <v>0</v>
      </c>
    </row>
    <row r="1923" customFormat="false" ht="15" hidden="false" customHeight="false" outlineLevel="0" collapsed="false">
      <c r="A1923" s="37" t="n">
        <v>10</v>
      </c>
      <c r="B1923" s="37" t="n">
        <v>5</v>
      </c>
      <c r="C1923" s="37" t="n">
        <v>5</v>
      </c>
      <c r="D1923" s="37" t="n">
        <v>0</v>
      </c>
      <c r="E1923" s="37" t="n">
        <v>10</v>
      </c>
      <c r="F1923" s="37" t="n">
        <v>0</v>
      </c>
      <c r="G1923" s="37" t="s">
        <v>197</v>
      </c>
      <c r="H1923" s="38" t="n">
        <v>198.953505926955</v>
      </c>
      <c r="I1923" s="38" t="n">
        <v>199.737965934304</v>
      </c>
      <c r="J1923" s="38" t="n">
        <v>215.942530446294</v>
      </c>
      <c r="K1923" s="38" t="n">
        <v>258.256461230897</v>
      </c>
      <c r="L1923" s="38" t="n">
        <v>56.7514070363644</v>
      </c>
      <c r="M1923" s="38" t="n">
        <v>108.131827636218</v>
      </c>
      <c r="N1923" s="38" t="n">
        <v>141.692097181267</v>
      </c>
      <c r="O1923" s="38" t="n">
        <v>72.2939029721657</v>
      </c>
      <c r="P1923" s="37" t="n">
        <v>0</v>
      </c>
      <c r="Q1923" s="38" t="n">
        <v>0</v>
      </c>
      <c r="R1923" s="38" t="n">
        <v>70.5</v>
      </c>
      <c r="S1923" s="37" t="n">
        <v>0</v>
      </c>
    </row>
    <row r="1924" customFormat="false" ht="15" hidden="false" customHeight="false" outlineLevel="0" collapsed="false">
      <c r="A1924" s="37" t="n">
        <v>10</v>
      </c>
      <c r="B1924" s="37" t="n">
        <v>5</v>
      </c>
      <c r="C1924" s="37" t="n">
        <v>5</v>
      </c>
      <c r="D1924" s="37" t="n">
        <v>0</v>
      </c>
      <c r="E1924" s="37" t="n">
        <v>10</v>
      </c>
      <c r="F1924" s="37" t="n">
        <v>0</v>
      </c>
      <c r="G1924" s="37" t="s">
        <v>196</v>
      </c>
      <c r="H1924" s="38" t="n">
        <v>198.953505926955</v>
      </c>
      <c r="I1924" s="38" t="n">
        <v>199.734810086844</v>
      </c>
      <c r="J1924" s="38" t="n">
        <v>215.054430676361</v>
      </c>
      <c r="K1924" s="38" t="n">
        <v>257.38500257642</v>
      </c>
      <c r="L1924" s="38" t="n">
        <v>60.3770535934148</v>
      </c>
      <c r="M1924" s="38" t="n">
        <v>106.192938953646</v>
      </c>
      <c r="N1924" s="38" t="n">
        <v>137.311805609431</v>
      </c>
      <c r="O1924" s="38" t="n">
        <v>72.9267102672501</v>
      </c>
      <c r="P1924" s="37" t="n">
        <v>0</v>
      </c>
      <c r="Q1924" s="38" t="n">
        <v>0</v>
      </c>
      <c r="R1924" s="38" t="n">
        <v>69.3714255774122</v>
      </c>
      <c r="S1924" s="37" t="n">
        <v>0</v>
      </c>
    </row>
    <row r="1925" customFormat="false" ht="15" hidden="false" customHeight="false" outlineLevel="0" collapsed="false">
      <c r="A1925" s="37" t="n">
        <v>10</v>
      </c>
      <c r="B1925" s="37" t="n">
        <v>5</v>
      </c>
      <c r="C1925" s="37" t="n">
        <v>5</v>
      </c>
      <c r="D1925" s="37" t="n">
        <v>5</v>
      </c>
      <c r="E1925" s="37" t="n">
        <v>0</v>
      </c>
      <c r="F1925" s="37" t="n">
        <v>5</v>
      </c>
      <c r="G1925" s="37" t="s">
        <v>188</v>
      </c>
      <c r="H1925" s="38" t="n">
        <v>199.14130419792</v>
      </c>
      <c r="I1925" s="38" t="n">
        <v>201.239903008327</v>
      </c>
      <c r="J1925" s="38" t="n">
        <v>226.766491665485</v>
      </c>
      <c r="K1925" s="38" t="n">
        <v>265.250114808281</v>
      </c>
      <c r="L1925" s="38" t="n">
        <v>102.625861658873</v>
      </c>
      <c r="M1925" s="38" t="n">
        <v>107.281536970471</v>
      </c>
      <c r="N1925" s="38" t="n">
        <v>146.984971246108</v>
      </c>
      <c r="O1925" s="38" t="n">
        <v>80.8073681653545</v>
      </c>
      <c r="P1925" s="37" t="n">
        <v>0</v>
      </c>
      <c r="Q1925" s="38" t="n">
        <v>0</v>
      </c>
      <c r="R1925" s="38" t="n">
        <v>72</v>
      </c>
      <c r="S1925" s="37" t="n">
        <v>1</v>
      </c>
    </row>
    <row r="1926" customFormat="false" ht="15" hidden="false" customHeight="false" outlineLevel="0" collapsed="false">
      <c r="A1926" s="37" t="n">
        <v>10</v>
      </c>
      <c r="B1926" s="37" t="n">
        <v>5</v>
      </c>
      <c r="C1926" s="37" t="n">
        <v>5</v>
      </c>
      <c r="D1926" s="37" t="n">
        <v>5</v>
      </c>
      <c r="E1926" s="37" t="n">
        <v>0</v>
      </c>
      <c r="F1926" s="37" t="n">
        <v>5</v>
      </c>
      <c r="G1926" s="37" t="s">
        <v>192</v>
      </c>
      <c r="H1926" s="38" t="n">
        <v>199.14130419792</v>
      </c>
      <c r="I1926" s="38" t="n">
        <v>200.997625942028</v>
      </c>
      <c r="J1926" s="38" t="n">
        <v>221.907177262513</v>
      </c>
      <c r="K1926" s="38" t="n">
        <v>257.753619227869</v>
      </c>
      <c r="L1926" s="38" t="n">
        <v>96.8830910491163</v>
      </c>
      <c r="M1926" s="38" t="n">
        <v>102.245042159141</v>
      </c>
      <c r="N1926" s="38" t="n">
        <v>135.437827242511</v>
      </c>
      <c r="O1926" s="38" t="n">
        <v>76.9381555079174</v>
      </c>
      <c r="P1926" s="37" t="n">
        <v>0</v>
      </c>
      <c r="Q1926" s="38" t="n">
        <v>0</v>
      </c>
      <c r="R1926" s="38" t="n">
        <v>72</v>
      </c>
      <c r="S1926" s="37" t="n">
        <v>0</v>
      </c>
    </row>
    <row r="1927" customFormat="false" ht="15" hidden="false" customHeight="false" outlineLevel="0" collapsed="false">
      <c r="A1927" s="37" t="n">
        <v>10</v>
      </c>
      <c r="B1927" s="37" t="n">
        <v>5</v>
      </c>
      <c r="C1927" s="37" t="n">
        <v>5</v>
      </c>
      <c r="D1927" s="37" t="n">
        <v>5</v>
      </c>
      <c r="E1927" s="37" t="n">
        <v>0</v>
      </c>
      <c r="F1927" s="37" t="n">
        <v>5</v>
      </c>
      <c r="G1927" s="37" t="s">
        <v>195</v>
      </c>
      <c r="H1927" s="38" t="n">
        <v>199.14130419792</v>
      </c>
      <c r="I1927" s="38" t="n">
        <v>201.067930135965</v>
      </c>
      <c r="J1927" s="38" t="n">
        <v>220.221028368339</v>
      </c>
      <c r="K1927" s="38" t="n">
        <v>253.176292173601</v>
      </c>
      <c r="L1927" s="38" t="n">
        <v>95.6622488981116</v>
      </c>
      <c r="M1927" s="38" t="n">
        <v>104.882417278674</v>
      </c>
      <c r="N1927" s="38" t="n">
        <v>133.730956644081</v>
      </c>
      <c r="O1927" s="38" t="n">
        <v>74.8663913726863</v>
      </c>
      <c r="P1927" s="37" t="n">
        <v>0</v>
      </c>
      <c r="Q1927" s="38" t="n">
        <v>0</v>
      </c>
      <c r="R1927" s="38" t="n">
        <v>70.4207870173532</v>
      </c>
      <c r="S1927" s="37" t="n">
        <v>0</v>
      </c>
    </row>
    <row r="1928" customFormat="false" ht="15" hidden="false" customHeight="false" outlineLevel="0" collapsed="false">
      <c r="A1928" s="37" t="n">
        <v>10</v>
      </c>
      <c r="B1928" s="37" t="n">
        <v>5</v>
      </c>
      <c r="C1928" s="37" t="n">
        <v>5</v>
      </c>
      <c r="D1928" s="37" t="n">
        <v>5</v>
      </c>
      <c r="E1928" s="37" t="n">
        <v>0</v>
      </c>
      <c r="F1928" s="37" t="n">
        <v>5</v>
      </c>
      <c r="G1928" s="37" t="s">
        <v>197</v>
      </c>
      <c r="H1928" s="38" t="n">
        <v>199.14130419792</v>
      </c>
      <c r="I1928" s="38" t="n">
        <v>200.985689372711</v>
      </c>
      <c r="J1928" s="38" t="n">
        <v>220.500599615244</v>
      </c>
      <c r="K1928" s="38" t="n">
        <v>255.881607912062</v>
      </c>
      <c r="L1928" s="38" t="n">
        <v>93.535369030129</v>
      </c>
      <c r="M1928" s="38" t="n">
        <v>102.79888523914</v>
      </c>
      <c r="N1928" s="38" t="n">
        <v>126.027161063113</v>
      </c>
      <c r="O1928" s="38" t="n">
        <v>72.7605702235026</v>
      </c>
      <c r="P1928" s="37" t="n">
        <v>0</v>
      </c>
      <c r="Q1928" s="38" t="n">
        <v>0</v>
      </c>
      <c r="R1928" s="38" t="n">
        <v>72</v>
      </c>
      <c r="S1928" s="37" t="n">
        <v>0</v>
      </c>
    </row>
    <row r="1929" customFormat="false" ht="15" hidden="false" customHeight="false" outlineLevel="0" collapsed="false">
      <c r="A1929" s="37" t="n">
        <v>10</v>
      </c>
      <c r="B1929" s="37" t="n">
        <v>5</v>
      </c>
      <c r="C1929" s="37" t="n">
        <v>5</v>
      </c>
      <c r="D1929" s="37" t="n">
        <v>5</v>
      </c>
      <c r="E1929" s="37" t="n">
        <v>0</v>
      </c>
      <c r="F1929" s="37" t="n">
        <v>5</v>
      </c>
      <c r="G1929" s="37" t="s">
        <v>196</v>
      </c>
      <c r="H1929" s="38" t="n">
        <v>199.14130419792</v>
      </c>
      <c r="I1929" s="38" t="n">
        <v>201.0051547278</v>
      </c>
      <c r="J1929" s="38" t="n">
        <v>221.537688209508</v>
      </c>
      <c r="K1929" s="38" t="n">
        <v>257.548024216106</v>
      </c>
      <c r="L1929" s="38" t="n">
        <v>101.089827512509</v>
      </c>
      <c r="M1929" s="38" t="n">
        <v>105.997960989294</v>
      </c>
      <c r="N1929" s="38" t="n">
        <v>137.027239451893</v>
      </c>
      <c r="O1929" s="38" t="n">
        <v>77.6454925076818</v>
      </c>
      <c r="P1929" s="37" t="n">
        <v>0</v>
      </c>
      <c r="Q1929" s="38" t="n">
        <v>0</v>
      </c>
      <c r="R1929" s="38" t="n">
        <v>71.0033661244702</v>
      </c>
      <c r="S1929" s="37" t="n">
        <v>0</v>
      </c>
    </row>
    <row r="1930" customFormat="false" ht="15" hidden="false" customHeight="false" outlineLevel="0" collapsed="false">
      <c r="A1930" s="37" t="n">
        <v>10</v>
      </c>
      <c r="B1930" s="37" t="n">
        <v>5</v>
      </c>
      <c r="C1930" s="37" t="n">
        <v>5</v>
      </c>
      <c r="D1930" s="37" t="n">
        <v>5</v>
      </c>
      <c r="E1930" s="37" t="n">
        <v>5</v>
      </c>
      <c r="F1930" s="37" t="n">
        <v>0</v>
      </c>
      <c r="G1930" s="37" t="s">
        <v>188</v>
      </c>
      <c r="H1930" s="38" t="n">
        <v>199.084803077993</v>
      </c>
      <c r="I1930" s="38" t="n">
        <v>200.865273787611</v>
      </c>
      <c r="J1930" s="38" t="n">
        <v>226.561428681814</v>
      </c>
      <c r="K1930" s="38" t="n">
        <v>262.973472122809</v>
      </c>
      <c r="L1930" s="38" t="n">
        <v>60.2779672781639</v>
      </c>
      <c r="M1930" s="38" t="n">
        <v>106.894892497423</v>
      </c>
      <c r="N1930" s="38" t="n">
        <v>149.44275105483</v>
      </c>
      <c r="O1930" s="38" t="n">
        <v>79.3473094487929</v>
      </c>
      <c r="P1930" s="37" t="n">
        <v>0</v>
      </c>
      <c r="Q1930" s="38" t="n">
        <v>0</v>
      </c>
      <c r="R1930" s="38" t="n">
        <v>72</v>
      </c>
      <c r="S1930" s="37" t="n">
        <v>1</v>
      </c>
    </row>
    <row r="1931" customFormat="false" ht="15" hidden="false" customHeight="false" outlineLevel="0" collapsed="false">
      <c r="A1931" s="37" t="n">
        <v>10</v>
      </c>
      <c r="B1931" s="37" t="n">
        <v>5</v>
      </c>
      <c r="C1931" s="37" t="n">
        <v>5</v>
      </c>
      <c r="D1931" s="37" t="n">
        <v>5</v>
      </c>
      <c r="E1931" s="37" t="n">
        <v>5</v>
      </c>
      <c r="F1931" s="37" t="n">
        <v>0</v>
      </c>
      <c r="G1931" s="37" t="s">
        <v>192</v>
      </c>
      <c r="H1931" s="38" t="n">
        <v>199.084803077993</v>
      </c>
      <c r="I1931" s="38" t="n">
        <v>200.646534274289</v>
      </c>
      <c r="J1931" s="38" t="n">
        <v>222.150178505562</v>
      </c>
      <c r="K1931" s="38" t="n">
        <v>256.172156682</v>
      </c>
      <c r="L1931" s="38" t="n">
        <v>55.1858345296635</v>
      </c>
      <c r="M1931" s="38" t="n">
        <v>102.00885625762</v>
      </c>
      <c r="N1931" s="38" t="n">
        <v>138.171985806601</v>
      </c>
      <c r="O1931" s="38" t="n">
        <v>75.4321291680234</v>
      </c>
      <c r="P1931" s="37" t="n">
        <v>0</v>
      </c>
      <c r="Q1931" s="38" t="n">
        <v>0</v>
      </c>
      <c r="R1931" s="38" t="n">
        <v>72</v>
      </c>
      <c r="S1931" s="37" t="n">
        <v>0</v>
      </c>
    </row>
    <row r="1932" customFormat="false" ht="15" hidden="false" customHeight="false" outlineLevel="0" collapsed="false">
      <c r="A1932" s="37" t="n">
        <v>10</v>
      </c>
      <c r="B1932" s="37" t="n">
        <v>5</v>
      </c>
      <c r="C1932" s="37" t="n">
        <v>5</v>
      </c>
      <c r="D1932" s="37" t="n">
        <v>5</v>
      </c>
      <c r="E1932" s="37" t="n">
        <v>5</v>
      </c>
      <c r="F1932" s="37" t="n">
        <v>0</v>
      </c>
      <c r="G1932" s="37" t="s">
        <v>195</v>
      </c>
      <c r="H1932" s="38" t="n">
        <v>199.084803077993</v>
      </c>
      <c r="I1932" s="38" t="n">
        <v>200.71430823051</v>
      </c>
      <c r="J1932" s="38" t="n">
        <v>220.154500225604</v>
      </c>
      <c r="K1932" s="38" t="n">
        <v>251.125385418889</v>
      </c>
      <c r="L1932" s="38" t="n">
        <v>53.3756319827494</v>
      </c>
      <c r="M1932" s="38" t="n">
        <v>104.679550240368</v>
      </c>
      <c r="N1932" s="38" t="n">
        <v>136.175151033963</v>
      </c>
      <c r="O1932" s="38" t="n">
        <v>73.4470498787464</v>
      </c>
      <c r="P1932" s="37" t="n">
        <v>0</v>
      </c>
      <c r="Q1932" s="38" t="n">
        <v>0</v>
      </c>
      <c r="R1932" s="38" t="n">
        <v>70.3500739691582</v>
      </c>
      <c r="S1932" s="37" t="n">
        <v>0</v>
      </c>
    </row>
    <row r="1933" customFormat="false" ht="15" hidden="false" customHeight="false" outlineLevel="0" collapsed="false">
      <c r="A1933" s="37" t="n">
        <v>10</v>
      </c>
      <c r="B1933" s="37" t="n">
        <v>5</v>
      </c>
      <c r="C1933" s="37" t="n">
        <v>5</v>
      </c>
      <c r="D1933" s="37" t="n">
        <v>5</v>
      </c>
      <c r="E1933" s="37" t="n">
        <v>5</v>
      </c>
      <c r="F1933" s="37" t="n">
        <v>0</v>
      </c>
      <c r="G1933" s="37" t="s">
        <v>197</v>
      </c>
      <c r="H1933" s="38" t="n">
        <v>199.084803077993</v>
      </c>
      <c r="I1933" s="38" t="n">
        <v>200.645036286153</v>
      </c>
      <c r="J1933" s="38" t="n">
        <v>221.392521670227</v>
      </c>
      <c r="K1933" s="38" t="n">
        <v>255.263726904756</v>
      </c>
      <c r="L1933" s="38" t="n">
        <v>53.3378519439823</v>
      </c>
      <c r="M1933" s="38" t="n">
        <v>105.822709332435</v>
      </c>
      <c r="N1933" s="38" t="n">
        <v>137.803640967705</v>
      </c>
      <c r="O1933" s="38" t="n">
        <v>75.2659180666005</v>
      </c>
      <c r="P1933" s="37" t="n">
        <v>0</v>
      </c>
      <c r="Q1933" s="38" t="n">
        <v>0</v>
      </c>
      <c r="R1933" s="38" t="n">
        <v>72</v>
      </c>
      <c r="S1933" s="37" t="n">
        <v>0</v>
      </c>
    </row>
    <row r="1934" customFormat="false" ht="15" hidden="false" customHeight="false" outlineLevel="0" collapsed="false">
      <c r="A1934" s="37" t="n">
        <v>10</v>
      </c>
      <c r="B1934" s="37" t="n">
        <v>5</v>
      </c>
      <c r="C1934" s="37" t="n">
        <v>5</v>
      </c>
      <c r="D1934" s="37" t="n">
        <v>5</v>
      </c>
      <c r="E1934" s="37" t="n">
        <v>5</v>
      </c>
      <c r="F1934" s="37" t="n">
        <v>0</v>
      </c>
      <c r="G1934" s="37" t="s">
        <v>196</v>
      </c>
      <c r="H1934" s="38" t="n">
        <v>199.084803077993</v>
      </c>
      <c r="I1934" s="38" t="n">
        <v>200.663165182127</v>
      </c>
      <c r="J1934" s="38" t="n">
        <v>221.680587165634</v>
      </c>
      <c r="K1934" s="38" t="n">
        <v>255.96908498774</v>
      </c>
      <c r="L1934" s="38" t="n">
        <v>59.0209039340496</v>
      </c>
      <c r="M1934" s="38" t="n">
        <v>106.422536811315</v>
      </c>
      <c r="N1934" s="38" t="n">
        <v>141.419947466591</v>
      </c>
      <c r="O1934" s="38" t="n">
        <v>77.2389289653928</v>
      </c>
      <c r="P1934" s="37" t="n">
        <v>0</v>
      </c>
      <c r="Q1934" s="38" t="n">
        <v>0</v>
      </c>
      <c r="R1934" s="38" t="n">
        <v>70.8857698804477</v>
      </c>
      <c r="S1934" s="37" t="n">
        <v>0</v>
      </c>
    </row>
    <row r="1935" customFormat="false" ht="15" hidden="false" customHeight="false" outlineLevel="0" collapsed="false">
      <c r="A1935" s="37" t="n">
        <v>10</v>
      </c>
      <c r="B1935" s="37" t="n">
        <v>5</v>
      </c>
      <c r="C1935" s="37" t="n">
        <v>5</v>
      </c>
      <c r="D1935" s="37" t="n">
        <v>10</v>
      </c>
      <c r="E1935" s="37" t="n">
        <v>0</v>
      </c>
      <c r="F1935" s="37" t="n">
        <v>0</v>
      </c>
      <c r="G1935" s="37" t="s">
        <v>188</v>
      </c>
      <c r="H1935" s="38" t="n">
        <v>199.336594917525</v>
      </c>
      <c r="I1935" s="38" t="n">
        <v>202.235975523148</v>
      </c>
      <c r="J1935" s="38" t="n">
        <v>232.041590355044</v>
      </c>
      <c r="K1935" s="38" t="n">
        <v>268.046237535854</v>
      </c>
      <c r="L1935" s="38" t="n">
        <v>66.0210954116868</v>
      </c>
      <c r="M1935" s="38" t="n">
        <v>108.171555761903</v>
      </c>
      <c r="N1935" s="38" t="n">
        <v>150.957365170929</v>
      </c>
      <c r="O1935" s="38" t="n">
        <v>82.0128007538975</v>
      </c>
      <c r="P1935" s="37" t="n">
        <v>0</v>
      </c>
      <c r="Q1935" s="38" t="n">
        <v>0</v>
      </c>
      <c r="R1935" s="38" t="n">
        <v>72</v>
      </c>
      <c r="S1935" s="37" t="n">
        <v>1</v>
      </c>
    </row>
    <row r="1936" customFormat="false" ht="15" hidden="false" customHeight="false" outlineLevel="0" collapsed="false">
      <c r="A1936" s="37" t="n">
        <v>10</v>
      </c>
      <c r="B1936" s="37" t="n">
        <v>5</v>
      </c>
      <c r="C1936" s="37" t="n">
        <v>5</v>
      </c>
      <c r="D1936" s="37" t="n">
        <v>10</v>
      </c>
      <c r="E1936" s="37" t="n">
        <v>0</v>
      </c>
      <c r="F1936" s="37" t="n">
        <v>0</v>
      </c>
      <c r="G1936" s="37" t="s">
        <v>192</v>
      </c>
      <c r="H1936" s="38" t="n">
        <v>199.336594917525</v>
      </c>
      <c r="I1936" s="38" t="n">
        <v>201.981851755525</v>
      </c>
      <c r="J1936" s="38" t="n">
        <v>227.226507948535</v>
      </c>
      <c r="K1936" s="38" t="n">
        <v>260.307852124535</v>
      </c>
      <c r="L1936" s="38" t="n">
        <v>59.6938940411293</v>
      </c>
      <c r="M1936" s="38" t="n">
        <v>103.124218077576</v>
      </c>
      <c r="N1936" s="38" t="n">
        <v>140.365817095277</v>
      </c>
      <c r="O1936" s="38" t="n">
        <v>78.0988204434205</v>
      </c>
      <c r="P1936" s="37" t="n">
        <v>0</v>
      </c>
      <c r="Q1936" s="38" t="n">
        <v>0</v>
      </c>
      <c r="R1936" s="38" t="n">
        <v>72</v>
      </c>
      <c r="S1936" s="37" t="n">
        <v>0</v>
      </c>
    </row>
    <row r="1937" customFormat="false" ht="15" hidden="false" customHeight="false" outlineLevel="0" collapsed="false">
      <c r="A1937" s="37" t="n">
        <v>10</v>
      </c>
      <c r="B1937" s="37" t="n">
        <v>5</v>
      </c>
      <c r="C1937" s="37" t="n">
        <v>5</v>
      </c>
      <c r="D1937" s="37" t="n">
        <v>10</v>
      </c>
      <c r="E1937" s="37" t="n">
        <v>0</v>
      </c>
      <c r="F1937" s="37" t="n">
        <v>0</v>
      </c>
      <c r="G1937" s="37" t="s">
        <v>195</v>
      </c>
      <c r="H1937" s="38" t="n">
        <v>199.336594917525</v>
      </c>
      <c r="I1937" s="38" t="n">
        <v>202.13670451872</v>
      </c>
      <c r="J1937" s="38" t="n">
        <v>227.58422658756</v>
      </c>
      <c r="K1937" s="38" t="n">
        <v>261.465834901732</v>
      </c>
      <c r="L1937" s="38" t="n">
        <v>68.2158349017318</v>
      </c>
      <c r="M1937" s="38" t="n">
        <v>107.08463746613</v>
      </c>
      <c r="N1937" s="38" t="n">
        <v>145.463636855328</v>
      </c>
      <c r="O1937" s="38" t="n">
        <v>78.311816405665</v>
      </c>
      <c r="P1937" s="37" t="n">
        <v>0</v>
      </c>
      <c r="Q1937" s="38" t="n">
        <v>0</v>
      </c>
      <c r="R1937" s="38" t="n">
        <v>67.4586743861826</v>
      </c>
      <c r="S1937" s="37" t="n">
        <v>0</v>
      </c>
    </row>
    <row r="1938" customFormat="false" ht="15" hidden="false" customHeight="false" outlineLevel="0" collapsed="false">
      <c r="A1938" s="37" t="n">
        <v>10</v>
      </c>
      <c r="B1938" s="37" t="n">
        <v>5</v>
      </c>
      <c r="C1938" s="37" t="n">
        <v>5</v>
      </c>
      <c r="D1938" s="37" t="n">
        <v>10</v>
      </c>
      <c r="E1938" s="37" t="n">
        <v>0</v>
      </c>
      <c r="F1938" s="37" t="n">
        <v>0</v>
      </c>
      <c r="G1938" s="37" t="s">
        <v>197</v>
      </c>
      <c r="H1938" s="38" t="n">
        <v>199.336594917525</v>
      </c>
      <c r="I1938" s="38" t="n">
        <v>201.970078003749</v>
      </c>
      <c r="J1938" s="38" t="n">
        <v>225.899072995515</v>
      </c>
      <c r="K1938" s="38" t="n">
        <v>258.545646061285</v>
      </c>
      <c r="L1938" s="38" t="n">
        <v>56.3908871256395</v>
      </c>
      <c r="M1938" s="38" t="n">
        <v>103.754389672714</v>
      </c>
      <c r="N1938" s="38" t="n">
        <v>131.221150481693</v>
      </c>
      <c r="O1938" s="38" t="n">
        <v>74.3076907537293</v>
      </c>
      <c r="P1938" s="37" t="n">
        <v>0</v>
      </c>
      <c r="Q1938" s="38" t="n">
        <v>0</v>
      </c>
      <c r="R1938" s="38" t="n">
        <v>72</v>
      </c>
      <c r="S1938" s="37" t="n">
        <v>0</v>
      </c>
    </row>
    <row r="1939" customFormat="false" ht="15" hidden="false" customHeight="false" outlineLevel="0" collapsed="false">
      <c r="A1939" s="37" t="n">
        <v>10</v>
      </c>
      <c r="B1939" s="37" t="n">
        <v>5</v>
      </c>
      <c r="C1939" s="37" t="n">
        <v>5</v>
      </c>
      <c r="D1939" s="37" t="n">
        <v>10</v>
      </c>
      <c r="E1939" s="37" t="n">
        <v>0</v>
      </c>
      <c r="F1939" s="37" t="n">
        <v>0</v>
      </c>
      <c r="G1939" s="37" t="s">
        <v>196</v>
      </c>
      <c r="H1939" s="38" t="n">
        <v>199.336594917525</v>
      </c>
      <c r="I1939" s="38" t="n">
        <v>201.989801234691</v>
      </c>
      <c r="J1939" s="38" t="n">
        <v>227.016370057429</v>
      </c>
      <c r="K1939" s="38" t="n">
        <v>260.27097177007</v>
      </c>
      <c r="L1939" s="38" t="n">
        <v>64.1193416749381</v>
      </c>
      <c r="M1939" s="38" t="n">
        <v>107.336623736232</v>
      </c>
      <c r="N1939" s="38" t="n">
        <v>143.033618201461</v>
      </c>
      <c r="O1939" s="38" t="n">
        <v>78.8579564240761</v>
      </c>
      <c r="P1939" s="37" t="n">
        <v>0</v>
      </c>
      <c r="Q1939" s="38" t="n">
        <v>0</v>
      </c>
      <c r="R1939" s="38" t="n">
        <v>71.0769421105016</v>
      </c>
      <c r="S1939" s="37" t="n">
        <v>0</v>
      </c>
    </row>
    <row r="1940" customFormat="false" ht="15" hidden="false" customHeight="false" outlineLevel="0" collapsed="false">
      <c r="A1940" s="37" t="n">
        <v>10</v>
      </c>
      <c r="B1940" s="37" t="n">
        <v>5</v>
      </c>
      <c r="C1940" s="37" t="n">
        <v>10</v>
      </c>
      <c r="D1940" s="37" t="n">
        <v>0</v>
      </c>
      <c r="E1940" s="37" t="n">
        <v>0</v>
      </c>
      <c r="F1940" s="37" t="n">
        <v>5</v>
      </c>
      <c r="G1940" s="37" t="s">
        <v>188</v>
      </c>
      <c r="H1940" s="38" t="n">
        <v>199.172018692055</v>
      </c>
      <c r="I1940" s="38" t="n">
        <v>203.229770673135</v>
      </c>
      <c r="J1940" s="38" t="n">
        <v>232.002582893265</v>
      </c>
      <c r="K1940" s="38" t="n">
        <v>288.936944995576</v>
      </c>
      <c r="L1940" s="38" t="n">
        <v>126.798022699973</v>
      </c>
      <c r="M1940" s="38" t="n">
        <v>113.367497918696</v>
      </c>
      <c r="N1940" s="38" t="n">
        <v>156.970987489664</v>
      </c>
      <c r="O1940" s="38" t="n">
        <v>80.5923304883502</v>
      </c>
      <c r="P1940" s="37" t="n">
        <v>0</v>
      </c>
      <c r="Q1940" s="38" t="n">
        <v>0</v>
      </c>
      <c r="R1940" s="38" t="n">
        <v>70.5</v>
      </c>
      <c r="S1940" s="37" t="n">
        <v>1</v>
      </c>
    </row>
    <row r="1941" customFormat="false" ht="15" hidden="false" customHeight="false" outlineLevel="0" collapsed="false">
      <c r="A1941" s="37" t="n">
        <v>10</v>
      </c>
      <c r="B1941" s="37" t="n">
        <v>5</v>
      </c>
      <c r="C1941" s="37" t="n">
        <v>10</v>
      </c>
      <c r="D1941" s="37" t="n">
        <v>0</v>
      </c>
      <c r="E1941" s="37" t="n">
        <v>0</v>
      </c>
      <c r="F1941" s="37" t="n">
        <v>5</v>
      </c>
      <c r="G1941" s="37" t="s">
        <v>192</v>
      </c>
      <c r="H1941" s="38" t="n">
        <v>199.172018692055</v>
      </c>
      <c r="I1941" s="38" t="n">
        <v>202.896456898704</v>
      </c>
      <c r="J1941" s="38" t="n">
        <v>234.550720297962</v>
      </c>
      <c r="K1941" s="38" t="n">
        <v>283.732147013857</v>
      </c>
      <c r="L1941" s="38" t="n">
        <v>111.998295718984</v>
      </c>
      <c r="M1941" s="38" t="n">
        <v>108.086358439674</v>
      </c>
      <c r="N1941" s="38" t="n">
        <v>149.90397284041</v>
      </c>
      <c r="O1941" s="38" t="n">
        <v>78.1265884531806</v>
      </c>
      <c r="P1941" s="37" t="n">
        <v>0</v>
      </c>
      <c r="Q1941" s="38" t="n">
        <v>0</v>
      </c>
      <c r="R1941" s="38" t="n">
        <v>70.5</v>
      </c>
      <c r="S1941" s="37" t="n">
        <v>0</v>
      </c>
    </row>
    <row r="1942" customFormat="false" ht="15" hidden="false" customHeight="false" outlineLevel="0" collapsed="false">
      <c r="A1942" s="37" t="n">
        <v>10</v>
      </c>
      <c r="B1942" s="37" t="n">
        <v>5</v>
      </c>
      <c r="C1942" s="37" t="n">
        <v>10</v>
      </c>
      <c r="D1942" s="37" t="n">
        <v>0</v>
      </c>
      <c r="E1942" s="37" t="n">
        <v>0</v>
      </c>
      <c r="F1942" s="37" t="n">
        <v>5</v>
      </c>
      <c r="G1942" s="37" t="s">
        <v>195</v>
      </c>
      <c r="H1942" s="38" t="n">
        <v>199.172018692055</v>
      </c>
      <c r="I1942" s="38" t="n">
        <v>202.918337448676</v>
      </c>
      <c r="J1942" s="38" t="n">
        <v>221.69698243814</v>
      </c>
      <c r="K1942" s="38" t="n">
        <v>270.474001789518</v>
      </c>
      <c r="L1942" s="38" t="n">
        <v>111.822679930742</v>
      </c>
      <c r="M1942" s="38" t="n">
        <v>109.09617806159</v>
      </c>
      <c r="N1942" s="38" t="n">
        <v>135.361956983524</v>
      </c>
      <c r="O1942" s="38" t="n">
        <v>71.4378496910806</v>
      </c>
      <c r="P1942" s="37" t="n">
        <v>0</v>
      </c>
      <c r="Q1942" s="38" t="n">
        <v>0</v>
      </c>
      <c r="R1942" s="38" t="n">
        <v>68.5796034423672</v>
      </c>
      <c r="S1942" s="37" t="n">
        <v>0</v>
      </c>
    </row>
    <row r="1943" customFormat="false" ht="15" hidden="false" customHeight="false" outlineLevel="0" collapsed="false">
      <c r="A1943" s="37" t="n">
        <v>10</v>
      </c>
      <c r="B1943" s="37" t="n">
        <v>5</v>
      </c>
      <c r="C1943" s="37" t="n">
        <v>10</v>
      </c>
      <c r="D1943" s="37" t="n">
        <v>0</v>
      </c>
      <c r="E1943" s="37" t="n">
        <v>0</v>
      </c>
      <c r="F1943" s="37" t="n">
        <v>5</v>
      </c>
      <c r="G1943" s="37" t="s">
        <v>197</v>
      </c>
      <c r="H1943" s="38" t="n">
        <v>199.172018692055</v>
      </c>
      <c r="I1943" s="38" t="n">
        <v>202.86906291294</v>
      </c>
      <c r="J1943" s="38" t="n">
        <v>224.822856497342</v>
      </c>
      <c r="K1943" s="38" t="n">
        <v>277.469735874933</v>
      </c>
      <c r="L1943" s="38" t="n">
        <v>114.998262673945</v>
      </c>
      <c r="M1943" s="38" t="n">
        <v>106.750738339351</v>
      </c>
      <c r="N1943" s="38" t="n">
        <v>131.013837932891</v>
      </c>
      <c r="O1943" s="38" t="n">
        <v>71.599347821939</v>
      </c>
      <c r="P1943" s="37" t="n">
        <v>0</v>
      </c>
      <c r="Q1943" s="38" t="n">
        <v>0</v>
      </c>
      <c r="R1943" s="38" t="n">
        <v>70.5</v>
      </c>
      <c r="S1943" s="37" t="n">
        <v>0</v>
      </c>
    </row>
    <row r="1944" customFormat="false" ht="15" hidden="false" customHeight="false" outlineLevel="0" collapsed="false">
      <c r="A1944" s="37" t="n">
        <v>10</v>
      </c>
      <c r="B1944" s="37" t="n">
        <v>5</v>
      </c>
      <c r="C1944" s="37" t="n">
        <v>10</v>
      </c>
      <c r="D1944" s="37" t="n">
        <v>0</v>
      </c>
      <c r="E1944" s="37" t="n">
        <v>0</v>
      </c>
      <c r="F1944" s="37" t="n">
        <v>5</v>
      </c>
      <c r="G1944" s="37" t="s">
        <v>196</v>
      </c>
      <c r="H1944" s="38" t="n">
        <v>199.172018692055</v>
      </c>
      <c r="I1944" s="38" t="n">
        <v>202.903797366484</v>
      </c>
      <c r="J1944" s="38" t="n">
        <v>225.77516635343</v>
      </c>
      <c r="K1944" s="38" t="n">
        <v>279.14295140334</v>
      </c>
      <c r="L1944" s="38" t="n">
        <v>122.562303996099</v>
      </c>
      <c r="M1944" s="38" t="n">
        <v>110.112239582627</v>
      </c>
      <c r="N1944" s="38" t="n">
        <v>142.229260176393</v>
      </c>
      <c r="O1944" s="38" t="n">
        <v>77.436634877266</v>
      </c>
      <c r="P1944" s="37" t="n">
        <v>0</v>
      </c>
      <c r="Q1944" s="38" t="n">
        <v>0</v>
      </c>
      <c r="R1944" s="38" t="n">
        <v>69.4739779555955</v>
      </c>
      <c r="S1944" s="37" t="n">
        <v>0</v>
      </c>
    </row>
    <row r="1945" customFormat="false" ht="15" hidden="false" customHeight="false" outlineLevel="0" collapsed="false">
      <c r="A1945" s="37" t="n">
        <v>10</v>
      </c>
      <c r="B1945" s="37" t="n">
        <v>5</v>
      </c>
      <c r="C1945" s="37" t="n">
        <v>10</v>
      </c>
      <c r="D1945" s="37" t="n">
        <v>0</v>
      </c>
      <c r="E1945" s="37" t="n">
        <v>5</v>
      </c>
      <c r="F1945" s="37" t="n">
        <v>0</v>
      </c>
      <c r="G1945" s="37" t="s">
        <v>188</v>
      </c>
      <c r="H1945" s="38" t="n">
        <v>199.129993476823</v>
      </c>
      <c r="I1945" s="38" t="n">
        <v>202.80114646454</v>
      </c>
      <c r="J1945" s="38" t="n">
        <v>232.487957434129</v>
      </c>
      <c r="K1945" s="38" t="n">
        <v>287.660982905253</v>
      </c>
      <c r="L1945" s="38" t="n">
        <v>85.578049954208</v>
      </c>
      <c r="M1945" s="38" t="n">
        <v>112.777829393866</v>
      </c>
      <c r="N1945" s="38" t="n">
        <v>160.278320823818</v>
      </c>
      <c r="O1945" s="38" t="n">
        <v>79.6307903303865</v>
      </c>
      <c r="P1945" s="37" t="n">
        <v>0</v>
      </c>
      <c r="Q1945" s="38" t="n">
        <v>0</v>
      </c>
      <c r="R1945" s="38" t="n">
        <v>70.5</v>
      </c>
      <c r="S1945" s="37" t="n">
        <v>1</v>
      </c>
    </row>
    <row r="1946" customFormat="false" ht="15" hidden="false" customHeight="false" outlineLevel="0" collapsed="false">
      <c r="A1946" s="37" t="n">
        <v>10</v>
      </c>
      <c r="B1946" s="37" t="n">
        <v>5</v>
      </c>
      <c r="C1946" s="37" t="n">
        <v>10</v>
      </c>
      <c r="D1946" s="37" t="n">
        <v>0</v>
      </c>
      <c r="E1946" s="37" t="n">
        <v>5</v>
      </c>
      <c r="F1946" s="37" t="n">
        <v>0</v>
      </c>
      <c r="G1946" s="37" t="s">
        <v>192</v>
      </c>
      <c r="H1946" s="38" t="n">
        <v>199.129993476823</v>
      </c>
      <c r="I1946" s="38" t="n">
        <v>202.494504286256</v>
      </c>
      <c r="J1946" s="38" t="n">
        <v>235.010358933599</v>
      </c>
      <c r="K1946" s="38" t="n">
        <v>282.572187064433</v>
      </c>
      <c r="L1946" s="38" t="n">
        <v>70.5294778551143</v>
      </c>
      <c r="M1946" s="38" t="n">
        <v>107.639626561003</v>
      </c>
      <c r="N1946" s="38" t="n">
        <v>152.462380980013</v>
      </c>
      <c r="O1946" s="38" t="n">
        <v>76.8604154812817</v>
      </c>
      <c r="P1946" s="37" t="n">
        <v>0</v>
      </c>
      <c r="Q1946" s="38" t="n">
        <v>0</v>
      </c>
      <c r="R1946" s="38" t="n">
        <v>70.5</v>
      </c>
      <c r="S1946" s="37" t="n">
        <v>0</v>
      </c>
    </row>
    <row r="1947" customFormat="false" ht="15" hidden="false" customHeight="false" outlineLevel="0" collapsed="false">
      <c r="A1947" s="37" t="n">
        <v>10</v>
      </c>
      <c r="B1947" s="37" t="n">
        <v>5</v>
      </c>
      <c r="C1947" s="37" t="n">
        <v>10</v>
      </c>
      <c r="D1947" s="37" t="n">
        <v>0</v>
      </c>
      <c r="E1947" s="37" t="n">
        <v>5</v>
      </c>
      <c r="F1947" s="37" t="n">
        <v>0</v>
      </c>
      <c r="G1947" s="37" t="s">
        <v>195</v>
      </c>
      <c r="H1947" s="38" t="n">
        <v>199.129993476823</v>
      </c>
      <c r="I1947" s="38" t="n">
        <v>202.514518422787</v>
      </c>
      <c r="J1947" s="38" t="n">
        <v>221.926313804443</v>
      </c>
      <c r="K1947" s="38" t="n">
        <v>269.01939583199</v>
      </c>
      <c r="L1947" s="38" t="n">
        <v>70.2337539190142</v>
      </c>
      <c r="M1947" s="38" t="n">
        <v>108.77573487347</v>
      </c>
      <c r="N1947" s="38" t="n">
        <v>137.954460882017</v>
      </c>
      <c r="O1947" s="38" t="n">
        <v>70.2151519165588</v>
      </c>
      <c r="P1947" s="37" t="n">
        <v>0</v>
      </c>
      <c r="Q1947" s="38" t="n">
        <v>0</v>
      </c>
      <c r="R1947" s="38" t="n">
        <v>68.5393074261073</v>
      </c>
      <c r="S1947" s="37" t="n">
        <v>0</v>
      </c>
    </row>
    <row r="1948" customFormat="false" ht="15" hidden="false" customHeight="false" outlineLevel="0" collapsed="false">
      <c r="A1948" s="37" t="n">
        <v>10</v>
      </c>
      <c r="B1948" s="37" t="n">
        <v>5</v>
      </c>
      <c r="C1948" s="37" t="n">
        <v>10</v>
      </c>
      <c r="D1948" s="37" t="n">
        <v>0</v>
      </c>
      <c r="E1948" s="37" t="n">
        <v>5</v>
      </c>
      <c r="F1948" s="37" t="n">
        <v>0</v>
      </c>
      <c r="G1948" s="37" t="s">
        <v>197</v>
      </c>
      <c r="H1948" s="38" t="n">
        <v>199.129993476823</v>
      </c>
      <c r="I1948" s="38" t="n">
        <v>202.481716872074</v>
      </c>
      <c r="J1948" s="38" t="n">
        <v>226.104661950662</v>
      </c>
      <c r="K1948" s="38" t="n">
        <v>277.521208654116</v>
      </c>
      <c r="L1948" s="38" t="n">
        <v>75.4590327402924</v>
      </c>
      <c r="M1948" s="38" t="n">
        <v>109.658325403084</v>
      </c>
      <c r="N1948" s="38" t="n">
        <v>142.931700261918</v>
      </c>
      <c r="O1948" s="38" t="n">
        <v>74.2567464691861</v>
      </c>
      <c r="P1948" s="37" t="n">
        <v>0</v>
      </c>
      <c r="Q1948" s="38" t="n">
        <v>0</v>
      </c>
      <c r="R1948" s="38" t="n">
        <v>70.5</v>
      </c>
      <c r="S1948" s="37" t="n">
        <v>0</v>
      </c>
    </row>
    <row r="1949" customFormat="false" ht="15" hidden="false" customHeight="false" outlineLevel="0" collapsed="false">
      <c r="A1949" s="37" t="n">
        <v>10</v>
      </c>
      <c r="B1949" s="37" t="n">
        <v>5</v>
      </c>
      <c r="C1949" s="37" t="n">
        <v>10</v>
      </c>
      <c r="D1949" s="37" t="n">
        <v>0</v>
      </c>
      <c r="E1949" s="37" t="n">
        <v>5</v>
      </c>
      <c r="F1949" s="37" t="n">
        <v>0</v>
      </c>
      <c r="G1949" s="37" t="s">
        <v>196</v>
      </c>
      <c r="H1949" s="38" t="n">
        <v>199.129993476823</v>
      </c>
      <c r="I1949" s="38" t="n">
        <v>202.511427429644</v>
      </c>
      <c r="J1949" s="38" t="n">
        <v>226.344062078993</v>
      </c>
      <c r="K1949" s="38" t="n">
        <v>278.205979347089</v>
      </c>
      <c r="L1949" s="38" t="n">
        <v>81.1537626039604</v>
      </c>
      <c r="M1949" s="38" t="n">
        <v>110.435066568871</v>
      </c>
      <c r="N1949" s="38" t="n">
        <v>147.198206189488</v>
      </c>
      <c r="O1949" s="38" t="n">
        <v>76.8412515758718</v>
      </c>
      <c r="P1949" s="37" t="n">
        <v>0</v>
      </c>
      <c r="Q1949" s="38" t="n">
        <v>0</v>
      </c>
      <c r="R1949" s="38" t="n">
        <v>69.3608013149825</v>
      </c>
      <c r="S1949" s="37" t="n">
        <v>0</v>
      </c>
    </row>
    <row r="1950" customFormat="false" ht="15" hidden="false" customHeight="false" outlineLevel="0" collapsed="false">
      <c r="A1950" s="37" t="n">
        <v>10</v>
      </c>
      <c r="B1950" s="37" t="n">
        <v>5</v>
      </c>
      <c r="C1950" s="37" t="n">
        <v>10</v>
      </c>
      <c r="D1950" s="37" t="n">
        <v>5</v>
      </c>
      <c r="E1950" s="37" t="n">
        <v>0</v>
      </c>
      <c r="F1950" s="37" t="n">
        <v>0</v>
      </c>
      <c r="G1950" s="37" t="s">
        <v>188</v>
      </c>
      <c r="H1950" s="38" t="n">
        <v>199.327506010677</v>
      </c>
      <c r="I1950" s="38" t="n">
        <v>204.501601935175</v>
      </c>
      <c r="J1950" s="38" t="n">
        <v>241.411697314017</v>
      </c>
      <c r="K1950" s="38" t="n">
        <v>292.984223492244</v>
      </c>
      <c r="L1950" s="38" t="n">
        <v>91.8977665108708</v>
      </c>
      <c r="M1950" s="38" t="n">
        <v>114.564362444412</v>
      </c>
      <c r="N1950" s="38" t="n">
        <v>163.350489304555</v>
      </c>
      <c r="O1950" s="38" t="n">
        <v>84.7416503539686</v>
      </c>
      <c r="P1950" s="37" t="n">
        <v>0</v>
      </c>
      <c r="Q1950" s="38" t="n">
        <v>0</v>
      </c>
      <c r="R1950" s="38" t="n">
        <v>72</v>
      </c>
      <c r="S1950" s="37" t="n">
        <v>1</v>
      </c>
    </row>
    <row r="1951" customFormat="false" ht="15" hidden="false" customHeight="false" outlineLevel="0" collapsed="false">
      <c r="A1951" s="37" t="n">
        <v>10</v>
      </c>
      <c r="B1951" s="37" t="n">
        <v>5</v>
      </c>
      <c r="C1951" s="37" t="n">
        <v>10</v>
      </c>
      <c r="D1951" s="37" t="n">
        <v>5</v>
      </c>
      <c r="E1951" s="37" t="n">
        <v>0</v>
      </c>
      <c r="F1951" s="37" t="n">
        <v>0</v>
      </c>
      <c r="G1951" s="37" t="s">
        <v>192</v>
      </c>
      <c r="H1951" s="38" t="n">
        <v>199.327506010677</v>
      </c>
      <c r="I1951" s="38" t="n">
        <v>204.158740586797</v>
      </c>
      <c r="J1951" s="38" t="n">
        <v>243.931550781575</v>
      </c>
      <c r="K1951" s="38" t="n">
        <v>287.374082842383</v>
      </c>
      <c r="L1951" s="38" t="n">
        <v>76.7081865299102</v>
      </c>
      <c r="M1951" s="38" t="n">
        <v>109.312377388805</v>
      </c>
      <c r="N1951" s="38" t="n">
        <v>157.462327532347</v>
      </c>
      <c r="O1951" s="38" t="n">
        <v>81.5057920118037</v>
      </c>
      <c r="P1951" s="37" t="n">
        <v>0</v>
      </c>
      <c r="Q1951" s="38" t="n">
        <v>0</v>
      </c>
      <c r="R1951" s="38" t="n">
        <v>72</v>
      </c>
      <c r="S1951" s="37" t="n">
        <v>0</v>
      </c>
    </row>
    <row r="1952" customFormat="false" ht="15" hidden="false" customHeight="false" outlineLevel="0" collapsed="false">
      <c r="A1952" s="37" t="n">
        <v>10</v>
      </c>
      <c r="B1952" s="37" t="n">
        <v>5</v>
      </c>
      <c r="C1952" s="37" t="n">
        <v>10</v>
      </c>
      <c r="D1952" s="37" t="n">
        <v>5</v>
      </c>
      <c r="E1952" s="37" t="n">
        <v>0</v>
      </c>
      <c r="F1952" s="37" t="n">
        <v>0</v>
      </c>
      <c r="G1952" s="37" t="s">
        <v>195</v>
      </c>
      <c r="H1952" s="38" t="n">
        <v>199.327506010677</v>
      </c>
      <c r="I1952" s="38" t="n">
        <v>204.287869593227</v>
      </c>
      <c r="J1952" s="38" t="n">
        <v>234.822661822059</v>
      </c>
      <c r="K1952" s="38" t="n">
        <v>280.241354243871</v>
      </c>
      <c r="L1952" s="38" t="n">
        <v>83.0154230794441</v>
      </c>
      <c r="M1952" s="38" t="n">
        <v>112.08607244517</v>
      </c>
      <c r="N1952" s="38" t="n">
        <v>151.920737220411</v>
      </c>
      <c r="O1952" s="38" t="n">
        <v>79.3464077919628</v>
      </c>
      <c r="P1952" s="37" t="n">
        <v>0</v>
      </c>
      <c r="Q1952" s="38" t="n">
        <v>0</v>
      </c>
      <c r="R1952" s="38" t="n">
        <v>70.5072206506719</v>
      </c>
      <c r="S1952" s="37" t="n">
        <v>0</v>
      </c>
    </row>
    <row r="1953" customFormat="false" ht="15" hidden="false" customHeight="false" outlineLevel="0" collapsed="false">
      <c r="A1953" s="37" t="n">
        <v>10</v>
      </c>
      <c r="B1953" s="37" t="n">
        <v>5</v>
      </c>
      <c r="C1953" s="37" t="n">
        <v>10</v>
      </c>
      <c r="D1953" s="37" t="n">
        <v>5</v>
      </c>
      <c r="E1953" s="37" t="n">
        <v>0</v>
      </c>
      <c r="F1953" s="37" t="n">
        <v>0</v>
      </c>
      <c r="G1953" s="37" t="s">
        <v>197</v>
      </c>
      <c r="H1953" s="38" t="n">
        <v>199.327506010677</v>
      </c>
      <c r="I1953" s="38" t="n">
        <v>204.123673010557</v>
      </c>
      <c r="J1953" s="38" t="n">
        <v>233.8249404961</v>
      </c>
      <c r="K1953" s="38" t="n">
        <v>280.63771145383</v>
      </c>
      <c r="L1953" s="38" t="n">
        <v>78.3894719098401</v>
      </c>
      <c r="M1953" s="38" t="n">
        <v>108.229114880983</v>
      </c>
      <c r="N1953" s="38" t="n">
        <v>138.538016757303</v>
      </c>
      <c r="O1953" s="38" t="n">
        <v>75.8675052603267</v>
      </c>
      <c r="P1953" s="37" t="n">
        <v>0</v>
      </c>
      <c r="Q1953" s="38" t="n">
        <v>0</v>
      </c>
      <c r="R1953" s="38" t="n">
        <v>72</v>
      </c>
      <c r="S1953" s="37" t="n">
        <v>0</v>
      </c>
    </row>
    <row r="1954" customFormat="false" ht="15" hidden="false" customHeight="false" outlineLevel="0" collapsed="false">
      <c r="A1954" s="37" t="n">
        <v>10</v>
      </c>
      <c r="B1954" s="37" t="n">
        <v>5</v>
      </c>
      <c r="C1954" s="37" t="n">
        <v>10</v>
      </c>
      <c r="D1954" s="37" t="n">
        <v>5</v>
      </c>
      <c r="E1954" s="37" t="n">
        <v>0</v>
      </c>
      <c r="F1954" s="37" t="n">
        <v>0</v>
      </c>
      <c r="G1954" s="37" t="s">
        <v>196</v>
      </c>
      <c r="H1954" s="38" t="n">
        <v>199.327506010677</v>
      </c>
      <c r="I1954" s="38" t="n">
        <v>204.166912578902</v>
      </c>
      <c r="J1954" s="38" t="n">
        <v>234.911991367232</v>
      </c>
      <c r="K1954" s="38" t="n">
        <v>282.530939454701</v>
      </c>
      <c r="L1954" s="38" t="n">
        <v>85.9623833479046</v>
      </c>
      <c r="M1954" s="38" t="n">
        <v>112.016499223063</v>
      </c>
      <c r="N1954" s="38" t="n">
        <v>150.957534970875</v>
      </c>
      <c r="O1954" s="38" t="n">
        <v>81.461316059675</v>
      </c>
      <c r="P1954" s="37" t="n">
        <v>0</v>
      </c>
      <c r="Q1954" s="38" t="n">
        <v>0</v>
      </c>
      <c r="R1954" s="38" t="n">
        <v>70.9768798677023</v>
      </c>
      <c r="S1954" s="37" t="n">
        <v>0</v>
      </c>
    </row>
    <row r="1955" customFormat="false" ht="15" hidden="false" customHeight="false" outlineLevel="0" collapsed="false">
      <c r="A1955" s="37" t="n">
        <v>10</v>
      </c>
      <c r="B1955" s="37" t="n">
        <v>5</v>
      </c>
      <c r="C1955" s="37" t="n">
        <v>15</v>
      </c>
      <c r="D1955" s="37" t="n">
        <v>0</v>
      </c>
      <c r="E1955" s="37" t="n">
        <v>0</v>
      </c>
      <c r="F1955" s="37" t="n">
        <v>0</v>
      </c>
      <c r="G1955" s="37" t="s">
        <v>188</v>
      </c>
      <c r="H1955" s="38" t="n">
        <v>199.388815139662</v>
      </c>
      <c r="I1955" s="38" t="n">
        <v>205.056915330694</v>
      </c>
      <c r="J1955" s="38" t="n">
        <v>237.59681789526</v>
      </c>
      <c r="K1955" s="38" t="n">
        <v>296.187980318508</v>
      </c>
      <c r="L1955" s="38" t="n">
        <v>94.6289865169198</v>
      </c>
      <c r="M1955" s="38" t="n">
        <v>116.90448064548</v>
      </c>
      <c r="N1955" s="38" t="n">
        <v>161.895556052536</v>
      </c>
      <c r="O1955" s="38" t="n">
        <v>81.0417006630809</v>
      </c>
      <c r="P1955" s="37" t="n">
        <v>0</v>
      </c>
      <c r="Q1955" s="38" t="n">
        <v>0</v>
      </c>
      <c r="R1955" s="38" t="n">
        <v>70.5</v>
      </c>
      <c r="S1955" s="37" t="n">
        <v>1</v>
      </c>
    </row>
    <row r="1956" customFormat="false" ht="15" hidden="false" customHeight="false" outlineLevel="0" collapsed="false">
      <c r="A1956" s="37" t="n">
        <v>10</v>
      </c>
      <c r="B1956" s="37" t="n">
        <v>5</v>
      </c>
      <c r="C1956" s="37" t="n">
        <v>15</v>
      </c>
      <c r="D1956" s="37" t="n">
        <v>0</v>
      </c>
      <c r="E1956" s="37" t="n">
        <v>0</v>
      </c>
      <c r="F1956" s="37" t="n">
        <v>0</v>
      </c>
      <c r="G1956" s="37" t="s">
        <v>192</v>
      </c>
      <c r="H1956" s="38" t="n">
        <v>199.388815139662</v>
      </c>
      <c r="I1956" s="38" t="n">
        <v>204.677500712346</v>
      </c>
      <c r="J1956" s="38" t="n">
        <v>239.905760862839</v>
      </c>
      <c r="K1956" s="38" t="n">
        <v>290.166784707122</v>
      </c>
      <c r="L1956" s="38" t="n">
        <v>79.2384659991267</v>
      </c>
      <c r="M1956" s="38" t="n">
        <v>111.539592739272</v>
      </c>
      <c r="N1956" s="38" t="n">
        <v>154.873709354043</v>
      </c>
      <c r="O1956" s="38" t="n">
        <v>77.9253498048532</v>
      </c>
      <c r="P1956" s="37" t="n">
        <v>0</v>
      </c>
      <c r="Q1956" s="38" t="n">
        <v>0</v>
      </c>
      <c r="R1956" s="38" t="n">
        <v>70.5</v>
      </c>
      <c r="S1956" s="37" t="n">
        <v>0</v>
      </c>
    </row>
    <row r="1957" customFormat="false" ht="15" hidden="false" customHeight="false" outlineLevel="0" collapsed="false">
      <c r="A1957" s="37" t="n">
        <v>10</v>
      </c>
      <c r="B1957" s="37" t="n">
        <v>5</v>
      </c>
      <c r="C1957" s="37" t="n">
        <v>15</v>
      </c>
      <c r="D1957" s="37" t="n">
        <v>0</v>
      </c>
      <c r="E1957" s="37" t="n">
        <v>0</v>
      </c>
      <c r="F1957" s="37" t="n">
        <v>0</v>
      </c>
      <c r="G1957" s="37" t="s">
        <v>195</v>
      </c>
      <c r="H1957" s="38" t="n">
        <v>199.388815139662</v>
      </c>
      <c r="I1957" s="38" t="n">
        <v>204.722541947911</v>
      </c>
      <c r="J1957" s="38" t="n">
        <v>227.267839845418</v>
      </c>
      <c r="K1957" s="38" t="n">
        <v>277.362947179084</v>
      </c>
      <c r="L1957" s="38" t="n">
        <v>78.7843060428841</v>
      </c>
      <c r="M1957" s="38" t="n">
        <v>112.674341734592</v>
      </c>
      <c r="N1957" s="38" t="n">
        <v>141.020301876036</v>
      </c>
      <c r="O1957" s="38" t="n">
        <v>72.0833814178296</v>
      </c>
      <c r="P1957" s="37" t="n">
        <v>0</v>
      </c>
      <c r="Q1957" s="38" t="n">
        <v>0</v>
      </c>
      <c r="R1957" s="38" t="n">
        <v>68.6014076591401</v>
      </c>
      <c r="S1957" s="37" t="n">
        <v>0</v>
      </c>
    </row>
    <row r="1958" customFormat="false" ht="15" hidden="false" customHeight="false" outlineLevel="0" collapsed="false">
      <c r="A1958" s="37" t="n">
        <v>10</v>
      </c>
      <c r="B1958" s="37" t="n">
        <v>5</v>
      </c>
      <c r="C1958" s="37" t="n">
        <v>15</v>
      </c>
      <c r="D1958" s="37" t="n">
        <v>0</v>
      </c>
      <c r="E1958" s="37" t="n">
        <v>0</v>
      </c>
      <c r="F1958" s="37" t="n">
        <v>0</v>
      </c>
      <c r="G1958" s="37" t="s">
        <v>197</v>
      </c>
      <c r="H1958" s="38" t="n">
        <v>199.388815139662</v>
      </c>
      <c r="I1958" s="38" t="n">
        <v>204.650582117481</v>
      </c>
      <c r="J1958" s="38" t="n">
        <v>229.827650524416</v>
      </c>
      <c r="K1958" s="38" t="n">
        <v>283.388458485616</v>
      </c>
      <c r="L1958" s="38" t="n">
        <v>80.9708910503171</v>
      </c>
      <c r="M1958" s="38" t="n">
        <v>109.282539060475</v>
      </c>
      <c r="N1958" s="38" t="n">
        <v>134.480230359756</v>
      </c>
      <c r="O1958" s="38" t="n">
        <v>71.4398078939348</v>
      </c>
      <c r="P1958" s="37" t="n">
        <v>0</v>
      </c>
      <c r="Q1958" s="38" t="n">
        <v>0</v>
      </c>
      <c r="R1958" s="38" t="n">
        <v>70.5</v>
      </c>
      <c r="S1958" s="37" t="n">
        <v>0</v>
      </c>
    </row>
    <row r="1959" customFormat="false" ht="15" hidden="false" customHeight="false" outlineLevel="0" collapsed="false">
      <c r="A1959" s="37" t="n">
        <v>10</v>
      </c>
      <c r="B1959" s="37" t="n">
        <v>5</v>
      </c>
      <c r="C1959" s="37" t="n">
        <v>15</v>
      </c>
      <c r="D1959" s="37" t="n">
        <v>0</v>
      </c>
      <c r="E1959" s="37" t="n">
        <v>0</v>
      </c>
      <c r="F1959" s="37" t="n">
        <v>0</v>
      </c>
      <c r="G1959" s="37" t="s">
        <v>196</v>
      </c>
      <c r="H1959" s="38" t="n">
        <v>199.388815139662</v>
      </c>
      <c r="I1959" s="38" t="n">
        <v>204.681543327689</v>
      </c>
      <c r="J1959" s="38" t="n">
        <v>230.833442989482</v>
      </c>
      <c r="K1959" s="38" t="n">
        <v>285.251540767416</v>
      </c>
      <c r="L1959" s="38" t="n">
        <v>88.5622463991074</v>
      </c>
      <c r="M1959" s="38" t="n">
        <v>112.942112644068</v>
      </c>
      <c r="N1959" s="38" t="n">
        <v>146.118865657113</v>
      </c>
      <c r="O1959" s="38" t="n">
        <v>77.5715993013899</v>
      </c>
      <c r="P1959" s="37" t="n">
        <v>0</v>
      </c>
      <c r="Q1959" s="38" t="n">
        <v>0</v>
      </c>
      <c r="R1959" s="38" t="n">
        <v>69.4479026849393</v>
      </c>
      <c r="S1959" s="37" t="n">
        <v>0</v>
      </c>
    </row>
    <row r="1960" customFormat="false" ht="15" hidden="false" customHeight="false" outlineLevel="0" collapsed="false">
      <c r="A1960" s="37" t="n">
        <v>10</v>
      </c>
      <c r="B1960" s="37" t="n">
        <v>10</v>
      </c>
      <c r="C1960" s="37" t="n">
        <v>0</v>
      </c>
      <c r="D1960" s="37" t="n">
        <v>0</v>
      </c>
      <c r="E1960" s="37" t="n">
        <v>0</v>
      </c>
      <c r="F1960" s="37" t="n">
        <v>10</v>
      </c>
      <c r="G1960" s="37" t="s">
        <v>188</v>
      </c>
      <c r="H1960" s="38" t="n">
        <v>198.904840084966</v>
      </c>
      <c r="I1960" s="38" t="n">
        <v>198.150739789881</v>
      </c>
      <c r="J1960" s="38" t="n">
        <v>198.884459278525</v>
      </c>
      <c r="K1960" s="38" t="n">
        <v>228.803630977977</v>
      </c>
      <c r="L1960" s="38" t="n">
        <v>103.965962899288</v>
      </c>
      <c r="M1960" s="38" t="n">
        <v>100.299004393637</v>
      </c>
      <c r="N1960" s="38" t="n">
        <v>104.403499932131</v>
      </c>
      <c r="O1960" s="38" t="n">
        <v>62.8937253823511</v>
      </c>
      <c r="P1960" s="37" t="n">
        <v>0</v>
      </c>
      <c r="Q1960" s="38" t="n">
        <v>0</v>
      </c>
      <c r="R1960" s="38" t="n">
        <v>70.5</v>
      </c>
      <c r="S1960" s="37" t="n">
        <v>0</v>
      </c>
    </row>
    <row r="1961" customFormat="false" ht="15" hidden="false" customHeight="false" outlineLevel="0" collapsed="false">
      <c r="A1961" s="37" t="n">
        <v>10</v>
      </c>
      <c r="B1961" s="37" t="n">
        <v>10</v>
      </c>
      <c r="C1961" s="37" t="n">
        <v>0</v>
      </c>
      <c r="D1961" s="37" t="n">
        <v>0</v>
      </c>
      <c r="E1961" s="37" t="n">
        <v>0</v>
      </c>
      <c r="F1961" s="37" t="n">
        <v>10</v>
      </c>
      <c r="G1961" s="37" t="s">
        <v>192</v>
      </c>
      <c r="H1961" s="38" t="n">
        <v>198.904840084966</v>
      </c>
      <c r="I1961" s="38" t="n">
        <v>198.012378301662</v>
      </c>
      <c r="J1961" s="38" t="n">
        <v>205.697014559666</v>
      </c>
      <c r="K1961" s="38" t="n">
        <v>230.923134584502</v>
      </c>
      <c r="L1961" s="38" t="n">
        <v>96.2196904640395</v>
      </c>
      <c r="M1961" s="38" t="n">
        <v>97.2680311096456</v>
      </c>
      <c r="N1961" s="38" t="n">
        <v>107.895970727283</v>
      </c>
      <c r="O1961" s="38" t="n">
        <v>65.2371723717157</v>
      </c>
      <c r="P1961" s="37" t="n">
        <v>0</v>
      </c>
      <c r="Q1961" s="38" t="n">
        <v>0</v>
      </c>
      <c r="R1961" s="38" t="n">
        <v>70.5</v>
      </c>
      <c r="S1961" s="37" t="n">
        <v>1</v>
      </c>
    </row>
    <row r="1962" customFormat="false" ht="15" hidden="false" customHeight="false" outlineLevel="0" collapsed="false">
      <c r="A1962" s="37" t="n">
        <v>10</v>
      </c>
      <c r="B1962" s="37" t="n">
        <v>10</v>
      </c>
      <c r="C1962" s="37" t="n">
        <v>0</v>
      </c>
      <c r="D1962" s="37" t="n">
        <v>0</v>
      </c>
      <c r="E1962" s="37" t="n">
        <v>0</v>
      </c>
      <c r="F1962" s="37" t="n">
        <v>10</v>
      </c>
      <c r="G1962" s="37" t="s">
        <v>195</v>
      </c>
      <c r="H1962" s="38" t="n">
        <v>198.904840084966</v>
      </c>
      <c r="I1962" s="38" t="n">
        <v>198.005855571965</v>
      </c>
      <c r="J1962" s="38" t="n">
        <v>193.130939407496</v>
      </c>
      <c r="K1962" s="38" t="n">
        <v>216.785392434754</v>
      </c>
      <c r="L1962" s="38" t="n">
        <v>97.6488555446319</v>
      </c>
      <c r="M1962" s="38" t="n">
        <v>96.3744752372971</v>
      </c>
      <c r="N1962" s="38" t="n">
        <v>87.5348407634141</v>
      </c>
      <c r="O1962" s="38" t="n">
        <v>55.9511458546047</v>
      </c>
      <c r="P1962" s="37" t="n">
        <v>0</v>
      </c>
      <c r="Q1962" s="38" t="n">
        <v>0</v>
      </c>
      <c r="R1962" s="38" t="n">
        <v>68.4340389329633</v>
      </c>
      <c r="S1962" s="37" t="n">
        <v>0</v>
      </c>
    </row>
    <row r="1963" customFormat="false" ht="15" hidden="false" customHeight="false" outlineLevel="0" collapsed="false">
      <c r="A1963" s="37" t="n">
        <v>10</v>
      </c>
      <c r="B1963" s="37" t="n">
        <v>10</v>
      </c>
      <c r="C1963" s="37" t="n">
        <v>0</v>
      </c>
      <c r="D1963" s="37" t="n">
        <v>0</v>
      </c>
      <c r="E1963" s="37" t="n">
        <v>0</v>
      </c>
      <c r="F1963" s="37" t="n">
        <v>10</v>
      </c>
      <c r="G1963" s="37" t="s">
        <v>197</v>
      </c>
      <c r="H1963" s="38" t="n">
        <v>198.904840084966</v>
      </c>
      <c r="I1963" s="38" t="n">
        <v>198.00697714189</v>
      </c>
      <c r="J1963" s="38" t="n">
        <v>196.904109406253</v>
      </c>
      <c r="K1963" s="38" t="n">
        <v>225.45156644177</v>
      </c>
      <c r="L1963" s="38" t="n">
        <v>102.741739853573</v>
      </c>
      <c r="M1963" s="38" t="n">
        <v>98.1775513954297</v>
      </c>
      <c r="N1963" s="38" t="n">
        <v>94.4726813531888</v>
      </c>
      <c r="O1963" s="38" t="n">
        <v>58.616532360809</v>
      </c>
      <c r="P1963" s="37" t="n">
        <v>0</v>
      </c>
      <c r="Q1963" s="38" t="n">
        <v>0</v>
      </c>
      <c r="R1963" s="38" t="n">
        <v>70.5</v>
      </c>
      <c r="S1963" s="37" t="n">
        <v>0</v>
      </c>
    </row>
    <row r="1964" customFormat="false" ht="15" hidden="false" customHeight="false" outlineLevel="0" collapsed="false">
      <c r="A1964" s="37" t="n">
        <v>10</v>
      </c>
      <c r="B1964" s="37" t="n">
        <v>10</v>
      </c>
      <c r="C1964" s="37" t="n">
        <v>0</v>
      </c>
      <c r="D1964" s="37" t="n">
        <v>0</v>
      </c>
      <c r="E1964" s="37" t="n">
        <v>0</v>
      </c>
      <c r="F1964" s="37" t="n">
        <v>10</v>
      </c>
      <c r="G1964" s="37" t="s">
        <v>196</v>
      </c>
      <c r="H1964" s="38" t="n">
        <v>198.904840084966</v>
      </c>
      <c r="I1964" s="38" t="n">
        <v>198.016195700837</v>
      </c>
      <c r="J1964" s="38" t="n">
        <v>197.998380674081</v>
      </c>
      <c r="K1964" s="38" t="n">
        <v>227.071369038723</v>
      </c>
      <c r="L1964" s="38" t="n">
        <v>111.013297697432</v>
      </c>
      <c r="M1964" s="38" t="n">
        <v>100.66570125716</v>
      </c>
      <c r="N1964" s="38" t="n">
        <v>103.846756302153</v>
      </c>
      <c r="O1964" s="38" t="n">
        <v>63.9487533751443</v>
      </c>
      <c r="P1964" s="37" t="n">
        <v>0</v>
      </c>
      <c r="Q1964" s="38" t="n">
        <v>0</v>
      </c>
      <c r="R1964" s="38" t="n">
        <v>69.5993962114234</v>
      </c>
      <c r="S1964" s="37" t="n">
        <v>0</v>
      </c>
    </row>
    <row r="1965" customFormat="false" ht="15" hidden="false" customHeight="false" outlineLevel="0" collapsed="false">
      <c r="A1965" s="37" t="n">
        <v>10</v>
      </c>
      <c r="B1965" s="37" t="n">
        <v>10</v>
      </c>
      <c r="C1965" s="37" t="n">
        <v>0</v>
      </c>
      <c r="D1965" s="37" t="n">
        <v>0</v>
      </c>
      <c r="E1965" s="37" t="n">
        <v>5</v>
      </c>
      <c r="F1965" s="37" t="n">
        <v>5</v>
      </c>
      <c r="G1965" s="37" t="s">
        <v>188</v>
      </c>
      <c r="H1965" s="38" t="n">
        <v>198.918064294855</v>
      </c>
      <c r="I1965" s="38" t="n">
        <v>198.329356846591</v>
      </c>
      <c r="J1965" s="38" t="n">
        <v>201.588838983615</v>
      </c>
      <c r="K1965" s="38" t="n">
        <v>233.057461376419</v>
      </c>
      <c r="L1965" s="38" t="n">
        <v>68.4447132252256</v>
      </c>
      <c r="M1965" s="38" t="n">
        <v>101.351353636161</v>
      </c>
      <c r="N1965" s="38" t="n">
        <v>111.506137345297</v>
      </c>
      <c r="O1965" s="38" t="n">
        <v>62.9117540667018</v>
      </c>
      <c r="P1965" s="37" t="n">
        <v>0</v>
      </c>
      <c r="Q1965" s="38" t="n">
        <v>0</v>
      </c>
      <c r="R1965" s="38" t="n">
        <v>70.5</v>
      </c>
      <c r="S1965" s="37" t="n">
        <v>0</v>
      </c>
    </row>
    <row r="1966" customFormat="false" ht="15" hidden="false" customHeight="false" outlineLevel="0" collapsed="false">
      <c r="A1966" s="37" t="n">
        <v>10</v>
      </c>
      <c r="B1966" s="37" t="n">
        <v>10</v>
      </c>
      <c r="C1966" s="37" t="n">
        <v>0</v>
      </c>
      <c r="D1966" s="37" t="n">
        <v>0</v>
      </c>
      <c r="E1966" s="37" t="n">
        <v>5</v>
      </c>
      <c r="F1966" s="37" t="n">
        <v>5</v>
      </c>
      <c r="G1966" s="37" t="s">
        <v>192</v>
      </c>
      <c r="H1966" s="38" t="n">
        <v>198.918064294855</v>
      </c>
      <c r="I1966" s="38" t="n">
        <v>198.19859783318</v>
      </c>
      <c r="J1966" s="38" t="n">
        <v>208.451696828046</v>
      </c>
      <c r="K1966" s="38" t="n">
        <v>235.169955166141</v>
      </c>
      <c r="L1966" s="38" t="n">
        <v>60.5074974370176</v>
      </c>
      <c r="M1966" s="38" t="n">
        <v>98.3389422964099</v>
      </c>
      <c r="N1966" s="38" t="n">
        <v>114.735162272093</v>
      </c>
      <c r="O1966" s="38" t="n">
        <v>65.3214618935612</v>
      </c>
      <c r="P1966" s="37" t="n">
        <v>0</v>
      </c>
      <c r="Q1966" s="38" t="n">
        <v>0</v>
      </c>
      <c r="R1966" s="38" t="n">
        <v>70.5</v>
      </c>
      <c r="S1966" s="37" t="n">
        <v>1</v>
      </c>
    </row>
    <row r="1967" customFormat="false" ht="15" hidden="false" customHeight="false" outlineLevel="0" collapsed="false">
      <c r="A1967" s="37" t="n">
        <v>10</v>
      </c>
      <c r="B1967" s="37" t="n">
        <v>10</v>
      </c>
      <c r="C1967" s="37" t="n">
        <v>0</v>
      </c>
      <c r="D1967" s="37" t="n">
        <v>0</v>
      </c>
      <c r="E1967" s="37" t="n">
        <v>5</v>
      </c>
      <c r="F1967" s="37" t="n">
        <v>5</v>
      </c>
      <c r="G1967" s="37" t="s">
        <v>195</v>
      </c>
      <c r="H1967" s="38" t="n">
        <v>198.918064294855</v>
      </c>
      <c r="I1967" s="38" t="n">
        <v>198.192043209624</v>
      </c>
      <c r="J1967" s="38" t="n">
        <v>195.509824617252</v>
      </c>
      <c r="K1967" s="38" t="n">
        <v>220.800745319768</v>
      </c>
      <c r="L1967" s="38" t="n">
        <v>61.5844738694513</v>
      </c>
      <c r="M1967" s="38" t="n">
        <v>97.5493419460087</v>
      </c>
      <c r="N1967" s="38" t="n">
        <v>94.0970035800562</v>
      </c>
      <c r="O1967" s="38" t="n">
        <v>56.1069146710633</v>
      </c>
      <c r="P1967" s="37" t="n">
        <v>0</v>
      </c>
      <c r="Q1967" s="38" t="n">
        <v>0</v>
      </c>
      <c r="R1967" s="38" t="n">
        <v>68.410118564905</v>
      </c>
      <c r="S1967" s="37" t="n">
        <v>0</v>
      </c>
    </row>
    <row r="1968" customFormat="false" ht="15" hidden="false" customHeight="false" outlineLevel="0" collapsed="false">
      <c r="A1968" s="37" t="n">
        <v>10</v>
      </c>
      <c r="B1968" s="37" t="n">
        <v>10</v>
      </c>
      <c r="C1968" s="37" t="n">
        <v>0</v>
      </c>
      <c r="D1968" s="37" t="n">
        <v>0</v>
      </c>
      <c r="E1968" s="37" t="n">
        <v>5</v>
      </c>
      <c r="F1968" s="37" t="n">
        <v>5</v>
      </c>
      <c r="G1968" s="37" t="s">
        <v>197</v>
      </c>
      <c r="H1968" s="38" t="n">
        <v>198.918064294855</v>
      </c>
      <c r="I1968" s="38" t="n">
        <v>198.203703168907</v>
      </c>
      <c r="J1968" s="38" t="n">
        <v>200.211922837646</v>
      </c>
      <c r="K1968" s="38" t="n">
        <v>230.81397408902</v>
      </c>
      <c r="L1968" s="38" t="n">
        <v>68.6207383696066</v>
      </c>
      <c r="M1968" s="38" t="n">
        <v>102.598694622843</v>
      </c>
      <c r="N1968" s="38" t="n">
        <v>110.523232667422</v>
      </c>
      <c r="O1968" s="38" t="n">
        <v>62.6739755846134</v>
      </c>
      <c r="P1968" s="37" t="n">
        <v>0</v>
      </c>
      <c r="Q1968" s="38" t="n">
        <v>0</v>
      </c>
      <c r="R1968" s="38" t="n">
        <v>70.5</v>
      </c>
      <c r="S1968" s="37" t="n">
        <v>0</v>
      </c>
    </row>
    <row r="1969" customFormat="false" ht="15" hidden="false" customHeight="false" outlineLevel="0" collapsed="false">
      <c r="A1969" s="37" t="n">
        <v>10</v>
      </c>
      <c r="B1969" s="37" t="n">
        <v>10</v>
      </c>
      <c r="C1969" s="37" t="n">
        <v>0</v>
      </c>
      <c r="D1969" s="37" t="n">
        <v>0</v>
      </c>
      <c r="E1969" s="37" t="n">
        <v>5</v>
      </c>
      <c r="F1969" s="37" t="n">
        <v>5</v>
      </c>
      <c r="G1969" s="37" t="s">
        <v>196</v>
      </c>
      <c r="H1969" s="38" t="n">
        <v>198.918064294855</v>
      </c>
      <c r="I1969" s="38" t="n">
        <v>198.204907415635</v>
      </c>
      <c r="J1969" s="38" t="n">
        <v>200.467744453135</v>
      </c>
      <c r="K1969" s="38" t="n">
        <v>231.266205590221</v>
      </c>
      <c r="L1969" s="38" t="n">
        <v>74.7730204849405</v>
      </c>
      <c r="M1969" s="38" t="n">
        <v>102.413363443034</v>
      </c>
      <c r="N1969" s="38" t="n">
        <v>112.064293465423</v>
      </c>
      <c r="O1969" s="38" t="n">
        <v>65.2893016115911</v>
      </c>
      <c r="P1969" s="37" t="n">
        <v>0</v>
      </c>
      <c r="Q1969" s="38" t="n">
        <v>0</v>
      </c>
      <c r="R1969" s="38" t="n">
        <v>69.4949689080661</v>
      </c>
      <c r="S1969" s="37" t="n">
        <v>0</v>
      </c>
    </row>
    <row r="1970" customFormat="false" ht="15" hidden="false" customHeight="false" outlineLevel="0" collapsed="false">
      <c r="A1970" s="37" t="n">
        <v>10</v>
      </c>
      <c r="B1970" s="37" t="n">
        <v>10</v>
      </c>
      <c r="C1970" s="37" t="n">
        <v>0</v>
      </c>
      <c r="D1970" s="37" t="n">
        <v>0</v>
      </c>
      <c r="E1970" s="37" t="n">
        <v>10</v>
      </c>
      <c r="F1970" s="37" t="n">
        <v>0</v>
      </c>
      <c r="G1970" s="37" t="s">
        <v>188</v>
      </c>
      <c r="H1970" s="38" t="n">
        <v>198.928634158466</v>
      </c>
      <c r="I1970" s="38" t="n">
        <v>198.523175920568</v>
      </c>
      <c r="J1970" s="38" t="n">
        <v>203.761590982334</v>
      </c>
      <c r="K1970" s="38" t="n">
        <v>236.642065925687</v>
      </c>
      <c r="L1970" s="38" t="n">
        <v>32.2339271896117</v>
      </c>
      <c r="M1970" s="38" t="n">
        <v>102.319509535376</v>
      </c>
      <c r="N1970" s="38" t="n">
        <v>110.366113461978</v>
      </c>
      <c r="O1970" s="38" t="n">
        <v>62.6641958617344</v>
      </c>
      <c r="P1970" s="37" t="n">
        <v>0</v>
      </c>
      <c r="Q1970" s="38" t="n">
        <v>0</v>
      </c>
      <c r="R1970" s="38" t="n">
        <v>70.5</v>
      </c>
      <c r="S1970" s="37" t="n">
        <v>0</v>
      </c>
    </row>
    <row r="1971" customFormat="false" ht="15" hidden="false" customHeight="false" outlineLevel="0" collapsed="false">
      <c r="A1971" s="37" t="n">
        <v>10</v>
      </c>
      <c r="B1971" s="37" t="n">
        <v>10</v>
      </c>
      <c r="C1971" s="37" t="n">
        <v>0</v>
      </c>
      <c r="D1971" s="37" t="n">
        <v>0</v>
      </c>
      <c r="E1971" s="37" t="n">
        <v>10</v>
      </c>
      <c r="F1971" s="37" t="n">
        <v>0</v>
      </c>
      <c r="G1971" s="37" t="s">
        <v>192</v>
      </c>
      <c r="H1971" s="38" t="n">
        <v>198.928634158466</v>
      </c>
      <c r="I1971" s="38" t="n">
        <v>198.398821797553</v>
      </c>
      <c r="J1971" s="38" t="n">
        <v>210.543025738702</v>
      </c>
      <c r="K1971" s="38" t="n">
        <v>238.622947698873</v>
      </c>
      <c r="L1971" s="38" t="n">
        <v>35.2506472959836</v>
      </c>
      <c r="M1971" s="38" t="n">
        <v>99.3179351727346</v>
      </c>
      <c r="N1971" s="38" t="n">
        <v>115.341576997767</v>
      </c>
      <c r="O1971" s="38" t="n">
        <v>62.6804853222086</v>
      </c>
      <c r="P1971" s="37" t="n">
        <v>0</v>
      </c>
      <c r="Q1971" s="38" t="n">
        <v>0</v>
      </c>
      <c r="R1971" s="38" t="n">
        <v>70.5</v>
      </c>
      <c r="S1971" s="37" t="n">
        <v>0</v>
      </c>
    </row>
    <row r="1972" customFormat="false" ht="15" hidden="false" customHeight="false" outlineLevel="0" collapsed="false">
      <c r="A1972" s="37" t="n">
        <v>10</v>
      </c>
      <c r="B1972" s="37" t="n">
        <v>10</v>
      </c>
      <c r="C1972" s="37" t="n">
        <v>0</v>
      </c>
      <c r="D1972" s="37" t="n">
        <v>0</v>
      </c>
      <c r="E1972" s="37" t="n">
        <v>10</v>
      </c>
      <c r="F1972" s="37" t="n">
        <v>0</v>
      </c>
      <c r="G1972" s="37" t="s">
        <v>195</v>
      </c>
      <c r="H1972" s="38" t="n">
        <v>198.928634158466</v>
      </c>
      <c r="I1972" s="38" t="n">
        <v>198.390824586125</v>
      </c>
      <c r="J1972" s="38" t="n">
        <v>197.393084885823</v>
      </c>
      <c r="K1972" s="38" t="n">
        <v>224.14600985622</v>
      </c>
      <c r="L1972" s="38" t="n">
        <v>25.0000376756575</v>
      </c>
      <c r="M1972" s="38" t="n">
        <v>98.6229771749666</v>
      </c>
      <c r="N1972" s="38" t="n">
        <v>86.2437741068947</v>
      </c>
      <c r="O1972" s="38" t="n">
        <v>55.9843180744301</v>
      </c>
      <c r="P1972" s="37" t="n">
        <v>0</v>
      </c>
      <c r="Q1972" s="38" t="n">
        <v>0</v>
      </c>
      <c r="R1972" s="38" t="n">
        <v>68.3943707327204</v>
      </c>
      <c r="S1972" s="37" t="n">
        <v>0</v>
      </c>
    </row>
    <row r="1973" customFormat="false" ht="15" hidden="false" customHeight="false" outlineLevel="0" collapsed="false">
      <c r="A1973" s="37" t="n">
        <v>10</v>
      </c>
      <c r="B1973" s="37" t="n">
        <v>10</v>
      </c>
      <c r="C1973" s="37" t="n">
        <v>0</v>
      </c>
      <c r="D1973" s="37" t="n">
        <v>0</v>
      </c>
      <c r="E1973" s="37" t="n">
        <v>10</v>
      </c>
      <c r="F1973" s="37" t="n">
        <v>0</v>
      </c>
      <c r="G1973" s="37" t="s">
        <v>197</v>
      </c>
      <c r="H1973" s="38" t="n">
        <v>198.928634158466</v>
      </c>
      <c r="I1973" s="38" t="n">
        <v>198.423370382679</v>
      </c>
      <c r="J1973" s="38" t="n">
        <v>203.10592043796</v>
      </c>
      <c r="K1973" s="38" t="n">
        <v>235.672503626551</v>
      </c>
      <c r="L1973" s="38" t="n">
        <v>34.1381003025622</v>
      </c>
      <c r="M1973" s="38" t="n">
        <v>106.180653471623</v>
      </c>
      <c r="N1973" s="38" t="n">
        <v>118.587131028823</v>
      </c>
      <c r="O1973" s="38" t="n">
        <v>64.2720593753161</v>
      </c>
      <c r="P1973" s="37" t="n">
        <v>0</v>
      </c>
      <c r="Q1973" s="38" t="n">
        <v>0</v>
      </c>
      <c r="R1973" s="38" t="n">
        <v>70.5</v>
      </c>
      <c r="S1973" s="37" t="n">
        <v>1</v>
      </c>
    </row>
    <row r="1974" customFormat="false" ht="15" hidden="false" customHeight="false" outlineLevel="0" collapsed="false">
      <c r="A1974" s="37" t="n">
        <v>10</v>
      </c>
      <c r="B1974" s="37" t="n">
        <v>10</v>
      </c>
      <c r="C1974" s="37" t="n">
        <v>0</v>
      </c>
      <c r="D1974" s="37" t="n">
        <v>0</v>
      </c>
      <c r="E1974" s="37" t="n">
        <v>10</v>
      </c>
      <c r="F1974" s="37" t="n">
        <v>0</v>
      </c>
      <c r="G1974" s="37" t="s">
        <v>196</v>
      </c>
      <c r="H1974" s="38" t="n">
        <v>198.928634158466</v>
      </c>
      <c r="I1974" s="38" t="n">
        <v>198.407593661277</v>
      </c>
      <c r="J1974" s="38" t="n">
        <v>202.475914356158</v>
      </c>
      <c r="K1974" s="38" t="n">
        <v>234.838022965463</v>
      </c>
      <c r="L1974" s="38" t="n">
        <v>38.2784465531082</v>
      </c>
      <c r="M1974" s="38" t="n">
        <v>103.911314576447</v>
      </c>
      <c r="N1974" s="38" t="n">
        <v>117.005813013705</v>
      </c>
      <c r="O1974" s="38" t="n">
        <v>65.5594689682218</v>
      </c>
      <c r="P1974" s="37" t="n">
        <v>0</v>
      </c>
      <c r="Q1974" s="38" t="n">
        <v>0</v>
      </c>
      <c r="R1974" s="38" t="n">
        <v>69.4790349943682</v>
      </c>
      <c r="S1974" s="37" t="n">
        <v>0</v>
      </c>
    </row>
    <row r="1975" customFormat="false" ht="15" hidden="false" customHeight="false" outlineLevel="0" collapsed="false">
      <c r="A1975" s="37" t="n">
        <v>10</v>
      </c>
      <c r="B1975" s="37" t="n">
        <v>10</v>
      </c>
      <c r="C1975" s="37" t="n">
        <v>0</v>
      </c>
      <c r="D1975" s="37" t="n">
        <v>5</v>
      </c>
      <c r="E1975" s="37" t="n">
        <v>0</v>
      </c>
      <c r="F1975" s="37" t="n">
        <v>5</v>
      </c>
      <c r="G1975" s="37" t="s">
        <v>188</v>
      </c>
      <c r="H1975" s="38" t="n">
        <v>199.055457612157</v>
      </c>
      <c r="I1975" s="38" t="n">
        <v>199.103350110067</v>
      </c>
      <c r="J1975" s="38" t="n">
        <v>203.891404322938</v>
      </c>
      <c r="K1975" s="38" t="n">
        <v>225.701902886775</v>
      </c>
      <c r="L1975" s="38" t="n">
        <v>61.4957615916469</v>
      </c>
      <c r="M1975" s="38" t="n">
        <v>101.157735425637</v>
      </c>
      <c r="N1975" s="38" t="n">
        <v>108.141248053472</v>
      </c>
      <c r="O1975" s="38" t="n">
        <v>66.1858504549805</v>
      </c>
      <c r="P1975" s="37" t="n">
        <v>0</v>
      </c>
      <c r="Q1975" s="38" t="n">
        <v>0</v>
      </c>
      <c r="R1975" s="38" t="n">
        <v>72</v>
      </c>
      <c r="S1975" s="37" t="n">
        <v>0</v>
      </c>
    </row>
    <row r="1976" customFormat="false" ht="15" hidden="false" customHeight="false" outlineLevel="0" collapsed="false">
      <c r="A1976" s="37" t="n">
        <v>10</v>
      </c>
      <c r="B1976" s="37" t="n">
        <v>10</v>
      </c>
      <c r="C1976" s="37" t="n">
        <v>0</v>
      </c>
      <c r="D1976" s="37" t="n">
        <v>5</v>
      </c>
      <c r="E1976" s="37" t="n">
        <v>0</v>
      </c>
      <c r="F1976" s="37" t="n">
        <v>5</v>
      </c>
      <c r="G1976" s="37" t="s">
        <v>192</v>
      </c>
      <c r="H1976" s="38" t="n">
        <v>199.055457612157</v>
      </c>
      <c r="I1976" s="38" t="n">
        <v>198.954531971047</v>
      </c>
      <c r="J1976" s="38" t="n">
        <v>210.714018075163</v>
      </c>
      <c r="K1976" s="38" t="n">
        <v>227.43559684414</v>
      </c>
      <c r="L1976" s="38" t="n">
        <v>53.6232031616684</v>
      </c>
      <c r="M1976" s="38" t="n">
        <v>98.0915545562035</v>
      </c>
      <c r="N1976" s="38" t="n">
        <v>111.340792360633</v>
      </c>
      <c r="O1976" s="38" t="n">
        <v>68.1307172126129</v>
      </c>
      <c r="P1976" s="37" t="n">
        <v>0</v>
      </c>
      <c r="Q1976" s="38" t="n">
        <v>0</v>
      </c>
      <c r="R1976" s="38" t="n">
        <v>72</v>
      </c>
      <c r="S1976" s="37" t="n">
        <v>1</v>
      </c>
    </row>
    <row r="1977" customFormat="false" ht="15" hidden="false" customHeight="false" outlineLevel="0" collapsed="false">
      <c r="A1977" s="37" t="n">
        <v>10</v>
      </c>
      <c r="B1977" s="37" t="n">
        <v>10</v>
      </c>
      <c r="C1977" s="37" t="n">
        <v>0</v>
      </c>
      <c r="D1977" s="37" t="n">
        <v>5</v>
      </c>
      <c r="E1977" s="37" t="n">
        <v>0</v>
      </c>
      <c r="F1977" s="37" t="n">
        <v>5</v>
      </c>
      <c r="G1977" s="37" t="s">
        <v>195</v>
      </c>
      <c r="H1977" s="38" t="n">
        <v>199.055457612157</v>
      </c>
      <c r="I1977" s="38" t="n">
        <v>198.979254128077</v>
      </c>
      <c r="J1977" s="38" t="n">
        <v>199.826433131771</v>
      </c>
      <c r="K1977" s="38" t="n">
        <v>216.868857598773</v>
      </c>
      <c r="L1977" s="38" t="n">
        <v>59.0590541450442</v>
      </c>
      <c r="M1977" s="38" t="n">
        <v>98.878605737024</v>
      </c>
      <c r="N1977" s="38" t="n">
        <v>97.9860983113698</v>
      </c>
      <c r="O1977" s="38" t="n">
        <v>61.9740473475372</v>
      </c>
      <c r="P1977" s="37" t="n">
        <v>0</v>
      </c>
      <c r="Q1977" s="38" t="n">
        <v>0</v>
      </c>
      <c r="R1977" s="38" t="n">
        <v>70.3320589638814</v>
      </c>
      <c r="S1977" s="37" t="n">
        <v>0</v>
      </c>
    </row>
    <row r="1978" customFormat="false" ht="15" hidden="false" customHeight="false" outlineLevel="0" collapsed="false">
      <c r="A1978" s="37" t="n">
        <v>10</v>
      </c>
      <c r="B1978" s="37" t="n">
        <v>10</v>
      </c>
      <c r="C1978" s="37" t="n">
        <v>0</v>
      </c>
      <c r="D1978" s="37" t="n">
        <v>5</v>
      </c>
      <c r="E1978" s="37" t="n">
        <v>0</v>
      </c>
      <c r="F1978" s="37" t="n">
        <v>5</v>
      </c>
      <c r="G1978" s="37" t="s">
        <v>197</v>
      </c>
      <c r="H1978" s="38" t="n">
        <v>199.055457612157</v>
      </c>
      <c r="I1978" s="38" t="n">
        <v>198.948597712055</v>
      </c>
      <c r="J1978" s="38" t="n">
        <v>201.526222128812</v>
      </c>
      <c r="K1978" s="38" t="n">
        <v>222.006909122899</v>
      </c>
      <c r="L1978" s="38" t="n">
        <v>59.5443506547081</v>
      </c>
      <c r="M1978" s="38" t="n">
        <v>99.0702574938962</v>
      </c>
      <c r="N1978" s="38" t="n">
        <v>97.889879261481</v>
      </c>
      <c r="O1978" s="38" t="n">
        <v>61.69956198269</v>
      </c>
      <c r="P1978" s="37" t="n">
        <v>0</v>
      </c>
      <c r="Q1978" s="38" t="n">
        <v>0</v>
      </c>
      <c r="R1978" s="38" t="n">
        <v>72</v>
      </c>
      <c r="S1978" s="37" t="n">
        <v>0</v>
      </c>
    </row>
    <row r="1979" customFormat="false" ht="15" hidden="false" customHeight="false" outlineLevel="0" collapsed="false">
      <c r="A1979" s="37" t="n">
        <v>10</v>
      </c>
      <c r="B1979" s="37" t="n">
        <v>10</v>
      </c>
      <c r="C1979" s="37" t="n">
        <v>0</v>
      </c>
      <c r="D1979" s="37" t="n">
        <v>5</v>
      </c>
      <c r="E1979" s="37" t="n">
        <v>0</v>
      </c>
      <c r="F1979" s="37" t="n">
        <v>5</v>
      </c>
      <c r="G1979" s="37" t="s">
        <v>196</v>
      </c>
      <c r="H1979" s="38" t="n">
        <v>199.055457612157</v>
      </c>
      <c r="I1979" s="38" t="n">
        <v>198.959306973929</v>
      </c>
      <c r="J1979" s="38" t="n">
        <v>202.689155277803</v>
      </c>
      <c r="K1979" s="38" t="n">
        <v>223.679204602049</v>
      </c>
      <c r="L1979" s="38" t="n">
        <v>67.6324931433422</v>
      </c>
      <c r="M1979" s="38" t="n">
        <v>102.127449544326</v>
      </c>
      <c r="N1979" s="38" t="n">
        <v>108.633516382235</v>
      </c>
      <c r="O1979" s="38" t="n">
        <v>66.6936328675709</v>
      </c>
      <c r="P1979" s="37" t="n">
        <v>0</v>
      </c>
      <c r="Q1979" s="38" t="n">
        <v>0</v>
      </c>
      <c r="R1979" s="38" t="n">
        <v>71.1021225832437</v>
      </c>
      <c r="S1979" s="37" t="n">
        <v>0</v>
      </c>
    </row>
    <row r="1980" customFormat="false" ht="15" hidden="false" customHeight="false" outlineLevel="0" collapsed="false">
      <c r="A1980" s="37" t="n">
        <v>10</v>
      </c>
      <c r="B1980" s="37" t="n">
        <v>10</v>
      </c>
      <c r="C1980" s="37" t="n">
        <v>0</v>
      </c>
      <c r="D1980" s="37" t="n">
        <v>5</v>
      </c>
      <c r="E1980" s="37" t="n">
        <v>5</v>
      </c>
      <c r="F1980" s="37" t="n">
        <v>0</v>
      </c>
      <c r="G1980" s="37" t="s">
        <v>188</v>
      </c>
      <c r="H1980" s="38" t="n">
        <v>199.043522769103</v>
      </c>
      <c r="I1980" s="38" t="n">
        <v>199.202139544615</v>
      </c>
      <c r="J1980" s="38" t="n">
        <v>206.560484488026</v>
      </c>
      <c r="K1980" s="38" t="n">
        <v>229.561644724229</v>
      </c>
      <c r="L1980" s="38" t="n">
        <v>36.8110792695597</v>
      </c>
      <c r="M1980" s="38" t="n">
        <v>101.990160382761</v>
      </c>
      <c r="N1980" s="38" t="n">
        <v>112.074015651082</v>
      </c>
      <c r="O1980" s="38" t="n">
        <v>63.5996697125316</v>
      </c>
      <c r="P1980" s="37" t="n">
        <v>0</v>
      </c>
      <c r="Q1980" s="38" t="n">
        <v>0</v>
      </c>
      <c r="R1980" s="38" t="n">
        <v>72</v>
      </c>
      <c r="S1980" s="37" t="n">
        <v>0</v>
      </c>
    </row>
    <row r="1981" customFormat="false" ht="15" hidden="false" customHeight="false" outlineLevel="0" collapsed="false">
      <c r="A1981" s="37" t="n">
        <v>10</v>
      </c>
      <c r="B1981" s="37" t="n">
        <v>10</v>
      </c>
      <c r="C1981" s="37" t="n">
        <v>0</v>
      </c>
      <c r="D1981" s="37" t="n">
        <v>5</v>
      </c>
      <c r="E1981" s="37" t="n">
        <v>5</v>
      </c>
      <c r="F1981" s="37" t="n">
        <v>0</v>
      </c>
      <c r="G1981" s="37" t="s">
        <v>192</v>
      </c>
      <c r="H1981" s="38" t="n">
        <v>199.043522769103</v>
      </c>
      <c r="I1981" s="38" t="n">
        <v>199.062832711608</v>
      </c>
      <c r="J1981" s="38" t="n">
        <v>213.436095003596</v>
      </c>
      <c r="K1981" s="38" t="n">
        <v>231.368000531209</v>
      </c>
      <c r="L1981" s="38" t="n">
        <v>66.3134712061993</v>
      </c>
      <c r="M1981" s="38" t="n">
        <v>98.9367657400844</v>
      </c>
      <c r="N1981" s="38" t="n">
        <v>115.856440692942</v>
      </c>
      <c r="O1981" s="38" t="n">
        <v>68.8032123476212</v>
      </c>
      <c r="P1981" s="37" t="n">
        <v>0</v>
      </c>
      <c r="Q1981" s="38" t="n">
        <v>0</v>
      </c>
      <c r="R1981" s="38" t="n">
        <v>72</v>
      </c>
      <c r="S1981" s="37" t="n">
        <v>1</v>
      </c>
    </row>
    <row r="1982" customFormat="false" ht="15" hidden="false" customHeight="false" outlineLevel="0" collapsed="false">
      <c r="A1982" s="37" t="n">
        <v>10</v>
      </c>
      <c r="B1982" s="37" t="n">
        <v>10</v>
      </c>
      <c r="C1982" s="37" t="n">
        <v>0</v>
      </c>
      <c r="D1982" s="37" t="n">
        <v>5</v>
      </c>
      <c r="E1982" s="37" t="n">
        <v>5</v>
      </c>
      <c r="F1982" s="37" t="n">
        <v>0</v>
      </c>
      <c r="G1982" s="37" t="s">
        <v>195</v>
      </c>
      <c r="H1982" s="38" t="n">
        <v>199.043522769103</v>
      </c>
      <c r="I1982" s="38" t="n">
        <v>199.09145142003</v>
      </c>
      <c r="J1982" s="38" t="n">
        <v>202.345651452087</v>
      </c>
      <c r="K1982" s="38" t="n">
        <v>220.675939337541</v>
      </c>
      <c r="L1982" s="38" t="n">
        <v>33.9793598738494</v>
      </c>
      <c r="M1982" s="38" t="n">
        <v>99.8330740826626</v>
      </c>
      <c r="N1982" s="38" t="n">
        <v>99.0102963896909</v>
      </c>
      <c r="O1982" s="38" t="n">
        <v>59.1368308153146</v>
      </c>
      <c r="P1982" s="37" t="n">
        <v>0</v>
      </c>
      <c r="Q1982" s="38" t="n">
        <v>0</v>
      </c>
      <c r="R1982" s="38" t="n">
        <v>70.2910261608924</v>
      </c>
      <c r="S1982" s="37" t="n">
        <v>0</v>
      </c>
    </row>
    <row r="1983" customFormat="false" ht="15" hidden="false" customHeight="false" outlineLevel="0" collapsed="false">
      <c r="A1983" s="37" t="n">
        <v>10</v>
      </c>
      <c r="B1983" s="37" t="n">
        <v>10</v>
      </c>
      <c r="C1983" s="37" t="n">
        <v>0</v>
      </c>
      <c r="D1983" s="37" t="n">
        <v>5</v>
      </c>
      <c r="E1983" s="37" t="n">
        <v>5</v>
      </c>
      <c r="F1983" s="37" t="n">
        <v>0</v>
      </c>
      <c r="G1983" s="37" t="s">
        <v>197</v>
      </c>
      <c r="H1983" s="38" t="n">
        <v>199.043522769103</v>
      </c>
      <c r="I1983" s="38" t="n">
        <v>199.068353372918</v>
      </c>
      <c r="J1983" s="38" t="n">
        <v>204.950731596236</v>
      </c>
      <c r="K1983" s="38" t="n">
        <v>227.041938508849</v>
      </c>
      <c r="L1983" s="38" t="n">
        <v>25.0657672686775</v>
      </c>
      <c r="M1983" s="38" t="n">
        <v>103.219601663946</v>
      </c>
      <c r="N1983" s="38" t="n">
        <v>100.990013270838</v>
      </c>
      <c r="O1983" s="38" t="n">
        <v>65.5652329532408</v>
      </c>
      <c r="P1983" s="37" t="n">
        <v>0</v>
      </c>
      <c r="Q1983" s="38" t="n">
        <v>0</v>
      </c>
      <c r="R1983" s="38" t="n">
        <v>72</v>
      </c>
      <c r="S1983" s="37" t="n">
        <v>0</v>
      </c>
    </row>
    <row r="1984" customFormat="false" ht="15" hidden="false" customHeight="false" outlineLevel="0" collapsed="false">
      <c r="A1984" s="37" t="n">
        <v>10</v>
      </c>
      <c r="B1984" s="37" t="n">
        <v>10</v>
      </c>
      <c r="C1984" s="37" t="n">
        <v>0</v>
      </c>
      <c r="D1984" s="37" t="n">
        <v>5</v>
      </c>
      <c r="E1984" s="37" t="n">
        <v>5</v>
      </c>
      <c r="F1984" s="37" t="n">
        <v>0</v>
      </c>
      <c r="G1984" s="37" t="s">
        <v>196</v>
      </c>
      <c r="H1984" s="38" t="n">
        <v>199.043522769103</v>
      </c>
      <c r="I1984" s="38" t="n">
        <v>199.070675102726</v>
      </c>
      <c r="J1984" s="38" t="n">
        <v>205.342575274503</v>
      </c>
      <c r="K1984" s="38" t="n">
        <v>227.61741562955</v>
      </c>
      <c r="L1984" s="38" t="n">
        <v>31.1360763452732</v>
      </c>
      <c r="M1984" s="38" t="n">
        <v>103.617523791584</v>
      </c>
      <c r="N1984" s="38" t="n">
        <v>109.315768666547</v>
      </c>
      <c r="O1984" s="38" t="n">
        <v>67.8799142996501</v>
      </c>
      <c r="P1984" s="37" t="n">
        <v>0</v>
      </c>
      <c r="Q1984" s="38" t="n">
        <v>0</v>
      </c>
      <c r="R1984" s="38" t="n">
        <v>70.9978119051068</v>
      </c>
      <c r="S1984" s="37" t="n">
        <v>0</v>
      </c>
    </row>
    <row r="1985" customFormat="false" ht="15" hidden="false" customHeight="false" outlineLevel="0" collapsed="false">
      <c r="A1985" s="37" t="n">
        <v>10</v>
      </c>
      <c r="B1985" s="37" t="n">
        <v>10</v>
      </c>
      <c r="C1985" s="37" t="n">
        <v>0</v>
      </c>
      <c r="D1985" s="37" t="n">
        <v>10</v>
      </c>
      <c r="E1985" s="37" t="n">
        <v>0</v>
      </c>
      <c r="F1985" s="37" t="n">
        <v>0</v>
      </c>
      <c r="G1985" s="37" t="s">
        <v>188</v>
      </c>
      <c r="H1985" s="38" t="n">
        <v>199.262448797959</v>
      </c>
      <c r="I1985" s="38" t="n">
        <v>199.972198956975</v>
      </c>
      <c r="J1985" s="38" t="n">
        <v>207.603232494746</v>
      </c>
      <c r="K1985" s="38" t="n">
        <v>225.45121671645</v>
      </c>
      <c r="L1985" s="38" t="n">
        <v>32.9886407108811</v>
      </c>
      <c r="M1985" s="38" t="n">
        <v>101.827035310048</v>
      </c>
      <c r="N1985" s="38" t="n">
        <v>104.948430462303</v>
      </c>
      <c r="O1985" s="38" t="n">
        <v>64.4182538708184</v>
      </c>
      <c r="P1985" s="37" t="n">
        <v>0</v>
      </c>
      <c r="Q1985" s="38" t="n">
        <v>0</v>
      </c>
      <c r="R1985" s="38" t="n">
        <v>72</v>
      </c>
      <c r="S1985" s="37" t="n">
        <v>0</v>
      </c>
    </row>
    <row r="1986" customFormat="false" ht="15" hidden="false" customHeight="false" outlineLevel="0" collapsed="false">
      <c r="A1986" s="37" t="n">
        <v>10</v>
      </c>
      <c r="B1986" s="37" t="n">
        <v>10</v>
      </c>
      <c r="C1986" s="37" t="n">
        <v>0</v>
      </c>
      <c r="D1986" s="37" t="n">
        <v>10</v>
      </c>
      <c r="E1986" s="37" t="n">
        <v>0</v>
      </c>
      <c r="F1986" s="37" t="n">
        <v>0</v>
      </c>
      <c r="G1986" s="37" t="s">
        <v>192</v>
      </c>
      <c r="H1986" s="38" t="n">
        <v>199.262448797959</v>
      </c>
      <c r="I1986" s="38" t="n">
        <v>199.813344202812</v>
      </c>
      <c r="J1986" s="38" t="n">
        <v>214.439394299612</v>
      </c>
      <c r="K1986" s="38" t="n">
        <v>227.030261644402</v>
      </c>
      <c r="L1986" s="38" t="n">
        <v>63.6906632711194</v>
      </c>
      <c r="M1986" s="38" t="n">
        <v>98.7294464993261</v>
      </c>
      <c r="N1986" s="38" t="n">
        <v>112.241698611407</v>
      </c>
      <c r="O1986" s="38" t="n">
        <v>69.5098845207597</v>
      </c>
      <c r="P1986" s="37" t="n">
        <v>0</v>
      </c>
      <c r="Q1986" s="38" t="n">
        <v>0.00234374458068487</v>
      </c>
      <c r="R1986" s="38" t="n">
        <v>72</v>
      </c>
      <c r="S1986" s="37" t="n">
        <v>1</v>
      </c>
    </row>
    <row r="1987" customFormat="false" ht="15" hidden="false" customHeight="false" outlineLevel="0" collapsed="false">
      <c r="A1987" s="37" t="n">
        <v>10</v>
      </c>
      <c r="B1987" s="37" t="n">
        <v>10</v>
      </c>
      <c r="C1987" s="37" t="n">
        <v>0</v>
      </c>
      <c r="D1987" s="37" t="n">
        <v>10</v>
      </c>
      <c r="E1987" s="37" t="n">
        <v>0</v>
      </c>
      <c r="F1987" s="37" t="n">
        <v>0</v>
      </c>
      <c r="G1987" s="37" t="s">
        <v>195</v>
      </c>
      <c r="H1987" s="38" t="n">
        <v>199.262448797959</v>
      </c>
      <c r="I1987" s="38" t="n">
        <v>199.894770869254</v>
      </c>
      <c r="J1987" s="38" t="n">
        <v>203.781037148652</v>
      </c>
      <c r="K1987" s="38" t="n">
        <v>220.129763704211</v>
      </c>
      <c r="L1987" s="38" t="n">
        <v>26.8797637042108</v>
      </c>
      <c r="M1987" s="38" t="n">
        <v>100.822499614261</v>
      </c>
      <c r="N1987" s="38" t="n">
        <v>94.3338409325927</v>
      </c>
      <c r="O1987" s="38" t="n">
        <v>63.8091730865396</v>
      </c>
      <c r="P1987" s="37" t="n">
        <v>0</v>
      </c>
      <c r="Q1987" s="38" t="n">
        <v>0</v>
      </c>
      <c r="R1987" s="38" t="n">
        <v>67.2623519522895</v>
      </c>
      <c r="S1987" s="37" t="n">
        <v>0</v>
      </c>
    </row>
    <row r="1988" customFormat="false" ht="15" hidden="false" customHeight="false" outlineLevel="0" collapsed="false">
      <c r="A1988" s="37" t="n">
        <v>10</v>
      </c>
      <c r="B1988" s="37" t="n">
        <v>10</v>
      </c>
      <c r="C1988" s="37" t="n">
        <v>0</v>
      </c>
      <c r="D1988" s="37" t="n">
        <v>10</v>
      </c>
      <c r="E1988" s="37" t="n">
        <v>0</v>
      </c>
      <c r="F1988" s="37" t="n">
        <v>0</v>
      </c>
      <c r="G1988" s="37" t="s">
        <v>197</v>
      </c>
      <c r="H1988" s="38" t="n">
        <v>199.262448797959</v>
      </c>
      <c r="I1988" s="38" t="n">
        <v>199.807715955637</v>
      </c>
      <c r="J1988" s="38" t="n">
        <v>204.972075554849</v>
      </c>
      <c r="K1988" s="38" t="n">
        <v>221.370184531218</v>
      </c>
      <c r="L1988" s="38" t="n">
        <v>34.1061598402539</v>
      </c>
      <c r="M1988" s="38" t="n">
        <v>99.7424234683708</v>
      </c>
      <c r="N1988" s="38" t="n">
        <v>94.9847317189401</v>
      </c>
      <c r="O1988" s="38" t="n">
        <v>59.7679176256165</v>
      </c>
      <c r="P1988" s="37" t="n">
        <v>0</v>
      </c>
      <c r="Q1988" s="38" t="n">
        <v>0</v>
      </c>
      <c r="R1988" s="38" t="n">
        <v>72</v>
      </c>
      <c r="S1988" s="37" t="n">
        <v>0</v>
      </c>
    </row>
    <row r="1989" customFormat="false" ht="15" hidden="false" customHeight="false" outlineLevel="0" collapsed="false">
      <c r="A1989" s="37" t="n">
        <v>10</v>
      </c>
      <c r="B1989" s="37" t="n">
        <v>10</v>
      </c>
      <c r="C1989" s="37" t="n">
        <v>0</v>
      </c>
      <c r="D1989" s="37" t="n">
        <v>10</v>
      </c>
      <c r="E1989" s="37" t="n">
        <v>0</v>
      </c>
      <c r="F1989" s="37" t="n">
        <v>0</v>
      </c>
      <c r="G1989" s="37" t="s">
        <v>196</v>
      </c>
      <c r="H1989" s="38" t="n">
        <v>199.262448797959</v>
      </c>
      <c r="I1989" s="38" t="n">
        <v>199.818363902</v>
      </c>
      <c r="J1989" s="38" t="n">
        <v>198.392361521416</v>
      </c>
      <c r="K1989" s="38" t="n">
        <v>223.910313041742</v>
      </c>
      <c r="L1989" s="38" t="n">
        <v>30.3547574861867</v>
      </c>
      <c r="M1989" s="38" t="n">
        <v>103.230595356328</v>
      </c>
      <c r="N1989" s="38" t="n">
        <v>101.996665484386</v>
      </c>
      <c r="O1989" s="38" t="n">
        <v>65.5788905977737</v>
      </c>
      <c r="P1989" s="37" t="n">
        <v>0</v>
      </c>
      <c r="Q1989" s="38" t="n">
        <v>0</v>
      </c>
      <c r="R1989" s="38" t="n">
        <v>70.604</v>
      </c>
      <c r="S1989" s="37" t="n">
        <v>0</v>
      </c>
    </row>
    <row r="1990" customFormat="false" ht="15" hidden="false" customHeight="false" outlineLevel="0" collapsed="false">
      <c r="A1990" s="37" t="n">
        <v>10</v>
      </c>
      <c r="B1990" s="37" t="n">
        <v>10</v>
      </c>
      <c r="C1990" s="37" t="n">
        <v>5</v>
      </c>
      <c r="D1990" s="37" t="n">
        <v>0</v>
      </c>
      <c r="E1990" s="37" t="n">
        <v>0</v>
      </c>
      <c r="F1990" s="37" t="n">
        <v>5</v>
      </c>
      <c r="G1990" s="37" t="s">
        <v>188</v>
      </c>
      <c r="H1990" s="38" t="n">
        <v>198.994386073253</v>
      </c>
      <c r="I1990" s="38" t="n">
        <v>200.018050927149</v>
      </c>
      <c r="J1990" s="38" t="n">
        <v>217.15618467758</v>
      </c>
      <c r="K1990" s="38" t="n">
        <v>255.898609965152</v>
      </c>
      <c r="L1990" s="38" t="n">
        <v>92.1917233787384</v>
      </c>
      <c r="M1990" s="38" t="n">
        <v>105.552204129984</v>
      </c>
      <c r="N1990" s="38" t="n">
        <v>136.224618136836</v>
      </c>
      <c r="O1990" s="38" t="n">
        <v>73.6906199082689</v>
      </c>
      <c r="P1990" s="37" t="n">
        <v>0</v>
      </c>
      <c r="Q1990" s="38" t="n">
        <v>0</v>
      </c>
      <c r="R1990" s="38" t="n">
        <v>70.5</v>
      </c>
      <c r="S1990" s="37" t="n">
        <v>0</v>
      </c>
    </row>
    <row r="1991" customFormat="false" ht="15" hidden="false" customHeight="false" outlineLevel="0" collapsed="false">
      <c r="A1991" s="37" t="n">
        <v>10</v>
      </c>
      <c r="B1991" s="37" t="n">
        <v>10</v>
      </c>
      <c r="C1991" s="37" t="n">
        <v>5</v>
      </c>
      <c r="D1991" s="37" t="n">
        <v>0</v>
      </c>
      <c r="E1991" s="37" t="n">
        <v>0</v>
      </c>
      <c r="F1991" s="37" t="n">
        <v>5</v>
      </c>
      <c r="G1991" s="37" t="s">
        <v>192</v>
      </c>
      <c r="H1991" s="38" t="n">
        <v>198.994386073253</v>
      </c>
      <c r="I1991" s="38" t="n">
        <v>199.810188556702</v>
      </c>
      <c r="J1991" s="38" t="n">
        <v>222.594527960938</v>
      </c>
      <c r="K1991" s="38" t="n">
        <v>255.073775111284</v>
      </c>
      <c r="L1991" s="38" t="n">
        <v>81.8502061495956</v>
      </c>
      <c r="M1991" s="38" t="n">
        <v>102.329851222487</v>
      </c>
      <c r="N1991" s="38" t="n">
        <v>137.049773910949</v>
      </c>
      <c r="O1991" s="38" t="n">
        <v>73.8742882942378</v>
      </c>
      <c r="P1991" s="37" t="n">
        <v>0</v>
      </c>
      <c r="Q1991" s="38" t="n">
        <v>0</v>
      </c>
      <c r="R1991" s="38" t="n">
        <v>70.5</v>
      </c>
      <c r="S1991" s="37" t="n">
        <v>1</v>
      </c>
    </row>
    <row r="1992" customFormat="false" ht="15" hidden="false" customHeight="false" outlineLevel="0" collapsed="false">
      <c r="A1992" s="37" t="n">
        <v>10</v>
      </c>
      <c r="B1992" s="37" t="n">
        <v>10</v>
      </c>
      <c r="C1992" s="37" t="n">
        <v>5</v>
      </c>
      <c r="D1992" s="37" t="n">
        <v>0</v>
      </c>
      <c r="E1992" s="37" t="n">
        <v>0</v>
      </c>
      <c r="F1992" s="37" t="n">
        <v>5</v>
      </c>
      <c r="G1992" s="37" t="s">
        <v>195</v>
      </c>
      <c r="H1992" s="38" t="n">
        <v>198.994386073253</v>
      </c>
      <c r="I1992" s="38" t="n">
        <v>199.801081477129</v>
      </c>
      <c r="J1992" s="38" t="n">
        <v>208.604543646501</v>
      </c>
      <c r="K1992" s="38" t="n">
        <v>240.127609919918</v>
      </c>
      <c r="L1992" s="38" t="n">
        <v>81.0899460413806</v>
      </c>
      <c r="M1992" s="38" t="n">
        <v>101.561082848918</v>
      </c>
      <c r="N1992" s="38" t="n">
        <v>115.7892691658</v>
      </c>
      <c r="O1992" s="38" t="n">
        <v>63.2214049245818</v>
      </c>
      <c r="P1992" s="37" t="n">
        <v>0</v>
      </c>
      <c r="Q1992" s="38" t="n">
        <v>0</v>
      </c>
      <c r="R1992" s="38" t="n">
        <v>68.4637008364388</v>
      </c>
      <c r="S1992" s="37" t="n">
        <v>0</v>
      </c>
    </row>
    <row r="1993" customFormat="false" ht="15" hidden="false" customHeight="false" outlineLevel="0" collapsed="false">
      <c r="A1993" s="37" t="n">
        <v>10</v>
      </c>
      <c r="B1993" s="37" t="n">
        <v>10</v>
      </c>
      <c r="C1993" s="37" t="n">
        <v>5</v>
      </c>
      <c r="D1993" s="37" t="n">
        <v>0</v>
      </c>
      <c r="E1993" s="37" t="n">
        <v>0</v>
      </c>
      <c r="F1993" s="37" t="n">
        <v>5</v>
      </c>
      <c r="G1993" s="37" t="s">
        <v>197</v>
      </c>
      <c r="H1993" s="38" t="n">
        <v>198.994386073253</v>
      </c>
      <c r="I1993" s="38" t="n">
        <v>199.789943452124</v>
      </c>
      <c r="J1993" s="38" t="n">
        <v>212.445833096878</v>
      </c>
      <c r="K1993" s="38" t="n">
        <v>248.450379457874</v>
      </c>
      <c r="L1993" s="38" t="n">
        <v>85.859816431492</v>
      </c>
      <c r="M1993" s="38" t="n">
        <v>101.143927097608</v>
      </c>
      <c r="N1993" s="38" t="n">
        <v>117.278269838</v>
      </c>
      <c r="O1993" s="38" t="n">
        <v>65.0620420451563</v>
      </c>
      <c r="P1993" s="37" t="n">
        <v>0</v>
      </c>
      <c r="Q1993" s="38" t="n">
        <v>0</v>
      </c>
      <c r="R1993" s="38" t="n">
        <v>70.5</v>
      </c>
      <c r="S1993" s="37" t="n">
        <v>0</v>
      </c>
    </row>
    <row r="1994" customFormat="false" ht="15" hidden="false" customHeight="false" outlineLevel="0" collapsed="false">
      <c r="A1994" s="37" t="n">
        <v>10</v>
      </c>
      <c r="B1994" s="37" t="n">
        <v>10</v>
      </c>
      <c r="C1994" s="37" t="n">
        <v>5</v>
      </c>
      <c r="D1994" s="37" t="n">
        <v>0</v>
      </c>
      <c r="E1994" s="37" t="n">
        <v>0</v>
      </c>
      <c r="F1994" s="37" t="n">
        <v>5</v>
      </c>
      <c r="G1994" s="37" t="s">
        <v>196</v>
      </c>
      <c r="H1994" s="38" t="n">
        <v>198.994386073253</v>
      </c>
      <c r="I1994" s="38" t="n">
        <v>199.814726585012</v>
      </c>
      <c r="J1994" s="38" t="n">
        <v>213.617064913395</v>
      </c>
      <c r="K1994" s="38" t="n">
        <v>250.422763401101</v>
      </c>
      <c r="L1994" s="38" t="n">
        <v>93.8632921014267</v>
      </c>
      <c r="M1994" s="38" t="n">
        <v>104.422745154369</v>
      </c>
      <c r="N1994" s="38" t="n">
        <v>128.690805453267</v>
      </c>
      <c r="O1994" s="38" t="n">
        <v>72.3598530869725</v>
      </c>
      <c r="P1994" s="37" t="n">
        <v>0</v>
      </c>
      <c r="Q1994" s="38" t="n">
        <v>0</v>
      </c>
      <c r="R1994" s="38" t="n">
        <v>69.4790602214116</v>
      </c>
      <c r="S1994" s="37" t="n">
        <v>0</v>
      </c>
    </row>
    <row r="1995" customFormat="false" ht="15" hidden="false" customHeight="false" outlineLevel="0" collapsed="false">
      <c r="A1995" s="37" t="n">
        <v>10</v>
      </c>
      <c r="B1995" s="37" t="n">
        <v>10</v>
      </c>
      <c r="C1995" s="37" t="n">
        <v>5</v>
      </c>
      <c r="D1995" s="37" t="n">
        <v>0</v>
      </c>
      <c r="E1995" s="37" t="n">
        <v>5</v>
      </c>
      <c r="F1995" s="37" t="n">
        <v>0</v>
      </c>
      <c r="G1995" s="37" t="s">
        <v>188</v>
      </c>
      <c r="H1995" s="38" t="n">
        <v>198.964596115195</v>
      </c>
      <c r="I1995" s="38" t="n">
        <v>199.816585102897</v>
      </c>
      <c r="J1995" s="38" t="n">
        <v>217.609713067055</v>
      </c>
      <c r="K1995" s="38" t="n">
        <v>255.272431968406</v>
      </c>
      <c r="L1995" s="38" t="n">
        <v>51.5945911785632</v>
      </c>
      <c r="M1995" s="38" t="n">
        <v>105.517452873852</v>
      </c>
      <c r="N1995" s="38" t="n">
        <v>139.431634261748</v>
      </c>
      <c r="O1995" s="38" t="n">
        <v>72.7283314379677</v>
      </c>
      <c r="P1995" s="37" t="n">
        <v>0</v>
      </c>
      <c r="Q1995" s="38" t="n">
        <v>0</v>
      </c>
      <c r="R1995" s="38" t="n">
        <v>70.5</v>
      </c>
      <c r="S1995" s="37" t="n">
        <v>1</v>
      </c>
    </row>
    <row r="1996" customFormat="false" ht="15" hidden="false" customHeight="false" outlineLevel="0" collapsed="false">
      <c r="A1996" s="37" t="n">
        <v>10</v>
      </c>
      <c r="B1996" s="37" t="n">
        <v>10</v>
      </c>
      <c r="C1996" s="37" t="n">
        <v>5</v>
      </c>
      <c r="D1996" s="37" t="n">
        <v>0</v>
      </c>
      <c r="E1996" s="37" t="n">
        <v>5</v>
      </c>
      <c r="F1996" s="37" t="n">
        <v>0</v>
      </c>
      <c r="G1996" s="37" t="s">
        <v>192</v>
      </c>
      <c r="H1996" s="38" t="n">
        <v>198.964596115195</v>
      </c>
      <c r="I1996" s="38" t="n">
        <v>199.628756849432</v>
      </c>
      <c r="J1996" s="38" t="n">
        <v>223.076517588865</v>
      </c>
      <c r="K1996" s="38" t="n">
        <v>254.617286221716</v>
      </c>
      <c r="L1996" s="38" t="n">
        <v>89.9352761736247</v>
      </c>
      <c r="M1996" s="38" t="n">
        <v>102.321010979788</v>
      </c>
      <c r="N1996" s="38" t="n">
        <v>137.682386641144</v>
      </c>
      <c r="O1996" s="38" t="n">
        <v>72.4504531975459</v>
      </c>
      <c r="P1996" s="37" t="n">
        <v>0</v>
      </c>
      <c r="Q1996" s="38" t="n">
        <v>0</v>
      </c>
      <c r="R1996" s="38" t="n">
        <v>70.5</v>
      </c>
      <c r="S1996" s="37" t="n">
        <v>0</v>
      </c>
    </row>
    <row r="1997" customFormat="false" ht="15" hidden="false" customHeight="false" outlineLevel="0" collapsed="false">
      <c r="A1997" s="37" t="n">
        <v>10</v>
      </c>
      <c r="B1997" s="37" t="n">
        <v>10</v>
      </c>
      <c r="C1997" s="37" t="n">
        <v>5</v>
      </c>
      <c r="D1997" s="37" t="n">
        <v>0</v>
      </c>
      <c r="E1997" s="37" t="n">
        <v>5</v>
      </c>
      <c r="F1997" s="37" t="n">
        <v>0</v>
      </c>
      <c r="G1997" s="37" t="s">
        <v>195</v>
      </c>
      <c r="H1997" s="38" t="n">
        <v>198.964596115195</v>
      </c>
      <c r="I1997" s="38" t="n">
        <v>199.616982535566</v>
      </c>
      <c r="J1997" s="38" t="n">
        <v>208.832892289416</v>
      </c>
      <c r="K1997" s="38" t="n">
        <v>239.288769828227</v>
      </c>
      <c r="L1997" s="38" t="n">
        <v>40.1027970613457</v>
      </c>
      <c r="M1997" s="38" t="n">
        <v>101.781361441288</v>
      </c>
      <c r="N1997" s="38" t="n">
        <v>118.39127512333</v>
      </c>
      <c r="O1997" s="38" t="n">
        <v>62.1701762743336</v>
      </c>
      <c r="P1997" s="37" t="n">
        <v>0</v>
      </c>
      <c r="Q1997" s="38" t="n">
        <v>0</v>
      </c>
      <c r="R1997" s="38" t="n">
        <v>68.4192081699357</v>
      </c>
      <c r="S1997" s="37" t="n">
        <v>0</v>
      </c>
    </row>
    <row r="1998" customFormat="false" ht="15" hidden="false" customHeight="false" outlineLevel="0" collapsed="false">
      <c r="A1998" s="37" t="n">
        <v>10</v>
      </c>
      <c r="B1998" s="37" t="n">
        <v>10</v>
      </c>
      <c r="C1998" s="37" t="n">
        <v>5</v>
      </c>
      <c r="D1998" s="37" t="n">
        <v>0</v>
      </c>
      <c r="E1998" s="37" t="n">
        <v>5</v>
      </c>
      <c r="F1998" s="37" t="n">
        <v>0</v>
      </c>
      <c r="G1998" s="37" t="s">
        <v>197</v>
      </c>
      <c r="H1998" s="38" t="n">
        <v>198.964596115195</v>
      </c>
      <c r="I1998" s="38" t="n">
        <v>199.618830491978</v>
      </c>
      <c r="J1998" s="38" t="n">
        <v>213.746415301536</v>
      </c>
      <c r="K1998" s="38" t="n">
        <v>249.189824486422</v>
      </c>
      <c r="L1998" s="38" t="n">
        <v>47.0242553475997</v>
      </c>
      <c r="M1998" s="38" t="n">
        <v>104.493153117978</v>
      </c>
      <c r="N1998" s="38" t="n">
        <v>129.072214532958</v>
      </c>
      <c r="O1998" s="38" t="n">
        <v>69.0653201388385</v>
      </c>
      <c r="P1998" s="37" t="n">
        <v>0</v>
      </c>
      <c r="Q1998" s="38" t="n">
        <v>0</v>
      </c>
      <c r="R1998" s="38" t="n">
        <v>70.5</v>
      </c>
      <c r="S1998" s="37" t="n">
        <v>0</v>
      </c>
    </row>
    <row r="1999" customFormat="false" ht="15" hidden="false" customHeight="false" outlineLevel="0" collapsed="false">
      <c r="A1999" s="37" t="n">
        <v>10</v>
      </c>
      <c r="B1999" s="37" t="n">
        <v>10</v>
      </c>
      <c r="C1999" s="37" t="n">
        <v>5</v>
      </c>
      <c r="D1999" s="37" t="n">
        <v>0</v>
      </c>
      <c r="E1999" s="37" t="n">
        <v>5</v>
      </c>
      <c r="F1999" s="37" t="n">
        <v>0</v>
      </c>
      <c r="G1999" s="37" t="s">
        <v>196</v>
      </c>
      <c r="H1999" s="38" t="n">
        <v>198.964596115195</v>
      </c>
      <c r="I1999" s="38" t="n">
        <v>199.639686035207</v>
      </c>
      <c r="J1999" s="38" t="n">
        <v>214.253158384482</v>
      </c>
      <c r="K1999" s="38" t="n">
        <v>250.247505166195</v>
      </c>
      <c r="L1999" s="38" t="n">
        <v>53.2169947261215</v>
      </c>
      <c r="M1999" s="38" t="n">
        <v>105.1747376507</v>
      </c>
      <c r="N1999" s="38" t="n">
        <v>133.524433400707</v>
      </c>
      <c r="O1999" s="38" t="n">
        <v>72.3172773253431</v>
      </c>
      <c r="P1999" s="37" t="n">
        <v>0</v>
      </c>
      <c r="Q1999" s="38" t="n">
        <v>0</v>
      </c>
      <c r="R1999" s="38" t="n">
        <v>69.3660108277158</v>
      </c>
      <c r="S1999" s="37" t="n">
        <v>0</v>
      </c>
    </row>
    <row r="2000" customFormat="false" ht="15" hidden="false" customHeight="false" outlineLevel="0" collapsed="false">
      <c r="A2000" s="37" t="n">
        <v>10</v>
      </c>
      <c r="B2000" s="37" t="n">
        <v>10</v>
      </c>
      <c r="C2000" s="37" t="n">
        <v>5</v>
      </c>
      <c r="D2000" s="37" t="n">
        <v>5</v>
      </c>
      <c r="E2000" s="37" t="n">
        <v>0</v>
      </c>
      <c r="F2000" s="37" t="n">
        <v>0</v>
      </c>
      <c r="G2000" s="37" t="s">
        <v>188</v>
      </c>
      <c r="H2000" s="38" t="n">
        <v>199.135318643921</v>
      </c>
      <c r="I2000" s="38" t="n">
        <v>201.083535640541</v>
      </c>
      <c r="J2000" s="38" t="n">
        <v>226.039959957327</v>
      </c>
      <c r="K2000" s="38" t="n">
        <v>257.743930234797</v>
      </c>
      <c r="L2000" s="38" t="n">
        <v>54.9159324249355</v>
      </c>
      <c r="M2000" s="38" t="n">
        <v>106.47470898132</v>
      </c>
      <c r="N2000" s="38" t="n">
        <v>145.295391619848</v>
      </c>
      <c r="O2000" s="38" t="n">
        <v>78.8300846145157</v>
      </c>
      <c r="P2000" s="37" t="n">
        <v>0</v>
      </c>
      <c r="Q2000" s="38" t="n">
        <v>0</v>
      </c>
      <c r="R2000" s="38" t="n">
        <v>72</v>
      </c>
      <c r="S2000" s="37" t="n">
        <v>1</v>
      </c>
    </row>
    <row r="2001" customFormat="false" ht="15" hidden="false" customHeight="false" outlineLevel="0" collapsed="false">
      <c r="A2001" s="37" t="n">
        <v>10</v>
      </c>
      <c r="B2001" s="37" t="n">
        <v>10</v>
      </c>
      <c r="C2001" s="37" t="n">
        <v>5</v>
      </c>
      <c r="D2001" s="37" t="n">
        <v>5</v>
      </c>
      <c r="E2001" s="37" t="n">
        <v>0</v>
      </c>
      <c r="F2001" s="37" t="n">
        <v>0</v>
      </c>
      <c r="G2001" s="37" t="s">
        <v>192</v>
      </c>
      <c r="H2001" s="38" t="n">
        <v>199.135318643921</v>
      </c>
      <c r="I2001" s="38" t="n">
        <v>200.871212546534</v>
      </c>
      <c r="J2001" s="38" t="n">
        <v>230.799561145465</v>
      </c>
      <c r="K2001" s="38" t="n">
        <v>256.117148162795</v>
      </c>
      <c r="L2001" s="38" t="n">
        <v>43.9607568094754</v>
      </c>
      <c r="M2001" s="38" t="n">
        <v>103.215974347901</v>
      </c>
      <c r="N2001" s="38" t="n">
        <v>145.264051169486</v>
      </c>
      <c r="O2001" s="38" t="n">
        <v>78.3837867187459</v>
      </c>
      <c r="P2001" s="37" t="n">
        <v>0</v>
      </c>
      <c r="Q2001" s="38" t="n">
        <v>0</v>
      </c>
      <c r="R2001" s="38" t="n">
        <v>72</v>
      </c>
      <c r="S2001" s="37" t="n">
        <v>0</v>
      </c>
    </row>
    <row r="2002" customFormat="false" ht="15" hidden="false" customHeight="false" outlineLevel="0" collapsed="false">
      <c r="A2002" s="37" t="n">
        <v>10</v>
      </c>
      <c r="B2002" s="37" t="n">
        <v>10</v>
      </c>
      <c r="C2002" s="37" t="n">
        <v>5</v>
      </c>
      <c r="D2002" s="37" t="n">
        <v>5</v>
      </c>
      <c r="E2002" s="37" t="n">
        <v>0</v>
      </c>
      <c r="F2002" s="37" t="n">
        <v>0</v>
      </c>
      <c r="G2002" s="37" t="s">
        <v>195</v>
      </c>
      <c r="H2002" s="38" t="n">
        <v>199.135318643921</v>
      </c>
      <c r="I2002" s="38" t="n">
        <v>200.925879225662</v>
      </c>
      <c r="J2002" s="38" t="n">
        <v>219.913418414887</v>
      </c>
      <c r="K2002" s="38" t="n">
        <v>246.180478039022</v>
      </c>
      <c r="L2002" s="38" t="n">
        <v>48.5131396397697</v>
      </c>
      <c r="M2002" s="38" t="n">
        <v>104.195704597907</v>
      </c>
      <c r="N2002" s="38" t="n">
        <v>132.438303334409</v>
      </c>
      <c r="O2002" s="38" t="n">
        <v>72.8723793062672</v>
      </c>
      <c r="P2002" s="37" t="n">
        <v>0</v>
      </c>
      <c r="Q2002" s="38" t="n">
        <v>0</v>
      </c>
      <c r="R2002" s="38" t="n">
        <v>70.3747984802244</v>
      </c>
      <c r="S2002" s="37" t="n">
        <v>0</v>
      </c>
    </row>
    <row r="2003" customFormat="false" ht="15" hidden="false" customHeight="false" outlineLevel="0" collapsed="false">
      <c r="A2003" s="37" t="n">
        <v>10</v>
      </c>
      <c r="B2003" s="37" t="n">
        <v>10</v>
      </c>
      <c r="C2003" s="37" t="n">
        <v>5</v>
      </c>
      <c r="D2003" s="37" t="n">
        <v>5</v>
      </c>
      <c r="E2003" s="37" t="n">
        <v>0</v>
      </c>
      <c r="F2003" s="37" t="n">
        <v>0</v>
      </c>
      <c r="G2003" s="37" t="s">
        <v>197</v>
      </c>
      <c r="H2003" s="38" t="n">
        <v>199.135318643921</v>
      </c>
      <c r="I2003" s="38" t="n">
        <v>200.844649695075</v>
      </c>
      <c r="J2003" s="38" t="n">
        <v>220.354816891172</v>
      </c>
      <c r="K2003" s="38" t="n">
        <v>249.1303141679</v>
      </c>
      <c r="L2003" s="38" t="n">
        <v>46.7665914176638</v>
      </c>
      <c r="M2003" s="38" t="n">
        <v>102.277072023378</v>
      </c>
      <c r="N2003" s="38" t="n">
        <v>125.342070866165</v>
      </c>
      <c r="O2003" s="38" t="n">
        <v>70.9703422383506</v>
      </c>
      <c r="P2003" s="37" t="n">
        <v>0</v>
      </c>
      <c r="Q2003" s="38" t="n">
        <v>0</v>
      </c>
      <c r="R2003" s="38" t="n">
        <v>72</v>
      </c>
      <c r="S2003" s="37" t="n">
        <v>0</v>
      </c>
    </row>
    <row r="2004" customFormat="false" ht="15" hidden="false" customHeight="false" outlineLevel="0" collapsed="false">
      <c r="A2004" s="37" t="n">
        <v>10</v>
      </c>
      <c r="B2004" s="37" t="n">
        <v>10</v>
      </c>
      <c r="C2004" s="37" t="n">
        <v>5</v>
      </c>
      <c r="D2004" s="37" t="n">
        <v>5</v>
      </c>
      <c r="E2004" s="37" t="n">
        <v>0</v>
      </c>
      <c r="F2004" s="37" t="n">
        <v>0</v>
      </c>
      <c r="G2004" s="37" t="s">
        <v>196</v>
      </c>
      <c r="H2004" s="38" t="n">
        <v>199.135318643921</v>
      </c>
      <c r="I2004" s="38" t="n">
        <v>200.875515922756</v>
      </c>
      <c r="J2004" s="38" t="n">
        <v>221.675981333392</v>
      </c>
      <c r="K2004" s="38" t="n">
        <v>251.294839822604</v>
      </c>
      <c r="L2004" s="38" t="n">
        <v>54.7470350409446</v>
      </c>
      <c r="M2004" s="38" t="n">
        <v>105.98582306847</v>
      </c>
      <c r="N2004" s="38" t="n">
        <v>138.027501896287</v>
      </c>
      <c r="O2004" s="38" t="n">
        <v>76.7071216537658</v>
      </c>
      <c r="P2004" s="37" t="n">
        <v>0</v>
      </c>
      <c r="Q2004" s="38" t="n">
        <v>0</v>
      </c>
      <c r="R2004" s="38" t="n">
        <v>70.981860185735</v>
      </c>
      <c r="S2004" s="37" t="n">
        <v>0</v>
      </c>
    </row>
    <row r="2005" customFormat="false" ht="15" hidden="false" customHeight="false" outlineLevel="0" collapsed="false">
      <c r="A2005" s="37" t="n">
        <v>10</v>
      </c>
      <c r="B2005" s="37" t="n">
        <v>10</v>
      </c>
      <c r="C2005" s="37" t="n">
        <v>10</v>
      </c>
      <c r="D2005" s="37" t="n">
        <v>0</v>
      </c>
      <c r="E2005" s="37" t="n">
        <v>0</v>
      </c>
      <c r="F2005" s="37" t="n">
        <v>0</v>
      </c>
      <c r="G2005" s="37" t="s">
        <v>188</v>
      </c>
      <c r="H2005" s="38" t="n">
        <v>199.168788268214</v>
      </c>
      <c r="I2005" s="38" t="n">
        <v>202.981595382757</v>
      </c>
      <c r="J2005" s="38" t="n">
        <v>231.650889498454</v>
      </c>
      <c r="K2005" s="38" t="n">
        <v>281.705652282863</v>
      </c>
      <c r="L2005" s="38" t="n">
        <v>79.4279111392869</v>
      </c>
      <c r="M2005" s="38" t="n">
        <v>112.299751333501</v>
      </c>
      <c r="N2005" s="38" t="n">
        <v>155.776068825271</v>
      </c>
      <c r="O2005" s="38" t="n">
        <v>78.8967388697995</v>
      </c>
      <c r="P2005" s="37" t="n">
        <v>0</v>
      </c>
      <c r="Q2005" s="38" t="n">
        <v>0</v>
      </c>
      <c r="R2005" s="38" t="n">
        <v>70.5</v>
      </c>
      <c r="S2005" s="37" t="n">
        <v>1</v>
      </c>
    </row>
    <row r="2006" customFormat="false" ht="15" hidden="false" customHeight="false" outlineLevel="0" collapsed="false">
      <c r="A2006" s="37" t="n">
        <v>10</v>
      </c>
      <c r="B2006" s="37" t="n">
        <v>10</v>
      </c>
      <c r="C2006" s="37" t="n">
        <v>10</v>
      </c>
      <c r="D2006" s="37" t="n">
        <v>0</v>
      </c>
      <c r="E2006" s="37" t="n">
        <v>0</v>
      </c>
      <c r="F2006" s="37" t="n">
        <v>0</v>
      </c>
      <c r="G2006" s="37" t="s">
        <v>192</v>
      </c>
      <c r="H2006" s="38" t="n">
        <v>199.168788268214</v>
      </c>
      <c r="I2006" s="38" t="n">
        <v>202.684988381571</v>
      </c>
      <c r="J2006" s="38" t="n">
        <v>235.944318149447</v>
      </c>
      <c r="K2006" s="38" t="n">
        <v>278.617958372621</v>
      </c>
      <c r="L2006" s="38" t="n">
        <v>67.5095363334557</v>
      </c>
      <c r="M2006" s="38" t="n">
        <v>108.81313407844</v>
      </c>
      <c r="N2006" s="38" t="n">
        <v>155.051394793176</v>
      </c>
      <c r="O2006" s="38" t="n">
        <v>78.364239494965</v>
      </c>
      <c r="P2006" s="37" t="n">
        <v>0</v>
      </c>
      <c r="Q2006" s="38" t="n">
        <v>0</v>
      </c>
      <c r="R2006" s="38" t="n">
        <v>70.5</v>
      </c>
      <c r="S2006" s="37" t="n">
        <v>0</v>
      </c>
    </row>
    <row r="2007" customFormat="false" ht="15" hidden="false" customHeight="false" outlineLevel="0" collapsed="false">
      <c r="A2007" s="37" t="n">
        <v>10</v>
      </c>
      <c r="B2007" s="37" t="n">
        <v>10</v>
      </c>
      <c r="C2007" s="37" t="n">
        <v>10</v>
      </c>
      <c r="D2007" s="37" t="n">
        <v>0</v>
      </c>
      <c r="E2007" s="37" t="n">
        <v>0</v>
      </c>
      <c r="F2007" s="37" t="n">
        <v>0</v>
      </c>
      <c r="G2007" s="37" t="s">
        <v>195</v>
      </c>
      <c r="H2007" s="38" t="n">
        <v>199.168788268214</v>
      </c>
      <c r="I2007" s="38" t="n">
        <v>202.689371108111</v>
      </c>
      <c r="J2007" s="38" t="n">
        <v>221.654008610689</v>
      </c>
      <c r="K2007" s="38" t="n">
        <v>263.664329756627</v>
      </c>
      <c r="L2007" s="38" t="n">
        <v>64.914897644006</v>
      </c>
      <c r="M2007" s="38" t="n">
        <v>108.227615408689</v>
      </c>
      <c r="N2007" s="38" t="n">
        <v>134.412192508491</v>
      </c>
      <c r="O2007" s="38" t="n">
        <v>69.590385216069</v>
      </c>
      <c r="P2007" s="37" t="n">
        <v>0</v>
      </c>
      <c r="Q2007" s="38" t="n">
        <v>0</v>
      </c>
      <c r="R2007" s="38" t="n">
        <v>68.5501703662137</v>
      </c>
      <c r="S2007" s="37" t="n">
        <v>0</v>
      </c>
    </row>
    <row r="2008" customFormat="false" ht="15" hidden="false" customHeight="false" outlineLevel="0" collapsed="false">
      <c r="A2008" s="37" t="n">
        <v>10</v>
      </c>
      <c r="B2008" s="37" t="n">
        <v>10</v>
      </c>
      <c r="C2008" s="37" t="n">
        <v>10</v>
      </c>
      <c r="D2008" s="37" t="n">
        <v>0</v>
      </c>
      <c r="E2008" s="37" t="n">
        <v>0</v>
      </c>
      <c r="F2008" s="37" t="n">
        <v>0</v>
      </c>
      <c r="G2008" s="37" t="s">
        <v>197</v>
      </c>
      <c r="H2008" s="38" t="n">
        <v>199.168788268214</v>
      </c>
      <c r="I2008" s="38" t="n">
        <v>202.643249929655</v>
      </c>
      <c r="J2008" s="38" t="n">
        <v>224.972940367777</v>
      </c>
      <c r="K2008" s="38" t="n">
        <v>270.929414479327</v>
      </c>
      <c r="L2008" s="38" t="n">
        <v>68.4458310426652</v>
      </c>
      <c r="M2008" s="38" t="n">
        <v>106.077383513434</v>
      </c>
      <c r="N2008" s="38" t="n">
        <v>130.954103829846</v>
      </c>
      <c r="O2008" s="38" t="n">
        <v>69.9175873112751</v>
      </c>
      <c r="P2008" s="37" t="n">
        <v>0</v>
      </c>
      <c r="Q2008" s="38" t="n">
        <v>0</v>
      </c>
      <c r="R2008" s="38" t="n">
        <v>70.5</v>
      </c>
      <c r="S2008" s="37" t="n">
        <v>0</v>
      </c>
    </row>
    <row r="2009" customFormat="false" ht="15" hidden="false" customHeight="false" outlineLevel="0" collapsed="false">
      <c r="A2009" s="37" t="n">
        <v>10</v>
      </c>
      <c r="B2009" s="37" t="n">
        <v>10</v>
      </c>
      <c r="C2009" s="37" t="n">
        <v>10</v>
      </c>
      <c r="D2009" s="37" t="n">
        <v>0</v>
      </c>
      <c r="E2009" s="37" t="n">
        <v>0</v>
      </c>
      <c r="F2009" s="37" t="n">
        <v>0</v>
      </c>
      <c r="G2009" s="37" t="s">
        <v>196</v>
      </c>
      <c r="H2009" s="38" t="n">
        <v>199.168788268214</v>
      </c>
      <c r="I2009" s="38" t="n">
        <v>202.690695979576</v>
      </c>
      <c r="J2009" s="38" t="n">
        <v>226.219991539104</v>
      </c>
      <c r="K2009" s="38" t="n">
        <v>273.093995484319</v>
      </c>
      <c r="L2009" s="38" t="n">
        <v>76.4202948494421</v>
      </c>
      <c r="M2009" s="38" t="n">
        <v>109.935679964729</v>
      </c>
      <c r="N2009" s="38" t="n">
        <v>143.753308710913</v>
      </c>
      <c r="O2009" s="38" t="n">
        <v>76.7158581337386</v>
      </c>
      <c r="P2009" s="37" t="n">
        <v>0</v>
      </c>
      <c r="Q2009" s="38" t="n">
        <v>0</v>
      </c>
      <c r="R2009" s="38" t="n">
        <v>69.4516451809628</v>
      </c>
      <c r="S2009" s="37" t="n">
        <v>0</v>
      </c>
    </row>
    <row r="2010" customFormat="false" ht="15" hidden="false" customHeight="false" outlineLevel="0" collapsed="false">
      <c r="A2010" s="37" t="n">
        <v>10</v>
      </c>
      <c r="B2010" s="37" t="n">
        <v>15</v>
      </c>
      <c r="C2010" s="37" t="n">
        <v>0</v>
      </c>
      <c r="D2010" s="37" t="n">
        <v>0</v>
      </c>
      <c r="E2010" s="37" t="n">
        <v>0</v>
      </c>
      <c r="F2010" s="37" t="n">
        <v>5</v>
      </c>
      <c r="G2010" s="37" t="s">
        <v>188</v>
      </c>
      <c r="H2010" s="38" t="n">
        <v>198.931209265749</v>
      </c>
      <c r="I2010" s="38" t="n">
        <v>198.293057918031</v>
      </c>
      <c r="J2010" s="38" t="n">
        <v>199.689295936877</v>
      </c>
      <c r="K2010" s="38" t="n">
        <v>225.033938396138</v>
      </c>
      <c r="L2010" s="38" t="n">
        <v>60.1863763627913</v>
      </c>
      <c r="M2010" s="38" t="n">
        <v>100.098206136389</v>
      </c>
      <c r="N2010" s="38" t="n">
        <v>104.410900130691</v>
      </c>
      <c r="O2010" s="38" t="n">
        <v>61.5940813808768</v>
      </c>
      <c r="P2010" s="37" t="n">
        <v>0</v>
      </c>
      <c r="Q2010" s="38" t="n">
        <v>0</v>
      </c>
      <c r="R2010" s="38" t="n">
        <v>70.5</v>
      </c>
      <c r="S2010" s="37" t="n">
        <v>0</v>
      </c>
    </row>
    <row r="2011" customFormat="false" ht="15" hidden="false" customHeight="false" outlineLevel="0" collapsed="false">
      <c r="A2011" s="37" t="n">
        <v>10</v>
      </c>
      <c r="B2011" s="37" t="n">
        <v>15</v>
      </c>
      <c r="C2011" s="37" t="n">
        <v>0</v>
      </c>
      <c r="D2011" s="37" t="n">
        <v>0</v>
      </c>
      <c r="E2011" s="37" t="n">
        <v>0</v>
      </c>
      <c r="F2011" s="37" t="n">
        <v>5</v>
      </c>
      <c r="G2011" s="37" t="s">
        <v>192</v>
      </c>
      <c r="H2011" s="38" t="n">
        <v>198.931209265749</v>
      </c>
      <c r="I2011" s="38" t="n">
        <v>198.161960918749</v>
      </c>
      <c r="J2011" s="38" t="n">
        <v>207.624892715235</v>
      </c>
      <c r="K2011" s="38" t="n">
        <v>228.282490755008</v>
      </c>
      <c r="L2011" s="38" t="n">
        <v>53.7989065994337</v>
      </c>
      <c r="M2011" s="38" t="n">
        <v>98.14342928865</v>
      </c>
      <c r="N2011" s="38" t="n">
        <v>109.67364356829</v>
      </c>
      <c r="O2011" s="38" t="n">
        <v>64.4996303055227</v>
      </c>
      <c r="P2011" s="37" t="n">
        <v>0</v>
      </c>
      <c r="Q2011" s="38" t="n">
        <v>0</v>
      </c>
      <c r="R2011" s="38" t="n">
        <v>70.5</v>
      </c>
      <c r="S2011" s="37" t="n">
        <v>1</v>
      </c>
    </row>
    <row r="2012" customFormat="false" ht="15" hidden="false" customHeight="false" outlineLevel="0" collapsed="false">
      <c r="A2012" s="37" t="n">
        <v>10</v>
      </c>
      <c r="B2012" s="37" t="n">
        <v>15</v>
      </c>
      <c r="C2012" s="37" t="n">
        <v>0</v>
      </c>
      <c r="D2012" s="37" t="n">
        <v>0</v>
      </c>
      <c r="E2012" s="37" t="n">
        <v>0</v>
      </c>
      <c r="F2012" s="37" t="n">
        <v>5</v>
      </c>
      <c r="G2012" s="37" t="s">
        <v>195</v>
      </c>
      <c r="H2012" s="38" t="n">
        <v>198.931209265749</v>
      </c>
      <c r="I2012" s="38" t="n">
        <v>198.153175822138</v>
      </c>
      <c r="J2012" s="38" t="n">
        <v>194.150957934115</v>
      </c>
      <c r="K2012" s="38" t="n">
        <v>213.287881540503</v>
      </c>
      <c r="L2012" s="38" t="n">
        <v>54.0966147935336</v>
      </c>
      <c r="M2012" s="38" t="n">
        <v>96.2563756816001</v>
      </c>
      <c r="N2012" s="38" t="n">
        <v>87.936889367205</v>
      </c>
      <c r="O2012" s="38" t="n">
        <v>54.6867075059603</v>
      </c>
      <c r="P2012" s="37" t="n">
        <v>0</v>
      </c>
      <c r="Q2012" s="38" t="n">
        <v>0</v>
      </c>
      <c r="R2012" s="38" t="n">
        <v>68.4176199759091</v>
      </c>
      <c r="S2012" s="37" t="n">
        <v>0</v>
      </c>
    </row>
    <row r="2013" customFormat="false" ht="15" hidden="false" customHeight="false" outlineLevel="0" collapsed="false">
      <c r="A2013" s="37" t="n">
        <v>10</v>
      </c>
      <c r="B2013" s="37" t="n">
        <v>15</v>
      </c>
      <c r="C2013" s="37" t="n">
        <v>0</v>
      </c>
      <c r="D2013" s="37" t="n">
        <v>0</v>
      </c>
      <c r="E2013" s="37" t="n">
        <v>0</v>
      </c>
      <c r="F2013" s="37" t="n">
        <v>5</v>
      </c>
      <c r="G2013" s="37" t="s">
        <v>197</v>
      </c>
      <c r="H2013" s="38" t="n">
        <v>198.931209265749</v>
      </c>
      <c r="I2013" s="38" t="n">
        <v>198.15435014335</v>
      </c>
      <c r="J2013" s="38" t="n">
        <v>198.000365999713</v>
      </c>
      <c r="K2013" s="38" t="n">
        <v>222.080871141952</v>
      </c>
      <c r="L2013" s="38" t="n">
        <v>59.3722667141075</v>
      </c>
      <c r="M2013" s="38" t="n">
        <v>98.0595815713826</v>
      </c>
      <c r="N2013" s="38" t="n">
        <v>94.970214930888</v>
      </c>
      <c r="O2013" s="38" t="n">
        <v>57.3899049072791</v>
      </c>
      <c r="P2013" s="37" t="n">
        <v>0</v>
      </c>
      <c r="Q2013" s="38" t="n">
        <v>0</v>
      </c>
      <c r="R2013" s="38" t="n">
        <v>70.5</v>
      </c>
      <c r="S2013" s="37" t="n">
        <v>0</v>
      </c>
    </row>
    <row r="2014" customFormat="false" ht="15" hidden="false" customHeight="false" outlineLevel="0" collapsed="false">
      <c r="A2014" s="37" t="n">
        <v>10</v>
      </c>
      <c r="B2014" s="37" t="n">
        <v>15</v>
      </c>
      <c r="C2014" s="37" t="n">
        <v>0</v>
      </c>
      <c r="D2014" s="37" t="n">
        <v>0</v>
      </c>
      <c r="E2014" s="37" t="n">
        <v>0</v>
      </c>
      <c r="F2014" s="37" t="n">
        <v>5</v>
      </c>
      <c r="G2014" s="37" t="s">
        <v>196</v>
      </c>
      <c r="H2014" s="38" t="n">
        <v>198.931209265749</v>
      </c>
      <c r="I2014" s="38" t="n">
        <v>198.164920144955</v>
      </c>
      <c r="J2014" s="38" t="n">
        <v>199.139099662778</v>
      </c>
      <c r="K2014" s="38" t="n">
        <v>223.792144870913</v>
      </c>
      <c r="L2014" s="38" t="n">
        <v>67.6562231587699</v>
      </c>
      <c r="M2014" s="38" t="n">
        <v>100.906110529243</v>
      </c>
      <c r="N2014" s="38" t="n">
        <v>104.418135962666</v>
      </c>
      <c r="O2014" s="38" t="n">
        <v>62.7245851682766</v>
      </c>
      <c r="P2014" s="37" t="n">
        <v>0</v>
      </c>
      <c r="Q2014" s="38" t="n">
        <v>0</v>
      </c>
      <c r="R2014" s="38" t="n">
        <v>69.580712122419</v>
      </c>
      <c r="S2014" s="37" t="n">
        <v>0</v>
      </c>
    </row>
    <row r="2015" customFormat="false" ht="15" hidden="false" customHeight="false" outlineLevel="0" collapsed="false">
      <c r="A2015" s="37" t="n">
        <v>10</v>
      </c>
      <c r="B2015" s="37" t="n">
        <v>15</v>
      </c>
      <c r="C2015" s="37" t="n">
        <v>0</v>
      </c>
      <c r="D2015" s="37" t="n">
        <v>0</v>
      </c>
      <c r="E2015" s="37" t="n">
        <v>5</v>
      </c>
      <c r="F2015" s="37" t="n">
        <v>0</v>
      </c>
      <c r="G2015" s="37" t="s">
        <v>188</v>
      </c>
      <c r="H2015" s="38" t="n">
        <v>198.935784014284</v>
      </c>
      <c r="I2015" s="38" t="n">
        <v>198.42147117474</v>
      </c>
      <c r="J2015" s="38" t="n">
        <v>201.97234064597</v>
      </c>
      <c r="K2015" s="38" t="n">
        <v>228.574285724477</v>
      </c>
      <c r="L2015" s="38" t="n">
        <v>35.188574121112</v>
      </c>
      <c r="M2015" s="38" t="n">
        <v>101.004050790091</v>
      </c>
      <c r="N2015" s="38" t="n">
        <v>106.470315900696</v>
      </c>
      <c r="O2015" s="38" t="n">
        <v>59.0739605424921</v>
      </c>
      <c r="P2015" s="37" t="n">
        <v>0</v>
      </c>
      <c r="Q2015" s="38" t="n">
        <v>0</v>
      </c>
      <c r="R2015" s="38" t="n">
        <v>70.5</v>
      </c>
      <c r="S2015" s="37" t="n">
        <v>1</v>
      </c>
    </row>
    <row r="2016" customFormat="false" ht="15" hidden="false" customHeight="false" outlineLevel="0" collapsed="false">
      <c r="A2016" s="37" t="n">
        <v>10</v>
      </c>
      <c r="B2016" s="37" t="n">
        <v>15</v>
      </c>
      <c r="C2016" s="37" t="n">
        <v>0</v>
      </c>
      <c r="D2016" s="37" t="n">
        <v>0</v>
      </c>
      <c r="E2016" s="37" t="n">
        <v>5</v>
      </c>
      <c r="F2016" s="37" t="n">
        <v>0</v>
      </c>
      <c r="G2016" s="37" t="s">
        <v>192</v>
      </c>
      <c r="H2016" s="38" t="n">
        <v>198.935784014284</v>
      </c>
      <c r="I2016" s="38" t="n">
        <v>198.300020928866</v>
      </c>
      <c r="J2016" s="38" t="n">
        <v>210.014617759414</v>
      </c>
      <c r="K2016" s="38" t="n">
        <v>231.882595477339</v>
      </c>
      <c r="L2016" s="38" t="n">
        <v>28.6431849813835</v>
      </c>
      <c r="M2016" s="38" t="n">
        <v>99.030453015959</v>
      </c>
      <c r="N2016" s="38" t="n">
        <v>106.037133666626</v>
      </c>
      <c r="O2016" s="38" t="n">
        <v>62.0744488035173</v>
      </c>
      <c r="P2016" s="37" t="n">
        <v>0</v>
      </c>
      <c r="Q2016" s="38" t="n">
        <v>0</v>
      </c>
      <c r="R2016" s="38" t="n">
        <v>70.5</v>
      </c>
      <c r="S2016" s="37" t="n">
        <v>0</v>
      </c>
    </row>
    <row r="2017" customFormat="false" ht="15" hidden="false" customHeight="false" outlineLevel="0" collapsed="false">
      <c r="A2017" s="37" t="n">
        <v>10</v>
      </c>
      <c r="B2017" s="37" t="n">
        <v>15</v>
      </c>
      <c r="C2017" s="37" t="n">
        <v>0</v>
      </c>
      <c r="D2017" s="37" t="n">
        <v>0</v>
      </c>
      <c r="E2017" s="37" t="n">
        <v>5</v>
      </c>
      <c r="F2017" s="37" t="n">
        <v>0</v>
      </c>
      <c r="G2017" s="37" t="s">
        <v>195</v>
      </c>
      <c r="H2017" s="38" t="n">
        <v>198.935784014284</v>
      </c>
      <c r="I2017" s="38" t="n">
        <v>198.288018460524</v>
      </c>
      <c r="J2017" s="38" t="n">
        <v>196.172533000101</v>
      </c>
      <c r="K2017" s="38" t="n">
        <v>216.585077625012</v>
      </c>
      <c r="L2017" s="38" t="n">
        <v>28.564014746759</v>
      </c>
      <c r="M2017" s="38" t="n">
        <v>97.3064307351759</v>
      </c>
      <c r="N2017" s="38" t="n">
        <v>83.6283122488709</v>
      </c>
      <c r="O2017" s="38" t="n">
        <v>51.9956123949826</v>
      </c>
      <c r="P2017" s="37" t="n">
        <v>0</v>
      </c>
      <c r="Q2017" s="38" t="n">
        <v>0</v>
      </c>
      <c r="R2017" s="38" t="n">
        <v>68.3936811365241</v>
      </c>
      <c r="S2017" s="37" t="n">
        <v>0</v>
      </c>
    </row>
    <row r="2018" customFormat="false" ht="15" hidden="false" customHeight="false" outlineLevel="0" collapsed="false">
      <c r="A2018" s="37" t="n">
        <v>10</v>
      </c>
      <c r="B2018" s="37" t="n">
        <v>15</v>
      </c>
      <c r="C2018" s="37" t="n">
        <v>0</v>
      </c>
      <c r="D2018" s="37" t="n">
        <v>0</v>
      </c>
      <c r="E2018" s="37" t="n">
        <v>5</v>
      </c>
      <c r="F2018" s="37" t="n">
        <v>0</v>
      </c>
      <c r="G2018" s="37" t="s">
        <v>197</v>
      </c>
      <c r="H2018" s="38" t="n">
        <v>198.935784014284</v>
      </c>
      <c r="I2018" s="38" t="n">
        <v>198.300945875505</v>
      </c>
      <c r="J2018" s="38" t="n">
        <v>200.993193767534</v>
      </c>
      <c r="K2018" s="38" t="n">
        <v>226.768961838264</v>
      </c>
      <c r="L2018" s="38" t="n">
        <v>24.9998437364797</v>
      </c>
      <c r="M2018" s="38" t="n">
        <v>102.270647156631</v>
      </c>
      <c r="N2018" s="38" t="n">
        <v>97.2407979596888</v>
      </c>
      <c r="O2018" s="38" t="n">
        <v>61.1875246450605</v>
      </c>
      <c r="P2018" s="37" t="n">
        <v>0</v>
      </c>
      <c r="Q2018" s="38" t="n">
        <v>0.000156263520352695</v>
      </c>
      <c r="R2018" s="38" t="n">
        <v>70.5</v>
      </c>
      <c r="S2018" s="37" t="n">
        <v>0</v>
      </c>
    </row>
    <row r="2019" customFormat="false" ht="15" hidden="false" customHeight="false" outlineLevel="0" collapsed="false">
      <c r="A2019" s="37" t="n">
        <v>10</v>
      </c>
      <c r="B2019" s="37" t="n">
        <v>15</v>
      </c>
      <c r="C2019" s="37" t="n">
        <v>0</v>
      </c>
      <c r="D2019" s="37" t="n">
        <v>0</v>
      </c>
      <c r="E2019" s="37" t="n">
        <v>5</v>
      </c>
      <c r="F2019" s="37" t="n">
        <v>0</v>
      </c>
      <c r="G2019" s="37" t="s">
        <v>196</v>
      </c>
      <c r="H2019" s="38" t="n">
        <v>198.935784014284</v>
      </c>
      <c r="I2019" s="38" t="n">
        <v>198.305645657155</v>
      </c>
      <c r="J2019" s="38" t="n">
        <v>201.337298727686</v>
      </c>
      <c r="K2019" s="38" t="n">
        <v>227.386073120485</v>
      </c>
      <c r="L2019" s="38" t="n">
        <v>30.814798201229</v>
      </c>
      <c r="M2019" s="38" t="n">
        <v>102.485681560368</v>
      </c>
      <c r="N2019" s="38" t="n">
        <v>104.223399677296</v>
      </c>
      <c r="O2019" s="38" t="n">
        <v>63.9312734821899</v>
      </c>
      <c r="P2019" s="37" t="n">
        <v>0</v>
      </c>
      <c r="Q2019" s="38" t="n">
        <v>0</v>
      </c>
      <c r="R2019" s="38" t="n">
        <v>69.4762273527119</v>
      </c>
      <c r="S2019" s="37" t="n">
        <v>0</v>
      </c>
    </row>
    <row r="2020" customFormat="false" ht="15" hidden="false" customHeight="false" outlineLevel="0" collapsed="false">
      <c r="A2020" s="37" t="n">
        <v>10</v>
      </c>
      <c r="B2020" s="37" t="n">
        <v>15</v>
      </c>
      <c r="C2020" s="37" t="n">
        <v>0</v>
      </c>
      <c r="D2020" s="37" t="n">
        <v>5</v>
      </c>
      <c r="E2020" s="37" t="n">
        <v>0</v>
      </c>
      <c r="F2020" s="37" t="n">
        <v>0</v>
      </c>
      <c r="G2020" s="37" t="s">
        <v>188</v>
      </c>
      <c r="H2020" s="38" t="n">
        <v>199.072773994609</v>
      </c>
      <c r="I2020" s="38" t="n">
        <v>199.206989492798</v>
      </c>
      <c r="J2020" s="38" t="n">
        <v>204.467723401894</v>
      </c>
      <c r="K2020" s="38" t="n">
        <v>221.458199893213</v>
      </c>
      <c r="L2020" s="38" t="n">
        <v>28.4769686806485</v>
      </c>
      <c r="M2020" s="38" t="n">
        <v>100.887121176966</v>
      </c>
      <c r="N2020" s="38" t="n">
        <v>97.6691587841442</v>
      </c>
      <c r="O2020" s="38" t="n">
        <v>62.3386196886469</v>
      </c>
      <c r="P2020" s="37" t="n">
        <v>0</v>
      </c>
      <c r="Q2020" s="38" t="n">
        <v>0</v>
      </c>
      <c r="R2020" s="38" t="n">
        <v>72</v>
      </c>
      <c r="S2020" s="37" t="n">
        <v>0</v>
      </c>
    </row>
    <row r="2021" customFormat="false" ht="15" hidden="false" customHeight="false" outlineLevel="0" collapsed="false">
      <c r="A2021" s="37" t="n">
        <v>10</v>
      </c>
      <c r="B2021" s="37" t="n">
        <v>15</v>
      </c>
      <c r="C2021" s="37" t="n">
        <v>0</v>
      </c>
      <c r="D2021" s="37" t="n">
        <v>5</v>
      </c>
      <c r="E2021" s="37" t="n">
        <v>0</v>
      </c>
      <c r="F2021" s="37" t="n">
        <v>0</v>
      </c>
      <c r="G2021" s="37" t="s">
        <v>192</v>
      </c>
      <c r="H2021" s="38" t="n">
        <v>199.072773994609</v>
      </c>
      <c r="I2021" s="38" t="n">
        <v>199.066798120823</v>
      </c>
      <c r="J2021" s="38" t="n">
        <v>212.249901538874</v>
      </c>
      <c r="K2021" s="38" t="n">
        <v>224.282738031977</v>
      </c>
      <c r="L2021" s="38" t="n">
        <v>63.0791880994311</v>
      </c>
      <c r="M2021" s="38" t="n">
        <v>98.8767487667775</v>
      </c>
      <c r="N2021" s="38" t="n">
        <v>110.635665818863</v>
      </c>
      <c r="O2021" s="38" t="n">
        <v>68.0545255169603</v>
      </c>
      <c r="P2021" s="37" t="n">
        <v>0</v>
      </c>
      <c r="Q2021" s="38" t="n">
        <v>0.00708774300627724</v>
      </c>
      <c r="R2021" s="38" t="n">
        <v>72</v>
      </c>
      <c r="S2021" s="37" t="n">
        <v>1</v>
      </c>
    </row>
    <row r="2022" customFormat="false" ht="15" hidden="false" customHeight="false" outlineLevel="0" collapsed="false">
      <c r="A2022" s="37" t="n">
        <v>10</v>
      </c>
      <c r="B2022" s="37" t="n">
        <v>15</v>
      </c>
      <c r="C2022" s="37" t="n">
        <v>0</v>
      </c>
      <c r="D2022" s="37" t="n">
        <v>5</v>
      </c>
      <c r="E2022" s="37" t="n">
        <v>0</v>
      </c>
      <c r="F2022" s="37" t="n">
        <v>0</v>
      </c>
      <c r="G2022" s="37" t="s">
        <v>195</v>
      </c>
      <c r="H2022" s="38" t="n">
        <v>199.072773994609</v>
      </c>
      <c r="I2022" s="38" t="n">
        <v>199.088482949267</v>
      </c>
      <c r="J2022" s="38" t="n">
        <v>200.566264711346</v>
      </c>
      <c r="K2022" s="38" t="n">
        <v>212.82668913084</v>
      </c>
      <c r="L2022" s="38" t="n">
        <v>26.1919922939866</v>
      </c>
      <c r="M2022" s="38" t="n">
        <v>98.6625703452065</v>
      </c>
      <c r="N2022" s="38" t="n">
        <v>85.5328792250231</v>
      </c>
      <c r="O2022" s="38" t="n">
        <v>57.7238757296767</v>
      </c>
      <c r="P2022" s="37" t="n">
        <v>0</v>
      </c>
      <c r="Q2022" s="38" t="n">
        <v>0</v>
      </c>
      <c r="R2022" s="38" t="n">
        <v>70.309590948944</v>
      </c>
      <c r="S2022" s="37" t="n">
        <v>0</v>
      </c>
    </row>
    <row r="2023" customFormat="false" ht="15" hidden="false" customHeight="false" outlineLevel="0" collapsed="false">
      <c r="A2023" s="37" t="n">
        <v>10</v>
      </c>
      <c r="B2023" s="37" t="n">
        <v>15</v>
      </c>
      <c r="C2023" s="37" t="n">
        <v>0</v>
      </c>
      <c r="D2023" s="37" t="n">
        <v>5</v>
      </c>
      <c r="E2023" s="37" t="n">
        <v>0</v>
      </c>
      <c r="F2023" s="37" t="n">
        <v>0</v>
      </c>
      <c r="G2023" s="37" t="s">
        <v>197</v>
      </c>
      <c r="H2023" s="38" t="n">
        <v>199.072773994609</v>
      </c>
      <c r="I2023" s="38" t="n">
        <v>199.058302344073</v>
      </c>
      <c r="J2023" s="38" t="n">
        <v>202.442807599964</v>
      </c>
      <c r="K2023" s="38" t="n">
        <v>218.201474335604</v>
      </c>
      <c r="L2023" s="38" t="n">
        <v>30.7338948535773</v>
      </c>
      <c r="M2023" s="38" t="n">
        <v>98.8880207127704</v>
      </c>
      <c r="N2023" s="38" t="n">
        <v>89.4798584275058</v>
      </c>
      <c r="O2023" s="38" t="n">
        <v>57.8223231862891</v>
      </c>
      <c r="P2023" s="37" t="n">
        <v>0</v>
      </c>
      <c r="Q2023" s="38" t="n">
        <v>0</v>
      </c>
      <c r="R2023" s="38" t="n">
        <v>72</v>
      </c>
      <c r="S2023" s="37" t="n">
        <v>0</v>
      </c>
    </row>
    <row r="2024" customFormat="false" ht="15" hidden="false" customHeight="false" outlineLevel="0" collapsed="false">
      <c r="A2024" s="37" t="n">
        <v>10</v>
      </c>
      <c r="B2024" s="37" t="n">
        <v>15</v>
      </c>
      <c r="C2024" s="37" t="n">
        <v>0</v>
      </c>
      <c r="D2024" s="37" t="n">
        <v>5</v>
      </c>
      <c r="E2024" s="37" t="n">
        <v>0</v>
      </c>
      <c r="F2024" s="37" t="n">
        <v>0</v>
      </c>
      <c r="G2024" s="37" t="s">
        <v>196</v>
      </c>
      <c r="H2024" s="38" t="n">
        <v>199.072773994609</v>
      </c>
      <c r="I2024" s="38" t="n">
        <v>199.070669449247</v>
      </c>
      <c r="J2024" s="38" t="n">
        <v>203.714125361497</v>
      </c>
      <c r="K2024" s="38" t="n">
        <v>220.002391144056</v>
      </c>
      <c r="L2024" s="38" t="n">
        <v>34.461561317286</v>
      </c>
      <c r="M2024" s="38" t="n">
        <v>102.280684492504</v>
      </c>
      <c r="N2024" s="38" t="n">
        <v>104.182373619627</v>
      </c>
      <c r="O2024" s="38" t="n">
        <v>62.9933465565482</v>
      </c>
      <c r="P2024" s="37" t="n">
        <v>0</v>
      </c>
      <c r="Q2024" s="38" t="n">
        <v>0</v>
      </c>
      <c r="R2024" s="38" t="n">
        <v>71.0902008415751</v>
      </c>
      <c r="S2024" s="37" t="n">
        <v>0</v>
      </c>
    </row>
    <row r="2025" customFormat="false" ht="15" hidden="false" customHeight="false" outlineLevel="0" collapsed="false">
      <c r="A2025" s="37" t="n">
        <v>10</v>
      </c>
      <c r="B2025" s="37" t="n">
        <v>15</v>
      </c>
      <c r="C2025" s="37" t="n">
        <v>5</v>
      </c>
      <c r="D2025" s="37" t="n">
        <v>0</v>
      </c>
      <c r="E2025" s="37" t="n">
        <v>0</v>
      </c>
      <c r="F2025" s="37" t="n">
        <v>0</v>
      </c>
      <c r="G2025" s="37" t="s">
        <v>188</v>
      </c>
      <c r="H2025" s="38" t="n">
        <v>198.995744265783</v>
      </c>
      <c r="I2025" s="38" t="n">
        <v>199.93418511409</v>
      </c>
      <c r="J2025" s="38" t="n">
        <v>216.600887584511</v>
      </c>
      <c r="K2025" s="38" t="n">
        <v>249.156589178775</v>
      </c>
      <c r="L2025" s="38" t="n">
        <v>45.3263856463764</v>
      </c>
      <c r="M2025" s="38" t="n">
        <v>104.769031149094</v>
      </c>
      <c r="N2025" s="38" t="n">
        <v>134.271156551791</v>
      </c>
      <c r="O2025" s="38" t="n">
        <v>71.8253837436482</v>
      </c>
      <c r="P2025" s="37" t="n">
        <v>0</v>
      </c>
      <c r="Q2025" s="38" t="n">
        <v>0</v>
      </c>
      <c r="R2025" s="38" t="n">
        <v>70.5</v>
      </c>
      <c r="S2025" s="37" t="n">
        <v>0</v>
      </c>
    </row>
    <row r="2026" customFormat="false" ht="15" hidden="false" customHeight="false" outlineLevel="0" collapsed="false">
      <c r="A2026" s="37" t="n">
        <v>10</v>
      </c>
      <c r="B2026" s="37" t="n">
        <v>15</v>
      </c>
      <c r="C2026" s="37" t="n">
        <v>5</v>
      </c>
      <c r="D2026" s="37" t="n">
        <v>0</v>
      </c>
      <c r="E2026" s="37" t="n">
        <v>0</v>
      </c>
      <c r="F2026" s="37" t="n">
        <v>0</v>
      </c>
      <c r="G2026" s="37" t="s">
        <v>192</v>
      </c>
      <c r="H2026" s="38" t="n">
        <v>198.995744265783</v>
      </c>
      <c r="I2026" s="38" t="n">
        <v>199.746640505017</v>
      </c>
      <c r="J2026" s="38" t="n">
        <v>223.057160868818</v>
      </c>
      <c r="K2026" s="38" t="n">
        <v>249.605842151619</v>
      </c>
      <c r="L2026" s="38" t="n">
        <v>85.3333487089188</v>
      </c>
      <c r="M2026" s="38" t="n">
        <v>102.591222774735</v>
      </c>
      <c r="N2026" s="38" t="n">
        <v>135.014484289411</v>
      </c>
      <c r="O2026" s="38" t="n">
        <v>72.147451400112</v>
      </c>
      <c r="P2026" s="37" t="n">
        <v>0</v>
      </c>
      <c r="Q2026" s="38" t="n">
        <v>0</v>
      </c>
      <c r="R2026" s="38" t="n">
        <v>70.5</v>
      </c>
      <c r="S2026" s="37" t="n">
        <v>1</v>
      </c>
    </row>
    <row r="2027" customFormat="false" ht="15" hidden="false" customHeight="false" outlineLevel="0" collapsed="false">
      <c r="A2027" s="37" t="n">
        <v>10</v>
      </c>
      <c r="B2027" s="37" t="n">
        <v>15</v>
      </c>
      <c r="C2027" s="37" t="n">
        <v>5</v>
      </c>
      <c r="D2027" s="37" t="n">
        <v>0</v>
      </c>
      <c r="E2027" s="37" t="n">
        <v>0</v>
      </c>
      <c r="F2027" s="37" t="n">
        <v>0</v>
      </c>
      <c r="G2027" s="37" t="s">
        <v>195</v>
      </c>
      <c r="H2027" s="38" t="n">
        <v>198.995744265783</v>
      </c>
      <c r="I2027" s="38" t="n">
        <v>199.727157195116</v>
      </c>
      <c r="J2027" s="38" t="n">
        <v>208.361933966846</v>
      </c>
      <c r="K2027" s="38" t="n">
        <v>233.722630373333</v>
      </c>
      <c r="L2027" s="38" t="n">
        <v>34.5984812307756</v>
      </c>
      <c r="M2027" s="38" t="n">
        <v>100.923715505632</v>
      </c>
      <c r="N2027" s="38" t="n">
        <v>109.588093906216</v>
      </c>
      <c r="O2027" s="38" t="n">
        <v>61.3597156049525</v>
      </c>
      <c r="P2027" s="37" t="n">
        <v>0</v>
      </c>
      <c r="Q2027" s="38" t="n">
        <v>0</v>
      </c>
      <c r="R2027" s="38" t="n">
        <v>68.4377552572328</v>
      </c>
      <c r="S2027" s="37" t="n">
        <v>0</v>
      </c>
    </row>
    <row r="2028" customFormat="false" ht="15" hidden="false" customHeight="false" outlineLevel="0" collapsed="false">
      <c r="A2028" s="37" t="n">
        <v>10</v>
      </c>
      <c r="B2028" s="37" t="n">
        <v>15</v>
      </c>
      <c r="C2028" s="37" t="n">
        <v>5</v>
      </c>
      <c r="D2028" s="37" t="n">
        <v>0</v>
      </c>
      <c r="E2028" s="37" t="n">
        <v>0</v>
      </c>
      <c r="F2028" s="37" t="n">
        <v>0</v>
      </c>
      <c r="G2028" s="37" t="s">
        <v>197</v>
      </c>
      <c r="H2028" s="38" t="n">
        <v>198.995744265783</v>
      </c>
      <c r="I2028" s="38" t="n">
        <v>199.716769277349</v>
      </c>
      <c r="J2028" s="38" t="n">
        <v>212.275777832406</v>
      </c>
      <c r="K2028" s="38" t="n">
        <v>242.193084065453</v>
      </c>
      <c r="L2028" s="38" t="n">
        <v>39.5974284676176</v>
      </c>
      <c r="M2028" s="38" t="n">
        <v>100.589531152174</v>
      </c>
      <c r="N2028" s="38" t="n">
        <v>115.748434304936</v>
      </c>
      <c r="O2028" s="38" t="n">
        <v>63.2640292762331</v>
      </c>
      <c r="P2028" s="37" t="n">
        <v>0</v>
      </c>
      <c r="Q2028" s="38" t="n">
        <v>0</v>
      </c>
      <c r="R2028" s="38" t="n">
        <v>70.5</v>
      </c>
      <c r="S2028" s="37" t="n">
        <v>0</v>
      </c>
    </row>
    <row r="2029" customFormat="false" ht="15" hidden="false" customHeight="false" outlineLevel="0" collapsed="false">
      <c r="A2029" s="37" t="n">
        <v>10</v>
      </c>
      <c r="B2029" s="37" t="n">
        <v>15</v>
      </c>
      <c r="C2029" s="37" t="n">
        <v>5</v>
      </c>
      <c r="D2029" s="37" t="n">
        <v>0</v>
      </c>
      <c r="E2029" s="37" t="n">
        <v>0</v>
      </c>
      <c r="F2029" s="37" t="n">
        <v>0</v>
      </c>
      <c r="G2029" s="37" t="s">
        <v>196</v>
      </c>
      <c r="H2029" s="38" t="n">
        <v>198.995744265783</v>
      </c>
      <c r="I2029" s="38" t="n">
        <v>199.749164733333</v>
      </c>
      <c r="J2029" s="38" t="n">
        <v>213.682732404299</v>
      </c>
      <c r="K2029" s="38" t="n">
        <v>244.563959068949</v>
      </c>
      <c r="L2029" s="38" t="n">
        <v>47.9245508226306</v>
      </c>
      <c r="M2029" s="38" t="n">
        <v>104.143019426152</v>
      </c>
      <c r="N2029" s="38" t="n">
        <v>127.812837154278</v>
      </c>
      <c r="O2029" s="38" t="n">
        <v>70.6774358024119</v>
      </c>
      <c r="P2029" s="37" t="n">
        <v>0</v>
      </c>
      <c r="Q2029" s="38" t="n">
        <v>0</v>
      </c>
      <c r="R2029" s="38" t="n">
        <v>69.459875354217</v>
      </c>
      <c r="S2029" s="37" t="n">
        <v>0</v>
      </c>
    </row>
    <row r="2030" customFormat="false" ht="15" hidden="false" customHeight="false" outlineLevel="0" collapsed="false">
      <c r="A2030" s="37" t="n">
        <v>10</v>
      </c>
      <c r="B2030" s="37" t="n">
        <v>20</v>
      </c>
      <c r="C2030" s="37" t="n">
        <v>0</v>
      </c>
      <c r="D2030" s="37" t="n">
        <v>0</v>
      </c>
      <c r="E2030" s="37" t="n">
        <v>0</v>
      </c>
      <c r="F2030" s="37" t="n">
        <v>0</v>
      </c>
      <c r="G2030" s="37" t="s">
        <v>188</v>
      </c>
      <c r="H2030" s="38" t="n">
        <v>198.956233496952</v>
      </c>
      <c r="I2030" s="38" t="n">
        <v>198.428341609314</v>
      </c>
      <c r="J2030" s="38" t="n">
        <v>200.302857527761</v>
      </c>
      <c r="K2030" s="38" t="n">
        <v>221.047083267929</v>
      </c>
      <c r="L2030" s="38" t="n">
        <v>27.4393202966348</v>
      </c>
      <c r="M2030" s="38" t="n">
        <v>99.861507005522</v>
      </c>
      <c r="N2030" s="38" t="n">
        <v>93.0496324418712</v>
      </c>
      <c r="O2030" s="38" t="n">
        <v>57.8414316420229</v>
      </c>
      <c r="P2030" s="37" t="n">
        <v>0</v>
      </c>
      <c r="Q2030" s="38" t="n">
        <v>0</v>
      </c>
      <c r="R2030" s="38" t="n">
        <v>70.5</v>
      </c>
      <c r="S2030" s="37" t="n">
        <v>0</v>
      </c>
    </row>
    <row r="2031" customFormat="false" ht="15" hidden="false" customHeight="false" outlineLevel="0" collapsed="false">
      <c r="A2031" s="37" t="n">
        <v>10</v>
      </c>
      <c r="B2031" s="37" t="n">
        <v>20</v>
      </c>
      <c r="C2031" s="37" t="n">
        <v>0</v>
      </c>
      <c r="D2031" s="37" t="n">
        <v>0</v>
      </c>
      <c r="E2031" s="37" t="n">
        <v>0</v>
      </c>
      <c r="F2031" s="37" t="n">
        <v>0</v>
      </c>
      <c r="G2031" s="37" t="s">
        <v>192</v>
      </c>
      <c r="H2031" s="38" t="n">
        <v>198.956233496952</v>
      </c>
      <c r="I2031" s="38" t="n">
        <v>198.304691298633</v>
      </c>
      <c r="J2031" s="38" t="n">
        <v>207.296322265503</v>
      </c>
      <c r="K2031" s="38" t="n">
        <v>238.321853701176</v>
      </c>
      <c r="L2031" s="38" t="n">
        <v>38.1673695958846</v>
      </c>
      <c r="M2031" s="38" t="n">
        <v>98.9497933418599</v>
      </c>
      <c r="N2031" s="38" t="n">
        <v>110.71982344626</v>
      </c>
      <c r="O2031" s="38" t="n">
        <v>58.4661436500085</v>
      </c>
      <c r="P2031" s="37" t="n">
        <v>0</v>
      </c>
      <c r="Q2031" s="38" t="n">
        <v>0</v>
      </c>
      <c r="R2031" s="38" t="n">
        <v>61.5</v>
      </c>
      <c r="S2031" s="37" t="n">
        <v>1</v>
      </c>
    </row>
    <row r="2032" customFormat="false" ht="15" hidden="false" customHeight="false" outlineLevel="0" collapsed="false">
      <c r="A2032" s="37" t="n">
        <v>10</v>
      </c>
      <c r="B2032" s="37" t="n">
        <v>20</v>
      </c>
      <c r="C2032" s="37" t="n">
        <v>0</v>
      </c>
      <c r="D2032" s="37" t="n">
        <v>0</v>
      </c>
      <c r="E2032" s="37" t="n">
        <v>0</v>
      </c>
      <c r="F2032" s="37" t="n">
        <v>0</v>
      </c>
      <c r="G2032" s="37" t="s">
        <v>195</v>
      </c>
      <c r="H2032" s="38" t="n">
        <v>198.956233496952</v>
      </c>
      <c r="I2032" s="38" t="n">
        <v>198.290916600069</v>
      </c>
      <c r="J2032" s="38" t="n">
        <v>194.947108774131</v>
      </c>
      <c r="K2032" s="38" t="n">
        <v>209.457995272313</v>
      </c>
      <c r="L2032" s="38" t="n">
        <v>24.9979725356678</v>
      </c>
      <c r="M2032" s="38" t="n">
        <v>96.0955893489825</v>
      </c>
      <c r="N2032" s="38" t="n">
        <v>74.5963410514004</v>
      </c>
      <c r="O2032" s="38" t="n">
        <v>50.7428388479959</v>
      </c>
      <c r="P2032" s="37" t="n">
        <v>0</v>
      </c>
      <c r="Q2032" s="38" t="n">
        <v>0.00202746433222956</v>
      </c>
      <c r="R2032" s="38" t="n">
        <v>68.4012010188549</v>
      </c>
      <c r="S2032" s="37" t="n">
        <v>0</v>
      </c>
    </row>
    <row r="2033" customFormat="false" ht="15" hidden="false" customHeight="false" outlineLevel="0" collapsed="false">
      <c r="A2033" s="37" t="n">
        <v>10</v>
      </c>
      <c r="B2033" s="37" t="n">
        <v>20</v>
      </c>
      <c r="C2033" s="37" t="n">
        <v>0</v>
      </c>
      <c r="D2033" s="37" t="n">
        <v>0</v>
      </c>
      <c r="E2033" s="37" t="n">
        <v>0</v>
      </c>
      <c r="F2033" s="37" t="n">
        <v>0</v>
      </c>
      <c r="G2033" s="37" t="s">
        <v>197</v>
      </c>
      <c r="H2033" s="38" t="n">
        <v>198.956233496952</v>
      </c>
      <c r="I2033" s="38" t="n">
        <v>198.292757365162</v>
      </c>
      <c r="J2033" s="38" t="n">
        <v>198.906161794618</v>
      </c>
      <c r="K2033" s="38" t="n">
        <v>218.413274225643</v>
      </c>
      <c r="L2033" s="38" t="n">
        <v>30.7056976163166</v>
      </c>
      <c r="M2033" s="38" t="n">
        <v>97.9005768524566</v>
      </c>
      <c r="N2033" s="38" t="n">
        <v>86.5403712876753</v>
      </c>
      <c r="O2033" s="38" t="n">
        <v>53.6033700505489</v>
      </c>
      <c r="P2033" s="37" t="n">
        <v>0</v>
      </c>
      <c r="Q2033" s="38" t="n">
        <v>0</v>
      </c>
      <c r="R2033" s="38" t="n">
        <v>70.5</v>
      </c>
      <c r="S2033" s="37" t="n">
        <v>0</v>
      </c>
    </row>
    <row r="2034" customFormat="false" ht="15" hidden="false" customHeight="false" outlineLevel="0" collapsed="false">
      <c r="A2034" s="37" t="n">
        <v>10</v>
      </c>
      <c r="B2034" s="37" t="n">
        <v>20</v>
      </c>
      <c r="C2034" s="37" t="n">
        <v>0</v>
      </c>
      <c r="D2034" s="37" t="n">
        <v>0</v>
      </c>
      <c r="E2034" s="37" t="n">
        <v>0</v>
      </c>
      <c r="F2034" s="37" t="n">
        <v>0</v>
      </c>
      <c r="G2034" s="37" t="s">
        <v>196</v>
      </c>
      <c r="H2034" s="38" t="n">
        <v>198.956233496952</v>
      </c>
      <c r="I2034" s="38" t="n">
        <v>198.305644272995</v>
      </c>
      <c r="J2034" s="38" t="n">
        <v>200.122749382219</v>
      </c>
      <c r="K2034" s="38" t="n">
        <v>220.263537082958</v>
      </c>
      <c r="L2034" s="38" t="n">
        <v>34.5919544982917</v>
      </c>
      <c r="M2034" s="38" t="n">
        <v>101.090911717137</v>
      </c>
      <c r="N2034" s="38" t="n">
        <v>100.039156930244</v>
      </c>
      <c r="O2034" s="38" t="n">
        <v>59.0618828547525</v>
      </c>
      <c r="P2034" s="37" t="n">
        <v>0</v>
      </c>
      <c r="Q2034" s="38" t="n">
        <v>0</v>
      </c>
      <c r="R2034" s="38" t="n">
        <v>69.5588201796801</v>
      </c>
      <c r="S2034" s="37" t="n">
        <v>0</v>
      </c>
    </row>
    <row r="2035" customFormat="false" ht="15" hidden="false" customHeight="false" outlineLevel="0" collapsed="false">
      <c r="A2035" s="37" t="n">
        <v>15</v>
      </c>
      <c r="B2035" s="37" t="n">
        <v>0</v>
      </c>
      <c r="C2035" s="37" t="n">
        <v>0</v>
      </c>
      <c r="D2035" s="37" t="n">
        <v>0</v>
      </c>
      <c r="E2035" s="37" t="n">
        <v>0</v>
      </c>
      <c r="F2035" s="37" t="n">
        <v>15</v>
      </c>
      <c r="G2035" s="37" t="s">
        <v>188</v>
      </c>
      <c r="H2035" s="38" t="n">
        <v>198.988725715707</v>
      </c>
      <c r="I2035" s="38" t="n">
        <v>198.585372691262</v>
      </c>
      <c r="J2035" s="38" t="n">
        <v>199.50980861658</v>
      </c>
      <c r="K2035" s="38" t="n">
        <v>243.679538614154</v>
      </c>
      <c r="L2035" s="38" t="n">
        <v>159.076719578423</v>
      </c>
      <c r="M2035" s="38" t="n">
        <v>102.490417874342</v>
      </c>
      <c r="N2035" s="38" t="n">
        <v>105.298610348429</v>
      </c>
      <c r="O2035" s="38" t="n">
        <v>63.934035515048</v>
      </c>
      <c r="P2035" s="37" t="n">
        <v>0</v>
      </c>
      <c r="Q2035" s="38" t="n">
        <v>0</v>
      </c>
      <c r="R2035" s="38" t="n">
        <v>70.5</v>
      </c>
      <c r="S2035" s="37" t="n">
        <v>1</v>
      </c>
    </row>
    <row r="2036" customFormat="false" ht="15" hidden="false" customHeight="false" outlineLevel="0" collapsed="false">
      <c r="A2036" s="37" t="n">
        <v>15</v>
      </c>
      <c r="B2036" s="37" t="n">
        <v>0</v>
      </c>
      <c r="C2036" s="37" t="n">
        <v>0</v>
      </c>
      <c r="D2036" s="37" t="n">
        <v>0</v>
      </c>
      <c r="E2036" s="37" t="n">
        <v>0</v>
      </c>
      <c r="F2036" s="37" t="n">
        <v>15</v>
      </c>
      <c r="G2036" s="37" t="s">
        <v>192</v>
      </c>
      <c r="H2036" s="38" t="n">
        <v>198.988725715707</v>
      </c>
      <c r="I2036" s="38" t="n">
        <v>198.341628852953</v>
      </c>
      <c r="J2036" s="38" t="n">
        <v>194.938617738723</v>
      </c>
      <c r="K2036" s="38" t="n">
        <v>235.231197178642</v>
      </c>
      <c r="L2036" s="38" t="n">
        <v>153.419279750858</v>
      </c>
      <c r="M2036" s="38" t="n">
        <v>94.2366622254923</v>
      </c>
      <c r="N2036" s="38" t="n">
        <v>89.1364694036485</v>
      </c>
      <c r="O2036" s="38" t="n">
        <v>57.7719984873351</v>
      </c>
      <c r="P2036" s="37" t="n">
        <v>0</v>
      </c>
      <c r="Q2036" s="38" t="n">
        <v>0</v>
      </c>
      <c r="R2036" s="38" t="n">
        <v>70.5</v>
      </c>
      <c r="S2036" s="37" t="n">
        <v>0</v>
      </c>
    </row>
    <row r="2037" customFormat="false" ht="15" hidden="false" customHeight="false" outlineLevel="0" collapsed="false">
      <c r="A2037" s="37" t="n">
        <v>15</v>
      </c>
      <c r="B2037" s="37" t="n">
        <v>0</v>
      </c>
      <c r="C2037" s="37" t="n">
        <v>0</v>
      </c>
      <c r="D2037" s="37" t="n">
        <v>0</v>
      </c>
      <c r="E2037" s="37" t="n">
        <v>0</v>
      </c>
      <c r="F2037" s="37" t="n">
        <v>15</v>
      </c>
      <c r="G2037" s="37" t="s">
        <v>195</v>
      </c>
      <c r="H2037" s="38" t="n">
        <v>198.988725715707</v>
      </c>
      <c r="I2037" s="38" t="n">
        <v>198.340727918197</v>
      </c>
      <c r="J2037" s="38" t="n">
        <v>190.470719831714</v>
      </c>
      <c r="K2037" s="38" t="n">
        <v>225.716929409733</v>
      </c>
      <c r="L2037" s="38" t="n">
        <v>146.669328536987</v>
      </c>
      <c r="M2037" s="38" t="n">
        <v>97.2343362936847</v>
      </c>
      <c r="N2037" s="38" t="n">
        <v>84.0421511573516</v>
      </c>
      <c r="O2037" s="38" t="n">
        <v>56.2078358114408</v>
      </c>
      <c r="P2037" s="37" t="n">
        <v>0</v>
      </c>
      <c r="Q2037" s="38" t="n">
        <v>0</v>
      </c>
      <c r="R2037" s="38" t="n">
        <v>68.4607197381763</v>
      </c>
      <c r="S2037" s="37" t="n">
        <v>0</v>
      </c>
    </row>
    <row r="2038" customFormat="false" ht="15" hidden="false" customHeight="false" outlineLevel="0" collapsed="false">
      <c r="A2038" s="37" t="n">
        <v>15</v>
      </c>
      <c r="B2038" s="37" t="n">
        <v>0</v>
      </c>
      <c r="C2038" s="37" t="n">
        <v>0</v>
      </c>
      <c r="D2038" s="37" t="n">
        <v>0</v>
      </c>
      <c r="E2038" s="37" t="n">
        <v>0</v>
      </c>
      <c r="F2038" s="37" t="n">
        <v>15</v>
      </c>
      <c r="G2038" s="37" t="s">
        <v>197</v>
      </c>
      <c r="H2038" s="38" t="n">
        <v>198.988725715707</v>
      </c>
      <c r="I2038" s="38" t="n">
        <v>198.341780114731</v>
      </c>
      <c r="J2038" s="38" t="n">
        <v>194.186180153579</v>
      </c>
      <c r="K2038" s="38" t="n">
        <v>234.257675380658</v>
      </c>
      <c r="L2038" s="38" t="n">
        <v>151.547090119257</v>
      </c>
      <c r="M2038" s="38" t="n">
        <v>99.0370596367967</v>
      </c>
      <c r="N2038" s="38" t="n">
        <v>90.974919246902</v>
      </c>
      <c r="O2038" s="38" t="n">
        <v>58.8747856410366</v>
      </c>
      <c r="P2038" s="37" t="n">
        <v>0</v>
      </c>
      <c r="Q2038" s="38" t="n">
        <v>0</v>
      </c>
      <c r="R2038" s="38" t="n">
        <v>70.5</v>
      </c>
      <c r="S2038" s="37" t="n">
        <v>0</v>
      </c>
    </row>
    <row r="2039" customFormat="false" ht="15" hidden="false" customHeight="false" outlineLevel="0" collapsed="false">
      <c r="A2039" s="37" t="n">
        <v>15</v>
      </c>
      <c r="B2039" s="37" t="n">
        <v>0</v>
      </c>
      <c r="C2039" s="37" t="n">
        <v>0</v>
      </c>
      <c r="D2039" s="37" t="n">
        <v>0</v>
      </c>
      <c r="E2039" s="37" t="n">
        <v>0</v>
      </c>
      <c r="F2039" s="37" t="n">
        <v>15</v>
      </c>
      <c r="G2039" s="37" t="s">
        <v>196</v>
      </c>
      <c r="H2039" s="38" t="n">
        <v>198.988725715707</v>
      </c>
      <c r="I2039" s="38" t="n">
        <v>198.344305507855</v>
      </c>
      <c r="J2039" s="38" t="n">
        <v>195.183816303349</v>
      </c>
      <c r="K2039" s="38" t="n">
        <v>235.663844809504</v>
      </c>
      <c r="L2039" s="38" t="n">
        <v>159.625194015853</v>
      </c>
      <c r="M2039" s="38" t="n">
        <v>100.402733330726</v>
      </c>
      <c r="N2039" s="38" t="n">
        <v>96.8645472029698</v>
      </c>
      <c r="O2039" s="38" t="n">
        <v>61.1475253160012</v>
      </c>
      <c r="P2039" s="37" t="n">
        <v>0</v>
      </c>
      <c r="Q2039" s="38" t="n">
        <v>0</v>
      </c>
      <c r="R2039" s="38" t="n">
        <v>69.6040571428571</v>
      </c>
      <c r="S2039" s="37" t="n">
        <v>0</v>
      </c>
    </row>
    <row r="2040" customFormat="false" ht="15" hidden="false" customHeight="false" outlineLevel="0" collapsed="false">
      <c r="A2040" s="37" t="n">
        <v>15</v>
      </c>
      <c r="B2040" s="37" t="n">
        <v>0</v>
      </c>
      <c r="C2040" s="37" t="n">
        <v>0</v>
      </c>
      <c r="D2040" s="37" t="n">
        <v>0</v>
      </c>
      <c r="E2040" s="37" t="n">
        <v>5</v>
      </c>
      <c r="F2040" s="37" t="n">
        <v>10</v>
      </c>
      <c r="G2040" s="37" t="s">
        <v>188</v>
      </c>
      <c r="H2040" s="38" t="n">
        <v>199.01355090238</v>
      </c>
      <c r="I2040" s="38" t="n">
        <v>198.836213212033</v>
      </c>
      <c r="J2040" s="38" t="n">
        <v>203.193480640067</v>
      </c>
      <c r="K2040" s="38" t="n">
        <v>249.400489594959</v>
      </c>
      <c r="L2040" s="38" t="n">
        <v>125.047895013175</v>
      </c>
      <c r="M2040" s="38" t="n">
        <v>103.760962538608</v>
      </c>
      <c r="N2040" s="38" t="n">
        <v>113.847442205369</v>
      </c>
      <c r="O2040" s="38" t="n">
        <v>64.5422701093544</v>
      </c>
      <c r="P2040" s="37" t="n">
        <v>0</v>
      </c>
      <c r="Q2040" s="38" t="n">
        <v>0</v>
      </c>
      <c r="R2040" s="38" t="n">
        <v>70.5</v>
      </c>
      <c r="S2040" s="37" t="n">
        <v>1</v>
      </c>
    </row>
    <row r="2041" customFormat="false" ht="15" hidden="false" customHeight="false" outlineLevel="0" collapsed="false">
      <c r="A2041" s="37" t="n">
        <v>15</v>
      </c>
      <c r="B2041" s="37" t="n">
        <v>0</v>
      </c>
      <c r="C2041" s="37" t="n">
        <v>0</v>
      </c>
      <c r="D2041" s="37" t="n">
        <v>0</v>
      </c>
      <c r="E2041" s="37" t="n">
        <v>5</v>
      </c>
      <c r="F2041" s="37" t="n">
        <v>10</v>
      </c>
      <c r="G2041" s="37" t="s">
        <v>192</v>
      </c>
      <c r="H2041" s="38" t="n">
        <v>199.01355090238</v>
      </c>
      <c r="I2041" s="38" t="n">
        <v>198.593025306047</v>
      </c>
      <c r="J2041" s="38" t="n">
        <v>198.056110658332</v>
      </c>
      <c r="K2041" s="38" t="n">
        <v>240.590570317811</v>
      </c>
      <c r="L2041" s="38" t="n">
        <v>118.775753972733</v>
      </c>
      <c r="M2041" s="38" t="n">
        <v>95.5633446765201</v>
      </c>
      <c r="N2041" s="38" t="n">
        <v>96.703397882947</v>
      </c>
      <c r="O2041" s="38" t="n">
        <v>58.1588600376308</v>
      </c>
      <c r="P2041" s="37" t="n">
        <v>0</v>
      </c>
      <c r="Q2041" s="38" t="n">
        <v>0</v>
      </c>
      <c r="R2041" s="38" t="n">
        <v>70.5</v>
      </c>
      <c r="S2041" s="37" t="n">
        <v>0</v>
      </c>
    </row>
    <row r="2042" customFormat="false" ht="15" hidden="false" customHeight="false" outlineLevel="0" collapsed="false">
      <c r="A2042" s="37" t="n">
        <v>15</v>
      </c>
      <c r="B2042" s="37" t="n">
        <v>0</v>
      </c>
      <c r="C2042" s="37" t="n">
        <v>0</v>
      </c>
      <c r="D2042" s="37" t="n">
        <v>0</v>
      </c>
      <c r="E2042" s="37" t="n">
        <v>5</v>
      </c>
      <c r="F2042" s="37" t="n">
        <v>10</v>
      </c>
      <c r="G2042" s="37" t="s">
        <v>195</v>
      </c>
      <c r="H2042" s="38" t="n">
        <v>199.01355090238</v>
      </c>
      <c r="I2042" s="38" t="n">
        <v>198.592655354624</v>
      </c>
      <c r="J2042" s="38" t="n">
        <v>193.322658033378</v>
      </c>
      <c r="K2042" s="38" t="n">
        <v>230.799075486328</v>
      </c>
      <c r="L2042" s="38" t="n">
        <v>111.685499481461</v>
      </c>
      <c r="M2042" s="38" t="n">
        <v>98.5620571254598</v>
      </c>
      <c r="N2042" s="38" t="n">
        <v>91.3051744743543</v>
      </c>
      <c r="O2042" s="38" t="n">
        <v>56.594179656888</v>
      </c>
      <c r="P2042" s="37" t="n">
        <v>0</v>
      </c>
      <c r="Q2042" s="38" t="n">
        <v>0</v>
      </c>
      <c r="R2042" s="38" t="n">
        <v>68.4409271985399</v>
      </c>
      <c r="S2042" s="37" t="n">
        <v>0</v>
      </c>
    </row>
    <row r="2043" customFormat="false" ht="15" hidden="false" customHeight="false" outlineLevel="0" collapsed="false">
      <c r="A2043" s="37" t="n">
        <v>15</v>
      </c>
      <c r="B2043" s="37" t="n">
        <v>0</v>
      </c>
      <c r="C2043" s="37" t="n">
        <v>0</v>
      </c>
      <c r="D2043" s="37" t="n">
        <v>0</v>
      </c>
      <c r="E2043" s="37" t="n">
        <v>5</v>
      </c>
      <c r="F2043" s="37" t="n">
        <v>10</v>
      </c>
      <c r="G2043" s="37" t="s">
        <v>197</v>
      </c>
      <c r="H2043" s="38" t="n">
        <v>199.01355090238</v>
      </c>
      <c r="I2043" s="38" t="n">
        <v>198.605099847373</v>
      </c>
      <c r="J2043" s="38" t="n">
        <v>197.912344525017</v>
      </c>
      <c r="K2043" s="38" t="n">
        <v>240.583422161786</v>
      </c>
      <c r="L2043" s="38" t="n">
        <v>118.429153319108</v>
      </c>
      <c r="M2043" s="38" t="n">
        <v>103.725186670258</v>
      </c>
      <c r="N2043" s="38" t="n">
        <v>108.022668781594</v>
      </c>
      <c r="O2043" s="38" t="n">
        <v>63.3692034295985</v>
      </c>
      <c r="P2043" s="37" t="n">
        <v>0</v>
      </c>
      <c r="Q2043" s="38" t="n">
        <v>0</v>
      </c>
      <c r="R2043" s="38" t="n">
        <v>70.5</v>
      </c>
      <c r="S2043" s="37" t="n">
        <v>0</v>
      </c>
    </row>
    <row r="2044" customFormat="false" ht="15" hidden="false" customHeight="false" outlineLevel="0" collapsed="false">
      <c r="A2044" s="37" t="n">
        <v>15</v>
      </c>
      <c r="B2044" s="37" t="n">
        <v>0</v>
      </c>
      <c r="C2044" s="37" t="n">
        <v>0</v>
      </c>
      <c r="D2044" s="37" t="n">
        <v>0</v>
      </c>
      <c r="E2044" s="37" t="n">
        <v>5</v>
      </c>
      <c r="F2044" s="37" t="n">
        <v>10</v>
      </c>
      <c r="G2044" s="37" t="s">
        <v>196</v>
      </c>
      <c r="H2044" s="38" t="n">
        <v>199.01355090238</v>
      </c>
      <c r="I2044" s="38" t="n">
        <v>198.60128842447</v>
      </c>
      <c r="J2044" s="38" t="n">
        <v>198.110747636499</v>
      </c>
      <c r="K2044" s="38" t="n">
        <v>240.851921339175</v>
      </c>
      <c r="L2044" s="38" t="n">
        <v>124.793987891468</v>
      </c>
      <c r="M2044" s="38" t="n">
        <v>102.388284471933</v>
      </c>
      <c r="N2044" s="38" t="n">
        <v>105.746705713338</v>
      </c>
      <c r="O2044" s="38" t="n">
        <v>63.1246767060436</v>
      </c>
      <c r="P2044" s="37" t="n">
        <v>0</v>
      </c>
      <c r="Q2044" s="38" t="n">
        <v>0</v>
      </c>
      <c r="R2044" s="38" t="n">
        <v>69.5994293058837</v>
      </c>
      <c r="S2044" s="37" t="n">
        <v>0</v>
      </c>
    </row>
    <row r="2045" customFormat="false" ht="15" hidden="false" customHeight="false" outlineLevel="0" collapsed="false">
      <c r="A2045" s="37" t="n">
        <v>15</v>
      </c>
      <c r="B2045" s="37" t="n">
        <v>0</v>
      </c>
      <c r="C2045" s="37" t="n">
        <v>0</v>
      </c>
      <c r="D2045" s="37" t="n">
        <v>0</v>
      </c>
      <c r="E2045" s="37" t="n">
        <v>10</v>
      </c>
      <c r="F2045" s="37" t="n">
        <v>5</v>
      </c>
      <c r="G2045" s="37" t="s">
        <v>188</v>
      </c>
      <c r="H2045" s="38" t="n">
        <v>199.03094181224</v>
      </c>
      <c r="I2045" s="38" t="n">
        <v>199.072185905869</v>
      </c>
      <c r="J2045" s="38" t="n">
        <v>206.150707877436</v>
      </c>
      <c r="K2045" s="38" t="n">
        <v>253.998668926605</v>
      </c>
      <c r="L2045" s="38" t="n">
        <v>89.8687890201637</v>
      </c>
      <c r="M2045" s="38" t="n">
        <v>104.859750167811</v>
      </c>
      <c r="N2045" s="38" t="n">
        <v>120.66613918742</v>
      </c>
      <c r="O2045" s="38" t="n">
        <v>64.536752844631</v>
      </c>
      <c r="P2045" s="37" t="n">
        <v>0</v>
      </c>
      <c r="Q2045" s="38" t="n">
        <v>0</v>
      </c>
      <c r="R2045" s="38" t="n">
        <v>70.5</v>
      </c>
      <c r="S2045" s="37" t="n">
        <v>0</v>
      </c>
    </row>
    <row r="2046" customFormat="false" ht="15" hidden="false" customHeight="false" outlineLevel="0" collapsed="false">
      <c r="A2046" s="37" t="n">
        <v>15</v>
      </c>
      <c r="B2046" s="37" t="n">
        <v>0</v>
      </c>
      <c r="C2046" s="37" t="n">
        <v>0</v>
      </c>
      <c r="D2046" s="37" t="n">
        <v>0</v>
      </c>
      <c r="E2046" s="37" t="n">
        <v>10</v>
      </c>
      <c r="F2046" s="37" t="n">
        <v>5</v>
      </c>
      <c r="G2046" s="37" t="s">
        <v>192</v>
      </c>
      <c r="H2046" s="38" t="n">
        <v>199.03094181224</v>
      </c>
      <c r="I2046" s="38" t="n">
        <v>198.834834691258</v>
      </c>
      <c r="J2046" s="38" t="n">
        <v>200.414128169749</v>
      </c>
      <c r="K2046" s="38" t="n">
        <v>244.916752643658</v>
      </c>
      <c r="L2046" s="38" t="n">
        <v>83.0990709006848</v>
      </c>
      <c r="M2046" s="38" t="n">
        <v>96.759211834501</v>
      </c>
      <c r="N2046" s="38" t="n">
        <v>102.409535769703</v>
      </c>
      <c r="O2046" s="38" t="n">
        <v>58.1012881916146</v>
      </c>
      <c r="P2046" s="37" t="n">
        <v>0</v>
      </c>
      <c r="Q2046" s="38" t="n">
        <v>0</v>
      </c>
      <c r="R2046" s="38" t="n">
        <v>70.5</v>
      </c>
      <c r="S2046" s="37" t="n">
        <v>0</v>
      </c>
    </row>
    <row r="2047" customFormat="false" ht="15" hidden="false" customHeight="false" outlineLevel="0" collapsed="false">
      <c r="A2047" s="37" t="n">
        <v>15</v>
      </c>
      <c r="B2047" s="37" t="n">
        <v>0</v>
      </c>
      <c r="C2047" s="37" t="n">
        <v>0</v>
      </c>
      <c r="D2047" s="37" t="n">
        <v>0</v>
      </c>
      <c r="E2047" s="37" t="n">
        <v>10</v>
      </c>
      <c r="F2047" s="37" t="n">
        <v>5</v>
      </c>
      <c r="G2047" s="37" t="s">
        <v>195</v>
      </c>
      <c r="H2047" s="38" t="n">
        <v>199.03094181224</v>
      </c>
      <c r="I2047" s="38" t="n">
        <v>198.835640910527</v>
      </c>
      <c r="J2047" s="38" t="n">
        <v>195.691620147723</v>
      </c>
      <c r="K2047" s="38" t="n">
        <v>235.136346818972</v>
      </c>
      <c r="L2047" s="38" t="n">
        <v>75.9703960514105</v>
      </c>
      <c r="M2047" s="38" t="n">
        <v>99.7606677365365</v>
      </c>
      <c r="N2047" s="38" t="n">
        <v>97.2301872676807</v>
      </c>
      <c r="O2047" s="38" t="n">
        <v>56.6881263617886</v>
      </c>
      <c r="P2047" s="37" t="n">
        <v>0</v>
      </c>
      <c r="Q2047" s="38" t="n">
        <v>0</v>
      </c>
      <c r="R2047" s="38" t="n">
        <v>68.4252147697315</v>
      </c>
      <c r="S2047" s="37" t="n">
        <v>0</v>
      </c>
    </row>
    <row r="2048" customFormat="false" ht="15" hidden="false" customHeight="false" outlineLevel="0" collapsed="false">
      <c r="A2048" s="37" t="n">
        <v>15</v>
      </c>
      <c r="B2048" s="37" t="n">
        <v>0</v>
      </c>
      <c r="C2048" s="37" t="n">
        <v>0</v>
      </c>
      <c r="D2048" s="37" t="n">
        <v>0</v>
      </c>
      <c r="E2048" s="37" t="n">
        <v>10</v>
      </c>
      <c r="F2048" s="37" t="n">
        <v>5</v>
      </c>
      <c r="G2048" s="37" t="s">
        <v>197</v>
      </c>
      <c r="H2048" s="38" t="n">
        <v>199.03094181224</v>
      </c>
      <c r="I2048" s="38" t="n">
        <v>198.868050329305</v>
      </c>
      <c r="J2048" s="38" t="n">
        <v>201.207745220632</v>
      </c>
      <c r="K2048" s="38" t="n">
        <v>246.282108266776</v>
      </c>
      <c r="L2048" s="38" t="n">
        <v>84.8288976712436</v>
      </c>
      <c r="M2048" s="38" t="n">
        <v>107.565850084528</v>
      </c>
      <c r="N2048" s="38" t="n">
        <v>122.176044679182</v>
      </c>
      <c r="O2048" s="38" t="n">
        <v>65.0123228225503</v>
      </c>
      <c r="P2048" s="37" t="n">
        <v>0</v>
      </c>
      <c r="Q2048" s="38" t="n">
        <v>0</v>
      </c>
      <c r="R2048" s="38" t="n">
        <v>70.5</v>
      </c>
      <c r="S2048" s="37" t="n">
        <v>1</v>
      </c>
    </row>
    <row r="2049" customFormat="false" ht="15" hidden="false" customHeight="false" outlineLevel="0" collapsed="false">
      <c r="A2049" s="37" t="n">
        <v>15</v>
      </c>
      <c r="B2049" s="37" t="n">
        <v>0</v>
      </c>
      <c r="C2049" s="37" t="n">
        <v>0</v>
      </c>
      <c r="D2049" s="37" t="n">
        <v>0</v>
      </c>
      <c r="E2049" s="37" t="n">
        <v>10</v>
      </c>
      <c r="F2049" s="37" t="n">
        <v>5</v>
      </c>
      <c r="G2049" s="37" t="s">
        <v>196</v>
      </c>
      <c r="H2049" s="38" t="n">
        <v>199.03094181224</v>
      </c>
      <c r="I2049" s="38" t="n">
        <v>198.845478115155</v>
      </c>
      <c r="J2049" s="38" t="n">
        <v>200.463573398909</v>
      </c>
      <c r="K2049" s="38" t="n">
        <v>245.180935323282</v>
      </c>
      <c r="L2049" s="38" t="n">
        <v>89.0610958512997</v>
      </c>
      <c r="M2049" s="38" t="n">
        <v>104.069942654408</v>
      </c>
      <c r="N2049" s="38" t="n">
        <v>112.771857150429</v>
      </c>
      <c r="O2049" s="38" t="n">
        <v>63.5696216969795</v>
      </c>
      <c r="P2049" s="37" t="n">
        <v>0</v>
      </c>
      <c r="Q2049" s="38" t="n">
        <v>0</v>
      </c>
      <c r="R2049" s="38" t="n">
        <v>69.5845718600577</v>
      </c>
      <c r="S2049" s="37" t="n">
        <v>0</v>
      </c>
    </row>
    <row r="2050" customFormat="false" ht="15" hidden="false" customHeight="false" outlineLevel="0" collapsed="false">
      <c r="A2050" s="37" t="n">
        <v>15</v>
      </c>
      <c r="B2050" s="37" t="n">
        <v>0</v>
      </c>
      <c r="C2050" s="37" t="n">
        <v>0</v>
      </c>
      <c r="D2050" s="37" t="n">
        <v>0</v>
      </c>
      <c r="E2050" s="37" t="n">
        <v>15</v>
      </c>
      <c r="F2050" s="37" t="n">
        <v>0</v>
      </c>
      <c r="G2050" s="37" t="s">
        <v>188</v>
      </c>
      <c r="H2050" s="38" t="n">
        <v>199.048254483132</v>
      </c>
      <c r="I2050" s="38" t="n">
        <v>199.244660764093</v>
      </c>
      <c r="J2050" s="38" t="n">
        <v>207.855779912974</v>
      </c>
      <c r="K2050" s="38" t="n">
        <v>256.828461796622</v>
      </c>
      <c r="L2050" s="38" t="n">
        <v>52.8937975629565</v>
      </c>
      <c r="M2050" s="38" t="n">
        <v>105.694392619144</v>
      </c>
      <c r="N2050" s="38" t="n">
        <v>124.759251740142</v>
      </c>
      <c r="O2050" s="38" t="n">
        <v>64.0995921201399</v>
      </c>
      <c r="P2050" s="37" t="n">
        <v>0</v>
      </c>
      <c r="Q2050" s="38" t="n">
        <v>0</v>
      </c>
      <c r="R2050" s="38" t="n">
        <v>70.5</v>
      </c>
      <c r="S2050" s="37" t="n">
        <v>0</v>
      </c>
    </row>
    <row r="2051" customFormat="false" ht="15" hidden="false" customHeight="false" outlineLevel="0" collapsed="false">
      <c r="A2051" s="37" t="n">
        <v>15</v>
      </c>
      <c r="B2051" s="37" t="n">
        <v>0</v>
      </c>
      <c r="C2051" s="37" t="n">
        <v>0</v>
      </c>
      <c r="D2051" s="37" t="n">
        <v>0</v>
      </c>
      <c r="E2051" s="37" t="n">
        <v>15</v>
      </c>
      <c r="F2051" s="37" t="n">
        <v>0</v>
      </c>
      <c r="G2051" s="37" t="s">
        <v>192</v>
      </c>
      <c r="H2051" s="38" t="n">
        <v>199.048254483132</v>
      </c>
      <c r="I2051" s="38" t="n">
        <v>199.014325167149</v>
      </c>
      <c r="J2051" s="38" t="n">
        <v>202.086368760776</v>
      </c>
      <c r="K2051" s="38" t="n">
        <v>248.030414254102</v>
      </c>
      <c r="L2051" s="38" t="n">
        <v>46.2100817644087</v>
      </c>
      <c r="M2051" s="38" t="n">
        <v>97.6889982814032</v>
      </c>
      <c r="N2051" s="38" t="n">
        <v>106.47247764522</v>
      </c>
      <c r="O2051" s="38" t="n">
        <v>57.7575032935089</v>
      </c>
      <c r="P2051" s="37" t="n">
        <v>0</v>
      </c>
      <c r="Q2051" s="38" t="n">
        <v>0</v>
      </c>
      <c r="R2051" s="38" t="n">
        <v>70.5</v>
      </c>
      <c r="S2051" s="37" t="n">
        <v>0</v>
      </c>
    </row>
    <row r="2052" customFormat="false" ht="15" hidden="false" customHeight="false" outlineLevel="0" collapsed="false">
      <c r="A2052" s="37" t="n">
        <v>15</v>
      </c>
      <c r="B2052" s="37" t="n">
        <v>0</v>
      </c>
      <c r="C2052" s="37" t="n">
        <v>0</v>
      </c>
      <c r="D2052" s="37" t="n">
        <v>0</v>
      </c>
      <c r="E2052" s="37" t="n">
        <v>15</v>
      </c>
      <c r="F2052" s="37" t="n">
        <v>0</v>
      </c>
      <c r="G2052" s="37" t="s">
        <v>195</v>
      </c>
      <c r="H2052" s="38" t="n">
        <v>199.048254483132</v>
      </c>
      <c r="I2052" s="38" t="n">
        <v>199.01652073834</v>
      </c>
      <c r="J2052" s="38" t="n">
        <v>197.429081786376</v>
      </c>
      <c r="K2052" s="38" t="n">
        <v>238.333008139784</v>
      </c>
      <c r="L2052" s="38" t="n">
        <v>39.1214571396206</v>
      </c>
      <c r="M2052" s="38" t="n">
        <v>100.693623369886</v>
      </c>
      <c r="N2052" s="38" t="n">
        <v>100.762588940829</v>
      </c>
      <c r="O2052" s="38" t="n">
        <v>56.4788007809776</v>
      </c>
      <c r="P2052" s="37" t="n">
        <v>0</v>
      </c>
      <c r="Q2052" s="38" t="n">
        <v>0</v>
      </c>
      <c r="R2052" s="38" t="n">
        <v>68.4115346999509</v>
      </c>
      <c r="S2052" s="37" t="n">
        <v>0</v>
      </c>
    </row>
    <row r="2053" customFormat="false" ht="15" hidden="false" customHeight="false" outlineLevel="0" collapsed="false">
      <c r="A2053" s="37" t="n">
        <v>15</v>
      </c>
      <c r="B2053" s="37" t="n">
        <v>0</v>
      </c>
      <c r="C2053" s="37" t="n">
        <v>0</v>
      </c>
      <c r="D2053" s="37" t="n">
        <v>0</v>
      </c>
      <c r="E2053" s="37" t="n">
        <v>15</v>
      </c>
      <c r="F2053" s="37" t="n">
        <v>0</v>
      </c>
      <c r="G2053" s="37" t="s">
        <v>197</v>
      </c>
      <c r="H2053" s="38" t="n">
        <v>199.048254483132</v>
      </c>
      <c r="I2053" s="38" t="n">
        <v>199.06533421208</v>
      </c>
      <c r="J2053" s="38" t="n">
        <v>203.591445547311</v>
      </c>
      <c r="K2053" s="38" t="n">
        <v>250.360484905186</v>
      </c>
      <c r="L2053" s="38" t="n">
        <v>49.370897101718</v>
      </c>
      <c r="M2053" s="38" t="n">
        <v>110.09477902162</v>
      </c>
      <c r="N2053" s="38" t="n">
        <v>128.333043694646</v>
      </c>
      <c r="O2053" s="38" t="n">
        <v>65.1199548483016</v>
      </c>
      <c r="P2053" s="37" t="n">
        <v>0</v>
      </c>
      <c r="Q2053" s="38" t="n">
        <v>0</v>
      </c>
      <c r="R2053" s="38" t="n">
        <v>70.5</v>
      </c>
      <c r="S2053" s="37" t="n">
        <v>1</v>
      </c>
    </row>
    <row r="2054" customFormat="false" ht="15" hidden="false" customHeight="false" outlineLevel="0" collapsed="false">
      <c r="A2054" s="37" t="n">
        <v>15</v>
      </c>
      <c r="B2054" s="37" t="n">
        <v>0</v>
      </c>
      <c r="C2054" s="37" t="n">
        <v>0</v>
      </c>
      <c r="D2054" s="37" t="n">
        <v>0</v>
      </c>
      <c r="E2054" s="37" t="n">
        <v>15</v>
      </c>
      <c r="F2054" s="37" t="n">
        <v>0</v>
      </c>
      <c r="G2054" s="37" t="s">
        <v>196</v>
      </c>
      <c r="H2054" s="38" t="n">
        <v>199.048254483132</v>
      </c>
      <c r="I2054" s="38" t="n">
        <v>199.02662824881</v>
      </c>
      <c r="J2054" s="38" t="n">
        <v>202.133477256828</v>
      </c>
      <c r="K2054" s="38" t="n">
        <v>248.305258006715</v>
      </c>
      <c r="L2054" s="38" t="n">
        <v>52.1230332678965</v>
      </c>
      <c r="M2054" s="38" t="n">
        <v>105.279543174244</v>
      </c>
      <c r="N2054" s="38" t="n">
        <v>116.972805683875</v>
      </c>
      <c r="O2054" s="38" t="n">
        <v>63.1505186654713</v>
      </c>
      <c r="P2054" s="37" t="n">
        <v>0</v>
      </c>
      <c r="Q2054" s="38" t="n">
        <v>0</v>
      </c>
      <c r="R2054" s="38" t="n">
        <v>69.5695993960169</v>
      </c>
      <c r="S2054" s="37" t="n">
        <v>0</v>
      </c>
    </row>
    <row r="2055" customFormat="false" ht="15" hidden="false" customHeight="false" outlineLevel="0" collapsed="false">
      <c r="A2055" s="37" t="n">
        <v>15</v>
      </c>
      <c r="B2055" s="37" t="n">
        <v>0</v>
      </c>
      <c r="C2055" s="37" t="n">
        <v>0</v>
      </c>
      <c r="D2055" s="37" t="n">
        <v>5</v>
      </c>
      <c r="E2055" s="37" t="n">
        <v>0</v>
      </c>
      <c r="F2055" s="37" t="n">
        <v>10</v>
      </c>
      <c r="G2055" s="37" t="s">
        <v>188</v>
      </c>
      <c r="H2055" s="38" t="n">
        <v>199.159031633474</v>
      </c>
      <c r="I2055" s="38" t="n">
        <v>199.649624812022</v>
      </c>
      <c r="J2055" s="38" t="n">
        <v>205.174209583305</v>
      </c>
      <c r="K2055" s="38" t="n">
        <v>241.704931334021</v>
      </c>
      <c r="L2055" s="38" t="n">
        <v>117.766745321481</v>
      </c>
      <c r="M2055" s="38" t="n">
        <v>103.594993337764</v>
      </c>
      <c r="N2055" s="38" t="n">
        <v>109.667370225521</v>
      </c>
      <c r="O2055" s="38" t="n">
        <v>67.8168341372574</v>
      </c>
      <c r="P2055" s="37" t="n">
        <v>0</v>
      </c>
      <c r="Q2055" s="38" t="n">
        <v>0</v>
      </c>
      <c r="R2055" s="38" t="n">
        <v>72</v>
      </c>
      <c r="S2055" s="37" t="n">
        <v>1</v>
      </c>
    </row>
    <row r="2056" customFormat="false" ht="15" hidden="false" customHeight="false" outlineLevel="0" collapsed="false">
      <c r="A2056" s="37" t="n">
        <v>15</v>
      </c>
      <c r="B2056" s="37" t="n">
        <v>0</v>
      </c>
      <c r="C2056" s="37" t="n">
        <v>0</v>
      </c>
      <c r="D2056" s="37" t="n">
        <v>5</v>
      </c>
      <c r="E2056" s="37" t="n">
        <v>0</v>
      </c>
      <c r="F2056" s="37" t="n">
        <v>10</v>
      </c>
      <c r="G2056" s="37" t="s">
        <v>192</v>
      </c>
      <c r="H2056" s="38" t="n">
        <v>199.159031633474</v>
      </c>
      <c r="I2056" s="38" t="n">
        <v>199.38435281076</v>
      </c>
      <c r="J2056" s="38" t="n">
        <v>199.790408956727</v>
      </c>
      <c r="K2056" s="38" t="n">
        <v>232.518956465663</v>
      </c>
      <c r="L2056" s="38" t="n">
        <v>111.001190727625</v>
      </c>
      <c r="M2056" s="38" t="n">
        <v>95.3090178385184</v>
      </c>
      <c r="N2056" s="38" t="n">
        <v>92.6281773866543</v>
      </c>
      <c r="O2056" s="38" t="n">
        <v>60.7969449047587</v>
      </c>
      <c r="P2056" s="37" t="n">
        <v>0</v>
      </c>
      <c r="Q2056" s="38" t="n">
        <v>0</v>
      </c>
      <c r="R2056" s="38" t="n">
        <v>72</v>
      </c>
      <c r="S2056" s="37" t="n">
        <v>0</v>
      </c>
    </row>
    <row r="2057" customFormat="false" ht="15" hidden="false" customHeight="false" outlineLevel="0" collapsed="false">
      <c r="A2057" s="37" t="n">
        <v>15</v>
      </c>
      <c r="B2057" s="37" t="n">
        <v>0</v>
      </c>
      <c r="C2057" s="37" t="n">
        <v>0</v>
      </c>
      <c r="D2057" s="37" t="n">
        <v>5</v>
      </c>
      <c r="E2057" s="37" t="n">
        <v>0</v>
      </c>
      <c r="F2057" s="37" t="n">
        <v>10</v>
      </c>
      <c r="G2057" s="37" t="s">
        <v>195</v>
      </c>
      <c r="H2057" s="38" t="n">
        <v>199.159031633474</v>
      </c>
      <c r="I2057" s="38" t="n">
        <v>199.415414006342</v>
      </c>
      <c r="J2057" s="38" t="n">
        <v>197.499019084107</v>
      </c>
      <c r="K2057" s="38" t="n">
        <v>226.651846819294</v>
      </c>
      <c r="L2057" s="38" t="n">
        <v>108.925086658012</v>
      </c>
      <c r="M2057" s="38" t="n">
        <v>99.9734676234888</v>
      </c>
      <c r="N2057" s="38" t="n">
        <v>95.0501399973199</v>
      </c>
      <c r="O2057" s="38" t="n">
        <v>62.5367468148013</v>
      </c>
      <c r="P2057" s="37" t="n">
        <v>0</v>
      </c>
      <c r="Q2057" s="38" t="n">
        <v>0</v>
      </c>
      <c r="R2057" s="38" t="n">
        <v>70.3569719516152</v>
      </c>
      <c r="S2057" s="37" t="n">
        <v>0</v>
      </c>
    </row>
    <row r="2058" customFormat="false" ht="15" hidden="false" customHeight="false" outlineLevel="0" collapsed="false">
      <c r="A2058" s="37" t="n">
        <v>15</v>
      </c>
      <c r="B2058" s="37" t="n">
        <v>0</v>
      </c>
      <c r="C2058" s="37" t="n">
        <v>0</v>
      </c>
      <c r="D2058" s="37" t="n">
        <v>5</v>
      </c>
      <c r="E2058" s="37" t="n">
        <v>0</v>
      </c>
      <c r="F2058" s="37" t="n">
        <v>10</v>
      </c>
      <c r="G2058" s="37" t="s">
        <v>197</v>
      </c>
      <c r="H2058" s="38" t="n">
        <v>199.159031633474</v>
      </c>
      <c r="I2058" s="38" t="n">
        <v>199.385326087313</v>
      </c>
      <c r="J2058" s="38" t="n">
        <v>199.131294721182</v>
      </c>
      <c r="K2058" s="38" t="n">
        <v>231.6582095539</v>
      </c>
      <c r="L2058" s="38" t="n">
        <v>109.20568059686</v>
      </c>
      <c r="M2058" s="38" t="n">
        <v>100.111467442322</v>
      </c>
      <c r="N2058" s="38" t="n">
        <v>94.7667411726152</v>
      </c>
      <c r="O2058" s="38" t="n">
        <v>62.2512722593922</v>
      </c>
      <c r="P2058" s="37" t="n">
        <v>0</v>
      </c>
      <c r="Q2058" s="38" t="n">
        <v>0</v>
      </c>
      <c r="R2058" s="38" t="n">
        <v>72</v>
      </c>
      <c r="S2058" s="37" t="n">
        <v>0</v>
      </c>
    </row>
    <row r="2059" customFormat="false" ht="15" hidden="false" customHeight="false" outlineLevel="0" collapsed="false">
      <c r="A2059" s="37" t="n">
        <v>15</v>
      </c>
      <c r="B2059" s="37" t="n">
        <v>0</v>
      </c>
      <c r="C2059" s="37" t="n">
        <v>0</v>
      </c>
      <c r="D2059" s="37" t="n">
        <v>5</v>
      </c>
      <c r="E2059" s="37" t="n">
        <v>0</v>
      </c>
      <c r="F2059" s="37" t="n">
        <v>10</v>
      </c>
      <c r="G2059" s="37" t="s">
        <v>196</v>
      </c>
      <c r="H2059" s="38" t="n">
        <v>199.159031633474</v>
      </c>
      <c r="I2059" s="38" t="n">
        <v>199.388012934845</v>
      </c>
      <c r="J2059" s="38" t="n">
        <v>192.494983107561</v>
      </c>
      <c r="K2059" s="38" t="n">
        <v>233.987942032715</v>
      </c>
      <c r="L2059" s="38" t="n">
        <v>120.43238647716</v>
      </c>
      <c r="M2059" s="38" t="n">
        <v>102.107287593115</v>
      </c>
      <c r="N2059" s="38" t="n">
        <v>100.228398225307</v>
      </c>
      <c r="O2059" s="38" t="n">
        <v>62.8665487026098</v>
      </c>
      <c r="P2059" s="37" t="n">
        <v>0</v>
      </c>
      <c r="Q2059" s="38" t="n">
        <v>0</v>
      </c>
      <c r="R2059" s="38" t="n">
        <v>70.6396954179229</v>
      </c>
      <c r="S2059" s="37" t="n">
        <v>0</v>
      </c>
    </row>
    <row r="2060" customFormat="false" ht="15" hidden="false" customHeight="false" outlineLevel="0" collapsed="false">
      <c r="A2060" s="37" t="n">
        <v>15</v>
      </c>
      <c r="B2060" s="37" t="n">
        <v>0</v>
      </c>
      <c r="C2060" s="37" t="n">
        <v>0</v>
      </c>
      <c r="D2060" s="37" t="n">
        <v>5</v>
      </c>
      <c r="E2060" s="37" t="n">
        <v>5</v>
      </c>
      <c r="F2060" s="37" t="n">
        <v>5</v>
      </c>
      <c r="G2060" s="37" t="s">
        <v>188</v>
      </c>
      <c r="H2060" s="38" t="n">
        <v>199.169084134802</v>
      </c>
      <c r="I2060" s="38" t="n">
        <v>199.887946170695</v>
      </c>
      <c r="J2060" s="38" t="n">
        <v>209.542742352428</v>
      </c>
      <c r="K2060" s="38" t="n">
        <v>248.198792266611</v>
      </c>
      <c r="L2060" s="38" t="n">
        <v>84.5232035466384</v>
      </c>
      <c r="M2060" s="38" t="n">
        <v>104.795979877966</v>
      </c>
      <c r="N2060" s="38" t="n">
        <v>118.941237611795</v>
      </c>
      <c r="O2060" s="38" t="n">
        <v>68.2320058425557</v>
      </c>
      <c r="P2060" s="37" t="n">
        <v>0</v>
      </c>
      <c r="Q2060" s="38" t="n">
        <v>0</v>
      </c>
      <c r="R2060" s="38" t="n">
        <v>72</v>
      </c>
      <c r="S2060" s="37" t="n">
        <v>1</v>
      </c>
    </row>
    <row r="2061" customFormat="false" ht="15" hidden="false" customHeight="false" outlineLevel="0" collapsed="false">
      <c r="A2061" s="37" t="n">
        <v>15</v>
      </c>
      <c r="B2061" s="37" t="n">
        <v>0</v>
      </c>
      <c r="C2061" s="37" t="n">
        <v>0</v>
      </c>
      <c r="D2061" s="37" t="n">
        <v>5</v>
      </c>
      <c r="E2061" s="37" t="n">
        <v>5</v>
      </c>
      <c r="F2061" s="37" t="n">
        <v>5</v>
      </c>
      <c r="G2061" s="37" t="s">
        <v>192</v>
      </c>
      <c r="H2061" s="38" t="n">
        <v>199.169084134802</v>
      </c>
      <c r="I2061" s="38" t="n">
        <v>199.62082110988</v>
      </c>
      <c r="J2061" s="38" t="n">
        <v>203.378064090073</v>
      </c>
      <c r="K2061" s="38" t="n">
        <v>238.359630687965</v>
      </c>
      <c r="L2061" s="38" t="n">
        <v>76.8296264976809</v>
      </c>
      <c r="M2061" s="38" t="n">
        <v>96.6167782984851</v>
      </c>
      <c r="N2061" s="38" t="n">
        <v>100.721000581182</v>
      </c>
      <c r="O2061" s="38" t="n">
        <v>61.0922281883293</v>
      </c>
      <c r="P2061" s="37" t="n">
        <v>0</v>
      </c>
      <c r="Q2061" s="38" t="n">
        <v>0</v>
      </c>
      <c r="R2061" s="38" t="n">
        <v>72</v>
      </c>
      <c r="S2061" s="37" t="n">
        <v>0</v>
      </c>
    </row>
    <row r="2062" customFormat="false" ht="15" hidden="false" customHeight="false" outlineLevel="0" collapsed="false">
      <c r="A2062" s="37" t="n">
        <v>15</v>
      </c>
      <c r="B2062" s="37" t="n">
        <v>0</v>
      </c>
      <c r="C2062" s="37" t="n">
        <v>0</v>
      </c>
      <c r="D2062" s="37" t="n">
        <v>5</v>
      </c>
      <c r="E2062" s="37" t="n">
        <v>5</v>
      </c>
      <c r="F2062" s="37" t="n">
        <v>5</v>
      </c>
      <c r="G2062" s="37" t="s">
        <v>195</v>
      </c>
      <c r="H2062" s="38" t="n">
        <v>199.169084134802</v>
      </c>
      <c r="I2062" s="38" t="n">
        <v>199.659368159041</v>
      </c>
      <c r="J2062" s="38" t="n">
        <v>201.145059726392</v>
      </c>
      <c r="K2062" s="38" t="n">
        <v>232.622042064032</v>
      </c>
      <c r="L2062" s="38" t="n">
        <v>74.8424081747395</v>
      </c>
      <c r="M2062" s="38" t="n">
        <v>101.257216395</v>
      </c>
      <c r="N2062" s="38" t="n">
        <v>103.349017499796</v>
      </c>
      <c r="O2062" s="38" t="n">
        <v>63.0194216336722</v>
      </c>
      <c r="P2062" s="37" t="n">
        <v>0</v>
      </c>
      <c r="Q2062" s="38" t="n">
        <v>0</v>
      </c>
      <c r="R2062" s="38" t="n">
        <v>70.3411098332123</v>
      </c>
      <c r="S2062" s="37" t="n">
        <v>0</v>
      </c>
    </row>
    <row r="2063" customFormat="false" ht="15" hidden="false" customHeight="false" outlineLevel="0" collapsed="false">
      <c r="A2063" s="37" t="n">
        <v>15</v>
      </c>
      <c r="B2063" s="37" t="n">
        <v>0</v>
      </c>
      <c r="C2063" s="37" t="n">
        <v>0</v>
      </c>
      <c r="D2063" s="37" t="n">
        <v>5</v>
      </c>
      <c r="E2063" s="37" t="n">
        <v>5</v>
      </c>
      <c r="F2063" s="37" t="n">
        <v>5</v>
      </c>
      <c r="G2063" s="37" t="s">
        <v>197</v>
      </c>
      <c r="H2063" s="38" t="n">
        <v>199.169084134802</v>
      </c>
      <c r="I2063" s="38" t="n">
        <v>199.635279634054</v>
      </c>
      <c r="J2063" s="38" t="n">
        <v>203.430858953464</v>
      </c>
      <c r="K2063" s="38" t="n">
        <v>238.571883904381</v>
      </c>
      <c r="L2063" s="38" t="n">
        <v>76.6598604249661</v>
      </c>
      <c r="M2063" s="38" t="n">
        <v>104.726670634272</v>
      </c>
      <c r="N2063" s="38" t="n">
        <v>112.445258180036</v>
      </c>
      <c r="O2063" s="38" t="n">
        <v>66.7412040500283</v>
      </c>
      <c r="P2063" s="37" t="n">
        <v>0</v>
      </c>
      <c r="Q2063" s="38" t="n">
        <v>0</v>
      </c>
      <c r="R2063" s="38" t="n">
        <v>72</v>
      </c>
      <c r="S2063" s="37" t="n">
        <v>0</v>
      </c>
    </row>
    <row r="2064" customFormat="false" ht="15" hidden="false" customHeight="false" outlineLevel="0" collapsed="false">
      <c r="A2064" s="37" t="n">
        <v>15</v>
      </c>
      <c r="B2064" s="37" t="n">
        <v>0</v>
      </c>
      <c r="C2064" s="37" t="n">
        <v>0</v>
      </c>
      <c r="D2064" s="37" t="n">
        <v>5</v>
      </c>
      <c r="E2064" s="37" t="n">
        <v>5</v>
      </c>
      <c r="F2064" s="37" t="n">
        <v>5</v>
      </c>
      <c r="G2064" s="37" t="s">
        <v>196</v>
      </c>
      <c r="H2064" s="38" t="n">
        <v>199.169084134802</v>
      </c>
      <c r="I2064" s="38" t="n">
        <v>199.631065008112</v>
      </c>
      <c r="J2064" s="38" t="n">
        <v>203.721558719129</v>
      </c>
      <c r="K2064" s="38" t="n">
        <v>238.9144892179</v>
      </c>
      <c r="L2064" s="38" t="n">
        <v>82.8687645064425</v>
      </c>
      <c r="M2064" s="38" t="n">
        <v>104.023858465134</v>
      </c>
      <c r="N2064" s="38" t="n">
        <v>111.668836841744</v>
      </c>
      <c r="O2064" s="38" t="n">
        <v>66.1315765666979</v>
      </c>
      <c r="P2064" s="37" t="n">
        <v>0</v>
      </c>
      <c r="Q2064" s="38" t="n">
        <v>0</v>
      </c>
      <c r="R2064" s="38" t="n">
        <v>71.1023594025836</v>
      </c>
      <c r="S2064" s="37" t="n">
        <v>0</v>
      </c>
    </row>
    <row r="2065" customFormat="false" ht="15" hidden="false" customHeight="false" outlineLevel="0" collapsed="false">
      <c r="A2065" s="37" t="n">
        <v>15</v>
      </c>
      <c r="B2065" s="37" t="n">
        <v>0</v>
      </c>
      <c r="C2065" s="37" t="n">
        <v>0</v>
      </c>
      <c r="D2065" s="37" t="n">
        <v>5</v>
      </c>
      <c r="E2065" s="37" t="n">
        <v>10</v>
      </c>
      <c r="F2065" s="37" t="n">
        <v>0</v>
      </c>
      <c r="G2065" s="37" t="s">
        <v>188</v>
      </c>
      <c r="H2065" s="38" t="n">
        <v>199.185839940668</v>
      </c>
      <c r="I2065" s="38" t="n">
        <v>200.178750201779</v>
      </c>
      <c r="J2065" s="38" t="n">
        <v>213.330830504661</v>
      </c>
      <c r="K2065" s="38" t="n">
        <v>254.100558848807</v>
      </c>
      <c r="L2065" s="38" t="n">
        <v>50.6718109145222</v>
      </c>
      <c r="M2065" s="38" t="n">
        <v>106.003804818132</v>
      </c>
      <c r="N2065" s="38" t="n">
        <v>126.655186962115</v>
      </c>
      <c r="O2065" s="38" t="n">
        <v>68.3901415184853</v>
      </c>
      <c r="P2065" s="37" t="n">
        <v>0</v>
      </c>
      <c r="Q2065" s="38" t="n">
        <v>0</v>
      </c>
      <c r="R2065" s="38" t="n">
        <v>72</v>
      </c>
      <c r="S2065" s="37" t="n">
        <v>0</v>
      </c>
    </row>
    <row r="2066" customFormat="false" ht="15" hidden="false" customHeight="false" outlineLevel="0" collapsed="false">
      <c r="A2066" s="37" t="n">
        <v>15</v>
      </c>
      <c r="B2066" s="37" t="n">
        <v>0</v>
      </c>
      <c r="C2066" s="37" t="n">
        <v>0</v>
      </c>
      <c r="D2066" s="37" t="n">
        <v>5</v>
      </c>
      <c r="E2066" s="37" t="n">
        <v>10</v>
      </c>
      <c r="F2066" s="37" t="n">
        <v>0</v>
      </c>
      <c r="G2066" s="37" t="s">
        <v>192</v>
      </c>
      <c r="H2066" s="38" t="n">
        <v>199.185839940668</v>
      </c>
      <c r="I2066" s="38" t="n">
        <v>199.911657402168</v>
      </c>
      <c r="J2066" s="38" t="n">
        <v>206.406633459874</v>
      </c>
      <c r="K2066" s="38" t="n">
        <v>243.540610382775</v>
      </c>
      <c r="L2066" s="38" t="n">
        <v>42.0012715112352</v>
      </c>
      <c r="M2066" s="38" t="n">
        <v>97.9074430129561</v>
      </c>
      <c r="N2066" s="38" t="n">
        <v>107.234609941316</v>
      </c>
      <c r="O2066" s="38" t="n">
        <v>61.1248618780713</v>
      </c>
      <c r="P2066" s="37" t="n">
        <v>0</v>
      </c>
      <c r="Q2066" s="38" t="n">
        <v>0</v>
      </c>
      <c r="R2066" s="38" t="n">
        <v>72</v>
      </c>
      <c r="S2066" s="37" t="n">
        <v>0</v>
      </c>
    </row>
    <row r="2067" customFormat="false" ht="15" hidden="false" customHeight="false" outlineLevel="0" collapsed="false">
      <c r="A2067" s="37" t="n">
        <v>15</v>
      </c>
      <c r="B2067" s="37" t="n">
        <v>0</v>
      </c>
      <c r="C2067" s="37" t="n">
        <v>0</v>
      </c>
      <c r="D2067" s="37" t="n">
        <v>5</v>
      </c>
      <c r="E2067" s="37" t="n">
        <v>10</v>
      </c>
      <c r="F2067" s="37" t="n">
        <v>0</v>
      </c>
      <c r="G2067" s="37" t="s">
        <v>195</v>
      </c>
      <c r="H2067" s="38" t="n">
        <v>199.185839940668</v>
      </c>
      <c r="I2067" s="38" t="n">
        <v>199.956967211366</v>
      </c>
      <c r="J2067" s="38" t="n">
        <v>204.050024246786</v>
      </c>
      <c r="K2067" s="38" t="n">
        <v>237.791386907231</v>
      </c>
      <c r="L2067" s="38" t="n">
        <v>39.9411447570623</v>
      </c>
      <c r="M2067" s="38" t="n">
        <v>102.535570140749</v>
      </c>
      <c r="N2067" s="38" t="n">
        <v>109.704448204288</v>
      </c>
      <c r="O2067" s="38" t="n">
        <v>63.149955202307</v>
      </c>
      <c r="P2067" s="37" t="n">
        <v>0</v>
      </c>
      <c r="Q2067" s="38" t="n">
        <v>0</v>
      </c>
      <c r="R2067" s="38" t="n">
        <v>70.3199273549495</v>
      </c>
      <c r="S2067" s="37" t="n">
        <v>0</v>
      </c>
    </row>
    <row r="2068" customFormat="false" ht="15" hidden="false" customHeight="false" outlineLevel="0" collapsed="false">
      <c r="A2068" s="37" t="n">
        <v>15</v>
      </c>
      <c r="B2068" s="37" t="n">
        <v>0</v>
      </c>
      <c r="C2068" s="37" t="n">
        <v>0</v>
      </c>
      <c r="D2068" s="37" t="n">
        <v>5</v>
      </c>
      <c r="E2068" s="37" t="n">
        <v>10</v>
      </c>
      <c r="F2068" s="37" t="n">
        <v>0</v>
      </c>
      <c r="G2068" s="37" t="s">
        <v>197</v>
      </c>
      <c r="H2068" s="38" t="n">
        <v>199.185839940668</v>
      </c>
      <c r="I2068" s="38" t="n">
        <v>199.94898731755</v>
      </c>
      <c r="J2068" s="38" t="n">
        <v>207.520391872598</v>
      </c>
      <c r="K2068" s="38" t="n">
        <v>245.221700396469</v>
      </c>
      <c r="L2068" s="38" t="n">
        <v>44.0000993687544</v>
      </c>
      <c r="M2068" s="38" t="n">
        <v>108.621458456466</v>
      </c>
      <c r="N2068" s="38" t="n">
        <v>127.50782429281</v>
      </c>
      <c r="O2068" s="38" t="n">
        <v>68.5221918418311</v>
      </c>
      <c r="P2068" s="37" t="n">
        <v>0</v>
      </c>
      <c r="Q2068" s="38" t="n">
        <v>0</v>
      </c>
      <c r="R2068" s="38" t="n">
        <v>72</v>
      </c>
      <c r="S2068" s="37" t="n">
        <v>1</v>
      </c>
    </row>
    <row r="2069" customFormat="false" ht="15" hidden="false" customHeight="false" outlineLevel="0" collapsed="false">
      <c r="A2069" s="37" t="n">
        <v>15</v>
      </c>
      <c r="B2069" s="37" t="n">
        <v>0</v>
      </c>
      <c r="C2069" s="37" t="n">
        <v>0</v>
      </c>
      <c r="D2069" s="37" t="n">
        <v>5</v>
      </c>
      <c r="E2069" s="37" t="n">
        <v>10</v>
      </c>
      <c r="F2069" s="37" t="n">
        <v>0</v>
      </c>
      <c r="G2069" s="37" t="s">
        <v>196</v>
      </c>
      <c r="H2069" s="38" t="n">
        <v>199.185839940668</v>
      </c>
      <c r="I2069" s="38" t="n">
        <v>199.925203881429</v>
      </c>
      <c r="J2069" s="38" t="n">
        <v>206.733491009122</v>
      </c>
      <c r="K2069" s="38" t="n">
        <v>244.102713237447</v>
      </c>
      <c r="L2069" s="38" t="n">
        <v>48.0209823278522</v>
      </c>
      <c r="M2069" s="38" t="n">
        <v>105.783241673849</v>
      </c>
      <c r="N2069" s="38" t="n">
        <v>119.41907421603</v>
      </c>
      <c r="O2069" s="38" t="n">
        <v>66.6850994622208</v>
      </c>
      <c r="P2069" s="37" t="n">
        <v>0</v>
      </c>
      <c r="Q2069" s="38" t="n">
        <v>0</v>
      </c>
      <c r="R2069" s="38" t="n">
        <v>71.0937179150306</v>
      </c>
      <c r="S2069" s="37" t="n">
        <v>0</v>
      </c>
    </row>
    <row r="2070" customFormat="false" ht="15" hidden="false" customHeight="false" outlineLevel="0" collapsed="false">
      <c r="A2070" s="37" t="n">
        <v>15</v>
      </c>
      <c r="B2070" s="37" t="n">
        <v>0</v>
      </c>
      <c r="C2070" s="37" t="n">
        <v>0</v>
      </c>
      <c r="D2070" s="37" t="n">
        <v>10</v>
      </c>
      <c r="E2070" s="37" t="n">
        <v>0</v>
      </c>
      <c r="F2070" s="37" t="n">
        <v>5</v>
      </c>
      <c r="G2070" s="37" t="s">
        <v>188</v>
      </c>
      <c r="H2070" s="38" t="n">
        <v>199.372806107407</v>
      </c>
      <c r="I2070" s="38" t="n">
        <v>200.547997336922</v>
      </c>
      <c r="J2070" s="38" t="n">
        <v>209.228283926405</v>
      </c>
      <c r="K2070" s="38" t="n">
        <v>241.897926944746</v>
      </c>
      <c r="L2070" s="38" t="n">
        <v>78.4654780408784</v>
      </c>
      <c r="M2070" s="38" t="n">
        <v>104.29670490647</v>
      </c>
      <c r="N2070" s="38" t="n">
        <v>113.096684293859</v>
      </c>
      <c r="O2070" s="38" t="n">
        <v>68.4379036227402</v>
      </c>
      <c r="P2070" s="37" t="n">
        <v>0</v>
      </c>
      <c r="Q2070" s="38" t="n">
        <v>0</v>
      </c>
      <c r="R2070" s="38" t="n">
        <v>72</v>
      </c>
      <c r="S2070" s="37" t="n">
        <v>1</v>
      </c>
    </row>
    <row r="2071" customFormat="false" ht="15" hidden="false" customHeight="false" outlineLevel="0" collapsed="false">
      <c r="A2071" s="37" t="n">
        <v>15</v>
      </c>
      <c r="B2071" s="37" t="n">
        <v>0</v>
      </c>
      <c r="C2071" s="37" t="n">
        <v>0</v>
      </c>
      <c r="D2071" s="37" t="n">
        <v>10</v>
      </c>
      <c r="E2071" s="37" t="n">
        <v>0</v>
      </c>
      <c r="F2071" s="37" t="n">
        <v>5</v>
      </c>
      <c r="G2071" s="37" t="s">
        <v>192</v>
      </c>
      <c r="H2071" s="38" t="n">
        <v>199.372806107407</v>
      </c>
      <c r="I2071" s="38" t="n">
        <v>200.26980645238</v>
      </c>
      <c r="J2071" s="38" t="n">
        <v>203.315231736684</v>
      </c>
      <c r="K2071" s="38" t="n">
        <v>232.123429669334</v>
      </c>
      <c r="L2071" s="38" t="n">
        <v>70.8391967926989</v>
      </c>
      <c r="M2071" s="38" t="n">
        <v>96.0210770853992</v>
      </c>
      <c r="N2071" s="38" t="n">
        <v>95.5085985048725</v>
      </c>
      <c r="O2071" s="38" t="n">
        <v>61.0256048654178</v>
      </c>
      <c r="P2071" s="37" t="n">
        <v>0</v>
      </c>
      <c r="Q2071" s="38" t="n">
        <v>0</v>
      </c>
      <c r="R2071" s="38" t="n">
        <v>72</v>
      </c>
      <c r="S2071" s="37" t="n">
        <v>0</v>
      </c>
    </row>
    <row r="2072" customFormat="false" ht="15" hidden="false" customHeight="false" outlineLevel="0" collapsed="false">
      <c r="A2072" s="37" t="n">
        <v>15</v>
      </c>
      <c r="B2072" s="37" t="n">
        <v>0</v>
      </c>
      <c r="C2072" s="37" t="n">
        <v>0</v>
      </c>
      <c r="D2072" s="37" t="n">
        <v>10</v>
      </c>
      <c r="E2072" s="37" t="n">
        <v>0</v>
      </c>
      <c r="F2072" s="37" t="n">
        <v>5</v>
      </c>
      <c r="G2072" s="37" t="s">
        <v>195</v>
      </c>
      <c r="H2072" s="38" t="n">
        <v>199.372806107407</v>
      </c>
      <c r="I2072" s="38" t="n">
        <v>200.357980974891</v>
      </c>
      <c r="J2072" s="38" t="n">
        <v>201.506591200475</v>
      </c>
      <c r="K2072" s="38" t="n">
        <v>230.062045726011</v>
      </c>
      <c r="L2072" s="38" t="n">
        <v>76.8120457260112</v>
      </c>
      <c r="M2072" s="38" t="n">
        <v>101.993184413291</v>
      </c>
      <c r="N2072" s="38" t="n">
        <v>102.857381148891</v>
      </c>
      <c r="O2072" s="38" t="n">
        <v>64.2278445126357</v>
      </c>
      <c r="P2072" s="37" t="n">
        <v>0</v>
      </c>
      <c r="Q2072" s="38" t="n">
        <v>0</v>
      </c>
      <c r="R2072" s="38" t="n">
        <v>67.28760787792</v>
      </c>
      <c r="S2072" s="37" t="n">
        <v>0</v>
      </c>
    </row>
    <row r="2073" customFormat="false" ht="15" hidden="false" customHeight="false" outlineLevel="0" collapsed="false">
      <c r="A2073" s="37" t="n">
        <v>15</v>
      </c>
      <c r="B2073" s="37" t="n">
        <v>0</v>
      </c>
      <c r="C2073" s="37" t="n">
        <v>0</v>
      </c>
      <c r="D2073" s="37" t="n">
        <v>10</v>
      </c>
      <c r="E2073" s="37" t="n">
        <v>0</v>
      </c>
      <c r="F2073" s="37" t="n">
        <v>5</v>
      </c>
      <c r="G2073" s="37" t="s">
        <v>197</v>
      </c>
      <c r="H2073" s="38" t="n">
        <v>199.372806107407</v>
      </c>
      <c r="I2073" s="38" t="n">
        <v>200.270653470752</v>
      </c>
      <c r="J2073" s="38" t="n">
        <v>202.699081002624</v>
      </c>
      <c r="K2073" s="38" t="n">
        <v>231.337922223752</v>
      </c>
      <c r="L2073" s="38" t="n">
        <v>69.0899176602482</v>
      </c>
      <c r="M2073" s="38" t="n">
        <v>100.823182294549</v>
      </c>
      <c r="N2073" s="38" t="n">
        <v>97.8323807437057</v>
      </c>
      <c r="O2073" s="38" t="n">
        <v>62.7788630474882</v>
      </c>
      <c r="P2073" s="37" t="n">
        <v>0</v>
      </c>
      <c r="Q2073" s="38" t="n">
        <v>0</v>
      </c>
      <c r="R2073" s="38" t="n">
        <v>72</v>
      </c>
      <c r="S2073" s="37" t="n">
        <v>0</v>
      </c>
    </row>
    <row r="2074" customFormat="false" ht="15" hidden="false" customHeight="false" outlineLevel="0" collapsed="false">
      <c r="A2074" s="37" t="n">
        <v>15</v>
      </c>
      <c r="B2074" s="37" t="n">
        <v>0</v>
      </c>
      <c r="C2074" s="37" t="n">
        <v>0</v>
      </c>
      <c r="D2074" s="37" t="n">
        <v>10</v>
      </c>
      <c r="E2074" s="37" t="n">
        <v>0</v>
      </c>
      <c r="F2074" s="37" t="n">
        <v>5</v>
      </c>
      <c r="G2074" s="37" t="s">
        <v>196</v>
      </c>
      <c r="H2074" s="38" t="n">
        <v>199.372806107407</v>
      </c>
      <c r="I2074" s="38" t="n">
        <v>200.273151210523</v>
      </c>
      <c r="J2074" s="38" t="n">
        <v>196.033041975604</v>
      </c>
      <c r="K2074" s="38" t="n">
        <v>233.63410985121</v>
      </c>
      <c r="L2074" s="38" t="n">
        <v>80.0785542956549</v>
      </c>
      <c r="M2074" s="38" t="n">
        <v>103.271502914939</v>
      </c>
      <c r="N2074" s="38" t="n">
        <v>103.973615633194</v>
      </c>
      <c r="O2074" s="38" t="n">
        <v>63.3107517760414</v>
      </c>
      <c r="P2074" s="37" t="n">
        <v>0</v>
      </c>
      <c r="Q2074" s="38" t="n">
        <v>0</v>
      </c>
      <c r="R2074" s="38" t="n">
        <v>70.7373333333333</v>
      </c>
      <c r="S2074" s="37" t="n">
        <v>0</v>
      </c>
    </row>
    <row r="2075" customFormat="false" ht="15" hidden="false" customHeight="false" outlineLevel="0" collapsed="false">
      <c r="A2075" s="37" t="n">
        <v>15</v>
      </c>
      <c r="B2075" s="37" t="n">
        <v>0</v>
      </c>
      <c r="C2075" s="37" t="n">
        <v>0</v>
      </c>
      <c r="D2075" s="37" t="n">
        <v>10</v>
      </c>
      <c r="E2075" s="37" t="n">
        <v>5</v>
      </c>
      <c r="F2075" s="37" t="n">
        <v>0</v>
      </c>
      <c r="G2075" s="37" t="s">
        <v>188</v>
      </c>
      <c r="H2075" s="38" t="n">
        <v>199.378398753535</v>
      </c>
      <c r="I2075" s="38" t="n">
        <v>200.782318276408</v>
      </c>
      <c r="J2075" s="38" t="n">
        <v>213.845396361606</v>
      </c>
      <c r="K2075" s="38" t="n">
        <v>248.632933001727</v>
      </c>
      <c r="L2075" s="38" t="n">
        <v>45.4557597145673</v>
      </c>
      <c r="M2075" s="38" t="n">
        <v>105.489625811794</v>
      </c>
      <c r="N2075" s="38" t="n">
        <v>122.644684793057</v>
      </c>
      <c r="O2075" s="38" t="n">
        <v>69.0034143210065</v>
      </c>
      <c r="P2075" s="37" t="n">
        <v>0</v>
      </c>
      <c r="Q2075" s="38" t="n">
        <v>0</v>
      </c>
      <c r="R2075" s="38" t="n">
        <v>72</v>
      </c>
      <c r="S2075" s="37" t="n">
        <v>1</v>
      </c>
    </row>
    <row r="2076" customFormat="false" ht="15" hidden="false" customHeight="false" outlineLevel="0" collapsed="false">
      <c r="A2076" s="37" t="n">
        <v>15</v>
      </c>
      <c r="B2076" s="37" t="n">
        <v>0</v>
      </c>
      <c r="C2076" s="37" t="n">
        <v>0</v>
      </c>
      <c r="D2076" s="37" t="n">
        <v>10</v>
      </c>
      <c r="E2076" s="37" t="n">
        <v>5</v>
      </c>
      <c r="F2076" s="37" t="n">
        <v>0</v>
      </c>
      <c r="G2076" s="37" t="s">
        <v>192</v>
      </c>
      <c r="H2076" s="38" t="n">
        <v>199.378398753535</v>
      </c>
      <c r="I2076" s="38" t="n">
        <v>200.502126168177</v>
      </c>
      <c r="J2076" s="38" t="n">
        <v>207.083894585344</v>
      </c>
      <c r="K2076" s="38" t="n">
        <v>238.035611718092</v>
      </c>
      <c r="L2076" s="38" t="n">
        <v>36.7337349933537</v>
      </c>
      <c r="M2076" s="38" t="n">
        <v>97.3173702640121</v>
      </c>
      <c r="N2076" s="38" t="n">
        <v>100.939467280142</v>
      </c>
      <c r="O2076" s="38" t="n">
        <v>61.4601145173213</v>
      </c>
      <c r="P2076" s="37" t="n">
        <v>0</v>
      </c>
      <c r="Q2076" s="38" t="n">
        <v>0</v>
      </c>
      <c r="R2076" s="38" t="n">
        <v>72</v>
      </c>
      <c r="S2076" s="37" t="n">
        <v>0</v>
      </c>
    </row>
    <row r="2077" customFormat="false" ht="15" hidden="false" customHeight="false" outlineLevel="0" collapsed="false">
      <c r="A2077" s="37" t="n">
        <v>15</v>
      </c>
      <c r="B2077" s="37" t="n">
        <v>0</v>
      </c>
      <c r="C2077" s="37" t="n">
        <v>0</v>
      </c>
      <c r="D2077" s="37" t="n">
        <v>10</v>
      </c>
      <c r="E2077" s="37" t="n">
        <v>5</v>
      </c>
      <c r="F2077" s="37" t="n">
        <v>0</v>
      </c>
      <c r="G2077" s="37" t="s">
        <v>195</v>
      </c>
      <c r="H2077" s="38" t="n">
        <v>199.378398753535</v>
      </c>
      <c r="I2077" s="38" t="n">
        <v>200.604137334356</v>
      </c>
      <c r="J2077" s="38" t="n">
        <v>205.387830368393</v>
      </c>
      <c r="K2077" s="38" t="n">
        <v>236.298990451371</v>
      </c>
      <c r="L2077" s="38" t="n">
        <v>43.0489904513711</v>
      </c>
      <c r="M2077" s="38" t="n">
        <v>103.254771814869</v>
      </c>
      <c r="N2077" s="38" t="n">
        <v>111.308318219904</v>
      </c>
      <c r="O2077" s="38" t="n">
        <v>64.9008555512976</v>
      </c>
      <c r="P2077" s="37" t="n">
        <v>0</v>
      </c>
      <c r="Q2077" s="38" t="n">
        <v>0</v>
      </c>
      <c r="R2077" s="38" t="n">
        <v>67.2684990861538</v>
      </c>
      <c r="S2077" s="37" t="n">
        <v>0</v>
      </c>
    </row>
    <row r="2078" customFormat="false" ht="15" hidden="false" customHeight="false" outlineLevel="0" collapsed="false">
      <c r="A2078" s="37" t="n">
        <v>15</v>
      </c>
      <c r="B2078" s="37" t="n">
        <v>0</v>
      </c>
      <c r="C2078" s="37" t="n">
        <v>0</v>
      </c>
      <c r="D2078" s="37" t="n">
        <v>10</v>
      </c>
      <c r="E2078" s="37" t="n">
        <v>5</v>
      </c>
      <c r="F2078" s="37" t="n">
        <v>0</v>
      </c>
      <c r="G2078" s="37" t="s">
        <v>197</v>
      </c>
      <c r="H2078" s="38" t="n">
        <v>199.378398753535</v>
      </c>
      <c r="I2078" s="38" t="n">
        <v>200.517951948287</v>
      </c>
      <c r="J2078" s="38" t="n">
        <v>207.218989834653</v>
      </c>
      <c r="K2078" s="38" t="n">
        <v>238.36093946664</v>
      </c>
      <c r="L2078" s="38" t="n">
        <v>36.6481486503572</v>
      </c>
      <c r="M2078" s="38" t="n">
        <v>105.402898457633</v>
      </c>
      <c r="N2078" s="38" t="n">
        <v>112.814623700049</v>
      </c>
      <c r="O2078" s="38" t="n">
        <v>67.3921374253252</v>
      </c>
      <c r="P2078" s="37" t="n">
        <v>0</v>
      </c>
      <c r="Q2078" s="38" t="n">
        <v>0</v>
      </c>
      <c r="R2078" s="38" t="n">
        <v>72</v>
      </c>
      <c r="S2078" s="37" t="n">
        <v>0</v>
      </c>
    </row>
    <row r="2079" customFormat="false" ht="15" hidden="false" customHeight="false" outlineLevel="0" collapsed="false">
      <c r="A2079" s="37" t="n">
        <v>15</v>
      </c>
      <c r="B2079" s="37" t="n">
        <v>0</v>
      </c>
      <c r="C2079" s="37" t="n">
        <v>0</v>
      </c>
      <c r="D2079" s="37" t="n">
        <v>10</v>
      </c>
      <c r="E2079" s="37" t="n">
        <v>5</v>
      </c>
      <c r="F2079" s="37" t="n">
        <v>0</v>
      </c>
      <c r="G2079" s="37" t="s">
        <v>196</v>
      </c>
      <c r="H2079" s="38" t="n">
        <v>199.378398753535</v>
      </c>
      <c r="I2079" s="38" t="n">
        <v>200.512701473242</v>
      </c>
      <c r="J2079" s="38" t="n">
        <v>199.432288603304</v>
      </c>
      <c r="K2079" s="38" t="n">
        <v>239.228773901019</v>
      </c>
      <c r="L2079" s="38" t="n">
        <v>45.6732183454635</v>
      </c>
      <c r="M2079" s="38" t="n">
        <v>105.162915365385</v>
      </c>
      <c r="N2079" s="38" t="n">
        <v>113.509606214654</v>
      </c>
      <c r="O2079" s="38" t="n">
        <v>64.9959467574544</v>
      </c>
      <c r="P2079" s="37" t="n">
        <v>0</v>
      </c>
      <c r="Q2079" s="38" t="n">
        <v>0</v>
      </c>
      <c r="R2079" s="38" t="n">
        <v>70.604</v>
      </c>
      <c r="S2079" s="37" t="n">
        <v>0</v>
      </c>
    </row>
    <row r="2080" customFormat="false" ht="15" hidden="false" customHeight="false" outlineLevel="0" collapsed="false">
      <c r="A2080" s="37" t="n">
        <v>15</v>
      </c>
      <c r="B2080" s="37" t="n">
        <v>0</v>
      </c>
      <c r="C2080" s="37" t="n">
        <v>0</v>
      </c>
      <c r="D2080" s="37" t="n">
        <v>15</v>
      </c>
      <c r="E2080" s="37" t="n">
        <v>0</v>
      </c>
      <c r="F2080" s="37" t="n">
        <v>0</v>
      </c>
      <c r="G2080" s="37" t="s">
        <v>188</v>
      </c>
      <c r="H2080" s="38" t="n">
        <v>199.522036684754</v>
      </c>
      <c r="I2080" s="38" t="n">
        <v>201.189853244433</v>
      </c>
      <c r="J2080" s="38" t="n">
        <v>212.174190939343</v>
      </c>
      <c r="K2080" s="38" t="n">
        <v>239.692501749233</v>
      </c>
      <c r="L2080" s="38" t="n">
        <v>36.6813767547647</v>
      </c>
      <c r="M2080" s="38" t="n">
        <v>104.575852648603</v>
      </c>
      <c r="N2080" s="38" t="n">
        <v>112.197741895639</v>
      </c>
      <c r="O2080" s="38" t="n">
        <v>67.5716231020548</v>
      </c>
      <c r="P2080" s="37" t="n">
        <v>0</v>
      </c>
      <c r="Q2080" s="38" t="n">
        <v>0</v>
      </c>
      <c r="R2080" s="38" t="n">
        <v>72</v>
      </c>
      <c r="S2080" s="37" t="n">
        <v>1</v>
      </c>
    </row>
    <row r="2081" customFormat="false" ht="15" hidden="false" customHeight="false" outlineLevel="0" collapsed="false">
      <c r="A2081" s="37" t="n">
        <v>15</v>
      </c>
      <c r="B2081" s="37" t="n">
        <v>0</v>
      </c>
      <c r="C2081" s="37" t="n">
        <v>0</v>
      </c>
      <c r="D2081" s="37" t="n">
        <v>15</v>
      </c>
      <c r="E2081" s="37" t="n">
        <v>0</v>
      </c>
      <c r="F2081" s="37" t="n">
        <v>0</v>
      </c>
      <c r="G2081" s="37" t="s">
        <v>192</v>
      </c>
      <c r="H2081" s="38" t="n">
        <v>199.522036684754</v>
      </c>
      <c r="I2081" s="38" t="n">
        <v>200.900298337888</v>
      </c>
      <c r="J2081" s="38" t="n">
        <v>205.83383407524</v>
      </c>
      <c r="K2081" s="38" t="n">
        <v>229.34398972488</v>
      </c>
      <c r="L2081" s="38" t="n">
        <v>28.2618566552197</v>
      </c>
      <c r="M2081" s="38" t="n">
        <v>96.3084185999414</v>
      </c>
      <c r="N2081" s="38" t="n">
        <v>86.8174030375677</v>
      </c>
      <c r="O2081" s="38" t="n">
        <v>59.9022703056765</v>
      </c>
      <c r="P2081" s="37" t="n">
        <v>0</v>
      </c>
      <c r="Q2081" s="38" t="n">
        <v>0</v>
      </c>
      <c r="R2081" s="38" t="n">
        <v>72</v>
      </c>
      <c r="S2081" s="37" t="n">
        <v>0</v>
      </c>
    </row>
    <row r="2082" customFormat="false" ht="15" hidden="false" customHeight="false" outlineLevel="0" collapsed="false">
      <c r="A2082" s="37" t="n">
        <v>15</v>
      </c>
      <c r="B2082" s="37" t="n">
        <v>0</v>
      </c>
      <c r="C2082" s="37" t="n">
        <v>0</v>
      </c>
      <c r="D2082" s="37" t="n">
        <v>15</v>
      </c>
      <c r="E2082" s="37" t="n">
        <v>0</v>
      </c>
      <c r="F2082" s="37" t="n">
        <v>0</v>
      </c>
      <c r="G2082" s="37" t="s">
        <v>195</v>
      </c>
      <c r="H2082" s="38" t="n">
        <v>199.522036684754</v>
      </c>
      <c r="I2082" s="38" t="n">
        <v>201.046793268531</v>
      </c>
      <c r="J2082" s="38" t="n">
        <v>205.1630702321</v>
      </c>
      <c r="K2082" s="38" t="n">
        <v>229.128376519459</v>
      </c>
      <c r="L2082" s="38" t="n">
        <v>35.8783765194589</v>
      </c>
      <c r="M2082" s="38" t="n">
        <v>103.184206355402</v>
      </c>
      <c r="N2082" s="38" t="n">
        <v>102.669462895499</v>
      </c>
      <c r="O2082" s="38" t="n">
        <v>64.0164714996611</v>
      </c>
      <c r="P2082" s="37" t="n">
        <v>0</v>
      </c>
      <c r="Q2082" s="38" t="n">
        <v>0</v>
      </c>
      <c r="R2082" s="38" t="n">
        <v>67.36</v>
      </c>
      <c r="S2082" s="37" t="n">
        <v>0</v>
      </c>
    </row>
    <row r="2083" customFormat="false" ht="15" hidden="false" customHeight="false" outlineLevel="0" collapsed="false">
      <c r="A2083" s="37" t="n">
        <v>15</v>
      </c>
      <c r="B2083" s="37" t="n">
        <v>0</v>
      </c>
      <c r="C2083" s="37" t="n">
        <v>0</v>
      </c>
      <c r="D2083" s="37" t="n">
        <v>15</v>
      </c>
      <c r="E2083" s="37" t="n">
        <v>0</v>
      </c>
      <c r="F2083" s="37" t="n">
        <v>0</v>
      </c>
      <c r="G2083" s="37" t="s">
        <v>197</v>
      </c>
      <c r="H2083" s="38" t="n">
        <v>199.522036684754</v>
      </c>
      <c r="I2083" s="38" t="n">
        <v>200.901713607832</v>
      </c>
      <c r="J2083" s="38" t="n">
        <v>205.247101439649</v>
      </c>
      <c r="K2083" s="38" t="n">
        <v>228.601110061326</v>
      </c>
      <c r="L2083" s="38" t="n">
        <v>26.5293491021561</v>
      </c>
      <c r="M2083" s="38" t="n">
        <v>101.111903943078</v>
      </c>
      <c r="N2083" s="38" t="n">
        <v>87.7684809569583</v>
      </c>
      <c r="O2083" s="38" t="n">
        <v>61.841776034983</v>
      </c>
      <c r="P2083" s="37" t="n">
        <v>0</v>
      </c>
      <c r="Q2083" s="38" t="n">
        <v>0</v>
      </c>
      <c r="R2083" s="38" t="n">
        <v>72</v>
      </c>
      <c r="S2083" s="37" t="n">
        <v>0</v>
      </c>
    </row>
    <row r="2084" customFormat="false" ht="15" hidden="false" customHeight="false" outlineLevel="0" collapsed="false">
      <c r="A2084" s="37" t="n">
        <v>15</v>
      </c>
      <c r="B2084" s="37" t="n">
        <v>0</v>
      </c>
      <c r="C2084" s="37" t="n">
        <v>0</v>
      </c>
      <c r="D2084" s="37" t="n">
        <v>15</v>
      </c>
      <c r="E2084" s="37" t="n">
        <v>0</v>
      </c>
      <c r="F2084" s="37" t="n">
        <v>0</v>
      </c>
      <c r="G2084" s="37" t="s">
        <v>196</v>
      </c>
      <c r="H2084" s="38" t="n">
        <v>199.522036684754</v>
      </c>
      <c r="I2084" s="38" t="n">
        <v>200.904043350739</v>
      </c>
      <c r="J2084" s="38" t="n">
        <v>198.441152257194</v>
      </c>
      <c r="K2084" s="38" t="n">
        <v>230.778726863291</v>
      </c>
      <c r="L2084" s="38" t="n">
        <v>37.2231713077353</v>
      </c>
      <c r="M2084" s="38" t="n">
        <v>103.851450505813</v>
      </c>
      <c r="N2084" s="38" t="n">
        <v>102.919031778345</v>
      </c>
      <c r="O2084" s="38" t="n">
        <v>62.1213189302752</v>
      </c>
      <c r="P2084" s="37" t="n">
        <v>0</v>
      </c>
      <c r="Q2084" s="38" t="n">
        <v>0</v>
      </c>
      <c r="R2084" s="38" t="n">
        <v>70.7373333333333</v>
      </c>
      <c r="S2084" s="37" t="n">
        <v>0</v>
      </c>
    </row>
    <row r="2085" customFormat="false" ht="15" hidden="false" customHeight="false" outlineLevel="0" collapsed="false">
      <c r="A2085" s="37" t="n">
        <v>15</v>
      </c>
      <c r="B2085" s="37" t="n">
        <v>0</v>
      </c>
      <c r="C2085" s="37" t="n">
        <v>5</v>
      </c>
      <c r="D2085" s="37" t="n">
        <v>0</v>
      </c>
      <c r="E2085" s="37" t="n">
        <v>0</v>
      </c>
      <c r="F2085" s="37" t="n">
        <v>10</v>
      </c>
      <c r="G2085" s="37" t="s">
        <v>188</v>
      </c>
      <c r="H2085" s="38" t="n">
        <v>199.101536676588</v>
      </c>
      <c r="I2085" s="38" t="n">
        <v>200.71805277099</v>
      </c>
      <c r="J2085" s="38" t="n">
        <v>219.882552588286</v>
      </c>
      <c r="K2085" s="38" t="n">
        <v>274.673387032324</v>
      </c>
      <c r="L2085" s="38" t="n">
        <v>151.354307848085</v>
      </c>
      <c r="M2085" s="38" t="n">
        <v>108.405194526904</v>
      </c>
      <c r="N2085" s="38" t="n">
        <v>139.526524346808</v>
      </c>
      <c r="O2085" s="38" t="n">
        <v>75.8265658899946</v>
      </c>
      <c r="P2085" s="37" t="n">
        <v>0</v>
      </c>
      <c r="Q2085" s="38" t="n">
        <v>0</v>
      </c>
      <c r="R2085" s="38" t="n">
        <v>70.5</v>
      </c>
      <c r="S2085" s="37" t="n">
        <v>1</v>
      </c>
    </row>
    <row r="2086" customFormat="false" ht="15" hidden="false" customHeight="false" outlineLevel="0" collapsed="false">
      <c r="A2086" s="37" t="n">
        <v>15</v>
      </c>
      <c r="B2086" s="37" t="n">
        <v>0</v>
      </c>
      <c r="C2086" s="37" t="n">
        <v>5</v>
      </c>
      <c r="D2086" s="37" t="n">
        <v>0</v>
      </c>
      <c r="E2086" s="37" t="n">
        <v>0</v>
      </c>
      <c r="F2086" s="37" t="n">
        <v>10</v>
      </c>
      <c r="G2086" s="37" t="s">
        <v>192</v>
      </c>
      <c r="H2086" s="38" t="n">
        <v>199.101536676588</v>
      </c>
      <c r="I2086" s="38" t="n">
        <v>200.358572042084</v>
      </c>
      <c r="J2086" s="38" t="n">
        <v>212.248763704306</v>
      </c>
      <c r="K2086" s="38" t="n">
        <v>262.05134429723</v>
      </c>
      <c r="L2086" s="38" t="n">
        <v>140.610439566598</v>
      </c>
      <c r="M2086" s="38" t="n">
        <v>99.930727646489</v>
      </c>
      <c r="N2086" s="38" t="n">
        <v>119.427667683429</v>
      </c>
      <c r="O2086" s="38" t="n">
        <v>66.1800187559577</v>
      </c>
      <c r="P2086" s="37" t="n">
        <v>0</v>
      </c>
      <c r="Q2086" s="38" t="n">
        <v>0</v>
      </c>
      <c r="R2086" s="38" t="n">
        <v>70.5</v>
      </c>
      <c r="S2086" s="37" t="n">
        <v>0</v>
      </c>
    </row>
    <row r="2087" customFormat="false" ht="15" hidden="false" customHeight="false" outlineLevel="0" collapsed="false">
      <c r="A2087" s="37" t="n">
        <v>15</v>
      </c>
      <c r="B2087" s="37" t="n">
        <v>0</v>
      </c>
      <c r="C2087" s="37" t="n">
        <v>5</v>
      </c>
      <c r="D2087" s="37" t="n">
        <v>0</v>
      </c>
      <c r="E2087" s="37" t="n">
        <v>0</v>
      </c>
      <c r="F2087" s="37" t="n">
        <v>10</v>
      </c>
      <c r="G2087" s="37" t="s">
        <v>195</v>
      </c>
      <c r="H2087" s="38" t="n">
        <v>199.101536676588</v>
      </c>
      <c r="I2087" s="38" t="n">
        <v>200.365572302574</v>
      </c>
      <c r="J2087" s="38" t="n">
        <v>207.525104403805</v>
      </c>
      <c r="K2087" s="38" t="n">
        <v>252.641098257663</v>
      </c>
      <c r="L2087" s="38" t="n">
        <v>133.745494972627</v>
      </c>
      <c r="M2087" s="38" t="n">
        <v>102.942760862347</v>
      </c>
      <c r="N2087" s="38" t="n">
        <v>114.619999837922</v>
      </c>
      <c r="O2087" s="38" t="n">
        <v>64.2782046495783</v>
      </c>
      <c r="P2087" s="37" t="n">
        <v>0</v>
      </c>
      <c r="Q2087" s="38" t="n">
        <v>0</v>
      </c>
      <c r="R2087" s="38" t="n">
        <v>68.506319014489</v>
      </c>
      <c r="S2087" s="37" t="n">
        <v>0</v>
      </c>
    </row>
    <row r="2088" customFormat="false" ht="15" hidden="false" customHeight="false" outlineLevel="0" collapsed="false">
      <c r="A2088" s="37" t="n">
        <v>15</v>
      </c>
      <c r="B2088" s="37" t="n">
        <v>0</v>
      </c>
      <c r="C2088" s="37" t="n">
        <v>5</v>
      </c>
      <c r="D2088" s="37" t="n">
        <v>0</v>
      </c>
      <c r="E2088" s="37" t="n">
        <v>0</v>
      </c>
      <c r="F2088" s="37" t="n">
        <v>10</v>
      </c>
      <c r="G2088" s="37" t="s">
        <v>197</v>
      </c>
      <c r="H2088" s="38" t="n">
        <v>199.101536676588</v>
      </c>
      <c r="I2088" s="38" t="n">
        <v>200.355059003745</v>
      </c>
      <c r="J2088" s="38" t="n">
        <v>211.333014872645</v>
      </c>
      <c r="K2088" s="38" t="n">
        <v>260.871867602447</v>
      </c>
      <c r="L2088" s="38" t="n">
        <v>138.288612496278</v>
      </c>
      <c r="M2088" s="38" t="n">
        <v>102.437404703703</v>
      </c>
      <c r="N2088" s="38" t="n">
        <v>115.763992075362</v>
      </c>
      <c r="O2088" s="38" t="n">
        <v>66.0705640035367</v>
      </c>
      <c r="P2088" s="37" t="n">
        <v>0</v>
      </c>
      <c r="Q2088" s="38" t="n">
        <v>0</v>
      </c>
      <c r="R2088" s="38" t="n">
        <v>70.5</v>
      </c>
      <c r="S2088" s="37" t="n">
        <v>0</v>
      </c>
    </row>
    <row r="2089" customFormat="false" ht="15" hidden="false" customHeight="false" outlineLevel="0" collapsed="false">
      <c r="A2089" s="37" t="n">
        <v>15</v>
      </c>
      <c r="B2089" s="37" t="n">
        <v>0</v>
      </c>
      <c r="C2089" s="37" t="n">
        <v>5</v>
      </c>
      <c r="D2089" s="37" t="n">
        <v>0</v>
      </c>
      <c r="E2089" s="37" t="n">
        <v>0</v>
      </c>
      <c r="F2089" s="37" t="n">
        <v>10</v>
      </c>
      <c r="G2089" s="37" t="s">
        <v>196</v>
      </c>
      <c r="H2089" s="38" t="n">
        <v>199.101536676588</v>
      </c>
      <c r="I2089" s="38" t="n">
        <v>200.368602763801</v>
      </c>
      <c r="J2089" s="38" t="n">
        <v>212.159853485685</v>
      </c>
      <c r="K2089" s="38" t="n">
        <v>262.165198807214</v>
      </c>
      <c r="L2089" s="38" t="n">
        <v>146.042884020678</v>
      </c>
      <c r="M2089" s="38" t="n">
        <v>104.700219871638</v>
      </c>
      <c r="N2089" s="38" t="n">
        <v>123.406057945268</v>
      </c>
      <c r="O2089" s="38" t="n">
        <v>69.5444721358464</v>
      </c>
      <c r="P2089" s="37" t="n">
        <v>0</v>
      </c>
      <c r="Q2089" s="38" t="n">
        <v>0</v>
      </c>
      <c r="R2089" s="38" t="n">
        <v>69.5839777845647</v>
      </c>
      <c r="S2089" s="37" t="n">
        <v>0</v>
      </c>
    </row>
    <row r="2090" customFormat="false" ht="15" hidden="false" customHeight="false" outlineLevel="0" collapsed="false">
      <c r="A2090" s="37" t="n">
        <v>15</v>
      </c>
      <c r="B2090" s="37" t="n">
        <v>0</v>
      </c>
      <c r="C2090" s="37" t="n">
        <v>5</v>
      </c>
      <c r="D2090" s="37" t="n">
        <v>0</v>
      </c>
      <c r="E2090" s="37" t="n">
        <v>5</v>
      </c>
      <c r="F2090" s="37" t="n">
        <v>5</v>
      </c>
      <c r="G2090" s="37" t="s">
        <v>188</v>
      </c>
      <c r="H2090" s="38" t="n">
        <v>199.109177344389</v>
      </c>
      <c r="I2090" s="38" t="n">
        <v>200.839461547215</v>
      </c>
      <c r="J2090" s="38" t="n">
        <v>223.171760517754</v>
      </c>
      <c r="K2090" s="38" t="n">
        <v>279.160223396572</v>
      </c>
      <c r="L2090" s="38" t="n">
        <v>116.023713265403</v>
      </c>
      <c r="M2090" s="38" t="n">
        <v>109.268382437822</v>
      </c>
      <c r="N2090" s="38" t="n">
        <v>146.802351562552</v>
      </c>
      <c r="O2090" s="38" t="n">
        <v>75.9324624214394</v>
      </c>
      <c r="P2090" s="37" t="n">
        <v>0</v>
      </c>
      <c r="Q2090" s="38" t="n">
        <v>0</v>
      </c>
      <c r="R2090" s="38" t="n">
        <v>70.5</v>
      </c>
      <c r="S2090" s="37" t="n">
        <v>1</v>
      </c>
    </row>
    <row r="2091" customFormat="false" ht="15" hidden="false" customHeight="false" outlineLevel="0" collapsed="false">
      <c r="A2091" s="37" t="n">
        <v>15</v>
      </c>
      <c r="B2091" s="37" t="n">
        <v>0</v>
      </c>
      <c r="C2091" s="37" t="n">
        <v>5</v>
      </c>
      <c r="D2091" s="37" t="n">
        <v>0</v>
      </c>
      <c r="E2091" s="37" t="n">
        <v>5</v>
      </c>
      <c r="F2091" s="37" t="n">
        <v>5</v>
      </c>
      <c r="G2091" s="37" t="s">
        <v>192</v>
      </c>
      <c r="H2091" s="38" t="n">
        <v>199.109177344389</v>
      </c>
      <c r="I2091" s="38" t="n">
        <v>200.483913065622</v>
      </c>
      <c r="J2091" s="38" t="n">
        <v>214.824608804344</v>
      </c>
      <c r="K2091" s="38" t="n">
        <v>265.903343544825</v>
      </c>
      <c r="L2091" s="38" t="n">
        <v>104.426812446529</v>
      </c>
      <c r="M2091" s="38" t="n">
        <v>100.924144169869</v>
      </c>
      <c r="N2091" s="38" t="n">
        <v>125.424488271298</v>
      </c>
      <c r="O2091" s="38" t="n">
        <v>67.3975607217027</v>
      </c>
      <c r="P2091" s="37" t="n">
        <v>0</v>
      </c>
      <c r="Q2091" s="38" t="n">
        <v>0</v>
      </c>
      <c r="R2091" s="38" t="n">
        <v>70.5</v>
      </c>
      <c r="S2091" s="37" t="n">
        <v>0</v>
      </c>
    </row>
    <row r="2092" customFormat="false" ht="15" hidden="false" customHeight="false" outlineLevel="0" collapsed="false">
      <c r="A2092" s="37" t="n">
        <v>15</v>
      </c>
      <c r="B2092" s="37" t="n">
        <v>0</v>
      </c>
      <c r="C2092" s="37" t="n">
        <v>5</v>
      </c>
      <c r="D2092" s="37" t="n">
        <v>0</v>
      </c>
      <c r="E2092" s="37" t="n">
        <v>5</v>
      </c>
      <c r="F2092" s="37" t="n">
        <v>5</v>
      </c>
      <c r="G2092" s="37" t="s">
        <v>195</v>
      </c>
      <c r="H2092" s="38" t="n">
        <v>199.109177344389</v>
      </c>
      <c r="I2092" s="38" t="n">
        <v>200.493495300907</v>
      </c>
      <c r="J2092" s="38" t="n">
        <v>209.848036936057</v>
      </c>
      <c r="K2092" s="38" t="n">
        <v>256.21615129917</v>
      </c>
      <c r="L2092" s="38" t="n">
        <v>97.2131083556696</v>
      </c>
      <c r="M2092" s="38" t="n">
        <v>103.942071701946</v>
      </c>
      <c r="N2092" s="38" t="n">
        <v>120.338230425844</v>
      </c>
      <c r="O2092" s="38" t="n">
        <v>64.2460399132407</v>
      </c>
      <c r="P2092" s="37" t="n">
        <v>0</v>
      </c>
      <c r="Q2092" s="38" t="n">
        <v>0</v>
      </c>
      <c r="R2092" s="38" t="n">
        <v>68.47408711695</v>
      </c>
      <c r="S2092" s="37" t="n">
        <v>0</v>
      </c>
    </row>
    <row r="2093" customFormat="false" ht="15" hidden="false" customHeight="false" outlineLevel="0" collapsed="false">
      <c r="A2093" s="37" t="n">
        <v>15</v>
      </c>
      <c r="B2093" s="37" t="n">
        <v>0</v>
      </c>
      <c r="C2093" s="37" t="n">
        <v>5</v>
      </c>
      <c r="D2093" s="37" t="n">
        <v>0</v>
      </c>
      <c r="E2093" s="37" t="n">
        <v>5</v>
      </c>
      <c r="F2093" s="37" t="n">
        <v>5</v>
      </c>
      <c r="G2093" s="37" t="s">
        <v>197</v>
      </c>
      <c r="H2093" s="38" t="n">
        <v>199.109177344389</v>
      </c>
      <c r="I2093" s="38" t="n">
        <v>200.494913953435</v>
      </c>
      <c r="J2093" s="38" t="n">
        <v>214.682858123073</v>
      </c>
      <c r="K2093" s="38" t="n">
        <v>265.889009900146</v>
      </c>
      <c r="L2093" s="38" t="n">
        <v>103.811805172848</v>
      </c>
      <c r="M2093" s="38" t="n">
        <v>106.725719098998</v>
      </c>
      <c r="N2093" s="38" t="n">
        <v>131.117210509217</v>
      </c>
      <c r="O2093" s="38" t="n">
        <v>71.3122035604378</v>
      </c>
      <c r="P2093" s="37" t="n">
        <v>0</v>
      </c>
      <c r="Q2093" s="38" t="n">
        <v>0</v>
      </c>
      <c r="R2093" s="38" t="n">
        <v>70.5</v>
      </c>
      <c r="S2093" s="37" t="n">
        <v>0</v>
      </c>
    </row>
    <row r="2094" customFormat="false" ht="15" hidden="false" customHeight="false" outlineLevel="0" collapsed="false">
      <c r="A2094" s="37" t="n">
        <v>15</v>
      </c>
      <c r="B2094" s="37" t="n">
        <v>0</v>
      </c>
      <c r="C2094" s="37" t="n">
        <v>5</v>
      </c>
      <c r="D2094" s="37" t="n">
        <v>0</v>
      </c>
      <c r="E2094" s="37" t="n">
        <v>5</v>
      </c>
      <c r="F2094" s="37" t="n">
        <v>5</v>
      </c>
      <c r="G2094" s="37" t="s">
        <v>196</v>
      </c>
      <c r="H2094" s="38" t="n">
        <v>199.109177344389</v>
      </c>
      <c r="I2094" s="38" t="n">
        <v>200.499436039721</v>
      </c>
      <c r="J2094" s="38" t="n">
        <v>214.573153676425</v>
      </c>
      <c r="K2094" s="38" t="n">
        <v>265.886825314154</v>
      </c>
      <c r="L2094" s="38" t="n">
        <v>109.329913062865</v>
      </c>
      <c r="M2094" s="38" t="n">
        <v>106.33546255885</v>
      </c>
      <c r="N2094" s="38" t="n">
        <v>130.912667412676</v>
      </c>
      <c r="O2094" s="38" t="n">
        <v>71.9987472139909</v>
      </c>
      <c r="P2094" s="37" t="n">
        <v>0</v>
      </c>
      <c r="Q2094" s="38" t="n">
        <v>0</v>
      </c>
      <c r="R2094" s="38" t="n">
        <v>69.4796743930239</v>
      </c>
      <c r="S2094" s="37" t="n">
        <v>0</v>
      </c>
    </row>
    <row r="2095" customFormat="false" ht="15" hidden="false" customHeight="false" outlineLevel="0" collapsed="false">
      <c r="A2095" s="37" t="n">
        <v>15</v>
      </c>
      <c r="B2095" s="37" t="n">
        <v>0</v>
      </c>
      <c r="C2095" s="37" t="n">
        <v>5</v>
      </c>
      <c r="D2095" s="37" t="n">
        <v>0</v>
      </c>
      <c r="E2095" s="37" t="n">
        <v>10</v>
      </c>
      <c r="F2095" s="37" t="n">
        <v>0</v>
      </c>
      <c r="G2095" s="37" t="s">
        <v>188</v>
      </c>
      <c r="H2095" s="38" t="n">
        <v>199.102616114311</v>
      </c>
      <c r="I2095" s="38" t="n">
        <v>200.843437616213</v>
      </c>
      <c r="J2095" s="38" t="n">
        <v>224.459804923974</v>
      </c>
      <c r="K2095" s="38" t="n">
        <v>280.50628206232</v>
      </c>
      <c r="L2095" s="38" t="n">
        <v>77.4630160819014</v>
      </c>
      <c r="M2095" s="38" t="n">
        <v>109.715466844018</v>
      </c>
      <c r="N2095" s="38" t="n">
        <v>150.388335374293</v>
      </c>
      <c r="O2095" s="38" t="n">
        <v>75.2759139238954</v>
      </c>
      <c r="P2095" s="37" t="n">
        <v>0</v>
      </c>
      <c r="Q2095" s="38" t="n">
        <v>0</v>
      </c>
      <c r="R2095" s="38" t="n">
        <v>70.5</v>
      </c>
      <c r="S2095" s="37" t="n">
        <v>1</v>
      </c>
    </row>
    <row r="2096" customFormat="false" ht="15" hidden="false" customHeight="false" outlineLevel="0" collapsed="false">
      <c r="A2096" s="37" t="n">
        <v>15</v>
      </c>
      <c r="B2096" s="37" t="n">
        <v>0</v>
      </c>
      <c r="C2096" s="37" t="n">
        <v>5</v>
      </c>
      <c r="D2096" s="37" t="n">
        <v>0</v>
      </c>
      <c r="E2096" s="37" t="n">
        <v>10</v>
      </c>
      <c r="F2096" s="37" t="n">
        <v>0</v>
      </c>
      <c r="G2096" s="37" t="s">
        <v>192</v>
      </c>
      <c r="H2096" s="38" t="n">
        <v>199.102616114311</v>
      </c>
      <c r="I2096" s="38" t="n">
        <v>200.505609196053</v>
      </c>
      <c r="J2096" s="38" t="n">
        <v>216.237938867298</v>
      </c>
      <c r="K2096" s="38" t="n">
        <v>267.629707633464</v>
      </c>
      <c r="L2096" s="38" t="n">
        <v>66.1144363104323</v>
      </c>
      <c r="M2096" s="38" t="n">
        <v>101.560735023823</v>
      </c>
      <c r="N2096" s="38" t="n">
        <v>129.332387907122</v>
      </c>
      <c r="O2096" s="38" t="n">
        <v>66.8444880579964</v>
      </c>
      <c r="P2096" s="37" t="n">
        <v>0</v>
      </c>
      <c r="Q2096" s="38" t="n">
        <v>0</v>
      </c>
      <c r="R2096" s="38" t="n">
        <v>70.5</v>
      </c>
      <c r="S2096" s="37" t="n">
        <v>0</v>
      </c>
    </row>
    <row r="2097" customFormat="false" ht="15" hidden="false" customHeight="false" outlineLevel="0" collapsed="false">
      <c r="A2097" s="37" t="n">
        <v>15</v>
      </c>
      <c r="B2097" s="37" t="n">
        <v>0</v>
      </c>
      <c r="C2097" s="37" t="n">
        <v>5</v>
      </c>
      <c r="D2097" s="37" t="n">
        <v>0</v>
      </c>
      <c r="E2097" s="37" t="n">
        <v>10</v>
      </c>
      <c r="F2097" s="37" t="n">
        <v>0</v>
      </c>
      <c r="G2097" s="37" t="s">
        <v>195</v>
      </c>
      <c r="H2097" s="38" t="n">
        <v>199.102616114311</v>
      </c>
      <c r="I2097" s="38" t="n">
        <v>200.51825429768</v>
      </c>
      <c r="J2097" s="38" t="n">
        <v>211.105722239762</v>
      </c>
      <c r="K2097" s="38" t="n">
        <v>257.78899056338</v>
      </c>
      <c r="L2097" s="38" t="n">
        <v>58.7035531957486</v>
      </c>
      <c r="M2097" s="38" t="n">
        <v>104.586453593459</v>
      </c>
      <c r="N2097" s="38" t="n">
        <v>124.059514167261</v>
      </c>
      <c r="O2097" s="38" t="n">
        <v>63.7503261400306</v>
      </c>
      <c r="P2097" s="37" t="n">
        <v>0</v>
      </c>
      <c r="Q2097" s="38" t="n">
        <v>0</v>
      </c>
      <c r="R2097" s="38" t="n">
        <v>68.4493687897106</v>
      </c>
      <c r="S2097" s="37" t="n">
        <v>0</v>
      </c>
    </row>
    <row r="2098" customFormat="false" ht="15" hidden="false" customHeight="false" outlineLevel="0" collapsed="false">
      <c r="A2098" s="37" t="n">
        <v>15</v>
      </c>
      <c r="B2098" s="37" t="n">
        <v>0</v>
      </c>
      <c r="C2098" s="37" t="n">
        <v>5</v>
      </c>
      <c r="D2098" s="37" t="n">
        <v>0</v>
      </c>
      <c r="E2098" s="37" t="n">
        <v>10</v>
      </c>
      <c r="F2098" s="37" t="n">
        <v>0</v>
      </c>
      <c r="G2098" s="37" t="s">
        <v>197</v>
      </c>
      <c r="H2098" s="38" t="n">
        <v>199.102616114311</v>
      </c>
      <c r="I2098" s="38" t="n">
        <v>200.542198035381</v>
      </c>
      <c r="J2098" s="38" t="n">
        <v>217.200455602818</v>
      </c>
      <c r="K2098" s="38" t="n">
        <v>269.270912779895</v>
      </c>
      <c r="L2098" s="38" t="n">
        <v>67.8322968557951</v>
      </c>
      <c r="M2098" s="38" t="n">
        <v>109.898020220842</v>
      </c>
      <c r="N2098" s="38" t="n">
        <v>143.166148497503</v>
      </c>
      <c r="O2098" s="38" t="n">
        <v>72.7068426445495</v>
      </c>
      <c r="P2098" s="37" t="n">
        <v>0</v>
      </c>
      <c r="Q2098" s="38" t="n">
        <v>0</v>
      </c>
      <c r="R2098" s="38" t="n">
        <v>70.5</v>
      </c>
      <c r="S2098" s="37" t="n">
        <v>0</v>
      </c>
    </row>
    <row r="2099" customFormat="false" ht="15" hidden="false" customHeight="false" outlineLevel="0" collapsed="false">
      <c r="A2099" s="37" t="n">
        <v>15</v>
      </c>
      <c r="B2099" s="37" t="n">
        <v>0</v>
      </c>
      <c r="C2099" s="37" t="n">
        <v>5</v>
      </c>
      <c r="D2099" s="37" t="n">
        <v>0</v>
      </c>
      <c r="E2099" s="37" t="n">
        <v>10</v>
      </c>
      <c r="F2099" s="37" t="n">
        <v>0</v>
      </c>
      <c r="G2099" s="37" t="s">
        <v>196</v>
      </c>
      <c r="H2099" s="38" t="n">
        <v>199.102616114311</v>
      </c>
      <c r="I2099" s="38" t="n">
        <v>200.53079565202</v>
      </c>
      <c r="J2099" s="38" t="n">
        <v>216.050695131037</v>
      </c>
      <c r="K2099" s="38" t="n">
        <v>267.905797456616</v>
      </c>
      <c r="L2099" s="38" t="n">
        <v>71.2834677048847</v>
      </c>
      <c r="M2099" s="38" t="n">
        <v>107.464443556032</v>
      </c>
      <c r="N2099" s="38" t="n">
        <v>136.214485175705</v>
      </c>
      <c r="O2099" s="38" t="n">
        <v>71.9866773598052</v>
      </c>
      <c r="P2099" s="37" t="n">
        <v>0</v>
      </c>
      <c r="Q2099" s="38" t="n">
        <v>0</v>
      </c>
      <c r="R2099" s="38" t="n">
        <v>69.4639741929179</v>
      </c>
      <c r="S2099" s="37" t="n">
        <v>0</v>
      </c>
    </row>
    <row r="2100" customFormat="false" ht="15" hidden="false" customHeight="false" outlineLevel="0" collapsed="false">
      <c r="A2100" s="37" t="n">
        <v>15</v>
      </c>
      <c r="B2100" s="37" t="n">
        <v>0</v>
      </c>
      <c r="C2100" s="37" t="n">
        <v>5</v>
      </c>
      <c r="D2100" s="37" t="n">
        <v>5</v>
      </c>
      <c r="E2100" s="37" t="n">
        <v>0</v>
      </c>
      <c r="F2100" s="37" t="n">
        <v>5</v>
      </c>
      <c r="G2100" s="37" t="s">
        <v>188</v>
      </c>
      <c r="H2100" s="38" t="n">
        <v>199.292614369</v>
      </c>
      <c r="I2100" s="38" t="n">
        <v>202.153472965262</v>
      </c>
      <c r="J2100" s="38" t="n">
        <v>230.489454149066</v>
      </c>
      <c r="K2100" s="38" t="n">
        <v>280.603573673568</v>
      </c>
      <c r="L2100" s="38" t="n">
        <v>118.28256908043</v>
      </c>
      <c r="M2100" s="38" t="n">
        <v>110.156374883881</v>
      </c>
      <c r="N2100" s="38" t="n">
        <v>149.510471508215</v>
      </c>
      <c r="O2100" s="38" t="n">
        <v>81.888234084726</v>
      </c>
      <c r="P2100" s="37" t="n">
        <v>0</v>
      </c>
      <c r="Q2100" s="38" t="n">
        <v>0</v>
      </c>
      <c r="R2100" s="38" t="n">
        <v>72</v>
      </c>
      <c r="S2100" s="37" t="n">
        <v>1</v>
      </c>
    </row>
    <row r="2101" customFormat="false" ht="15" hidden="false" customHeight="false" outlineLevel="0" collapsed="false">
      <c r="A2101" s="37" t="n">
        <v>15</v>
      </c>
      <c r="B2101" s="37" t="n">
        <v>0</v>
      </c>
      <c r="C2101" s="37" t="n">
        <v>5</v>
      </c>
      <c r="D2101" s="37" t="n">
        <v>5</v>
      </c>
      <c r="E2101" s="37" t="n">
        <v>0</v>
      </c>
      <c r="F2101" s="37" t="n">
        <v>5</v>
      </c>
      <c r="G2101" s="37" t="s">
        <v>192</v>
      </c>
      <c r="H2101" s="38" t="n">
        <v>199.292614369</v>
      </c>
      <c r="I2101" s="38" t="n">
        <v>201.765429773645</v>
      </c>
      <c r="J2101" s="38" t="n">
        <v>221.841580925619</v>
      </c>
      <c r="K2101" s="38" t="n">
        <v>266.475706191665</v>
      </c>
      <c r="L2101" s="38" t="n">
        <v>105.428573097275</v>
      </c>
      <c r="M2101" s="38" t="n">
        <v>101.687334565417</v>
      </c>
      <c r="N2101" s="38" t="n">
        <v>129.148142170921</v>
      </c>
      <c r="O2101" s="38" t="n">
        <v>72.6304856429324</v>
      </c>
      <c r="P2101" s="37" t="n">
        <v>0</v>
      </c>
      <c r="Q2101" s="38" t="n">
        <v>0</v>
      </c>
      <c r="R2101" s="38" t="n">
        <v>72</v>
      </c>
      <c r="S2101" s="37" t="n">
        <v>0</v>
      </c>
    </row>
    <row r="2102" customFormat="false" ht="15" hidden="false" customHeight="false" outlineLevel="0" collapsed="false">
      <c r="A2102" s="37" t="n">
        <v>15</v>
      </c>
      <c r="B2102" s="37" t="n">
        <v>0</v>
      </c>
      <c r="C2102" s="37" t="n">
        <v>5</v>
      </c>
      <c r="D2102" s="37" t="n">
        <v>5</v>
      </c>
      <c r="E2102" s="37" t="n">
        <v>0</v>
      </c>
      <c r="F2102" s="37" t="n">
        <v>5</v>
      </c>
      <c r="G2102" s="37" t="s">
        <v>195</v>
      </c>
      <c r="H2102" s="38" t="n">
        <v>199.292614369</v>
      </c>
      <c r="I2102" s="38" t="n">
        <v>201.848437797419</v>
      </c>
      <c r="J2102" s="38" t="n">
        <v>220.700187699672</v>
      </c>
      <c r="K2102" s="38" t="n">
        <v>262.674251001729</v>
      </c>
      <c r="L2102" s="38" t="n">
        <v>105.240494646875</v>
      </c>
      <c r="M2102" s="38" t="n">
        <v>106.406789667596</v>
      </c>
      <c r="N2102" s="38" t="n">
        <v>133.599566033702</v>
      </c>
      <c r="O2102" s="38" t="n">
        <v>74.987565029288</v>
      </c>
      <c r="P2102" s="37" t="n">
        <v>0</v>
      </c>
      <c r="Q2102" s="38" t="n">
        <v>0</v>
      </c>
      <c r="R2102" s="38" t="n">
        <v>70.4448730935439</v>
      </c>
      <c r="S2102" s="37" t="n">
        <v>0</v>
      </c>
    </row>
    <row r="2103" customFormat="false" ht="15" hidden="false" customHeight="false" outlineLevel="0" collapsed="false">
      <c r="A2103" s="37" t="n">
        <v>15</v>
      </c>
      <c r="B2103" s="37" t="n">
        <v>0</v>
      </c>
      <c r="C2103" s="37" t="n">
        <v>5</v>
      </c>
      <c r="D2103" s="37" t="n">
        <v>5</v>
      </c>
      <c r="E2103" s="37" t="n">
        <v>0</v>
      </c>
      <c r="F2103" s="37" t="n">
        <v>5</v>
      </c>
      <c r="G2103" s="37" t="s">
        <v>197</v>
      </c>
      <c r="H2103" s="38" t="n">
        <v>199.292614369</v>
      </c>
      <c r="I2103" s="38" t="n">
        <v>201.762383053918</v>
      </c>
      <c r="J2103" s="38" t="n">
        <v>220.956805095983</v>
      </c>
      <c r="K2103" s="38" t="n">
        <v>265.330941517653</v>
      </c>
      <c r="L2103" s="38" t="n">
        <v>102.995890535008</v>
      </c>
      <c r="M2103" s="38" t="n">
        <v>104.23611432702</v>
      </c>
      <c r="N2103" s="38" t="n">
        <v>125.701492091335</v>
      </c>
      <c r="O2103" s="38" t="n">
        <v>72.8499373993493</v>
      </c>
      <c r="P2103" s="37" t="n">
        <v>0</v>
      </c>
      <c r="Q2103" s="38" t="n">
        <v>0</v>
      </c>
      <c r="R2103" s="38" t="n">
        <v>72</v>
      </c>
      <c r="S2103" s="37" t="n">
        <v>0</v>
      </c>
    </row>
    <row r="2104" customFormat="false" ht="15" hidden="false" customHeight="false" outlineLevel="0" collapsed="false">
      <c r="A2104" s="37" t="n">
        <v>15</v>
      </c>
      <c r="B2104" s="37" t="n">
        <v>0</v>
      </c>
      <c r="C2104" s="37" t="n">
        <v>5</v>
      </c>
      <c r="D2104" s="37" t="n">
        <v>5</v>
      </c>
      <c r="E2104" s="37" t="n">
        <v>0</v>
      </c>
      <c r="F2104" s="37" t="n">
        <v>5</v>
      </c>
      <c r="G2104" s="37" t="s">
        <v>196</v>
      </c>
      <c r="H2104" s="38" t="n">
        <v>199.292614369</v>
      </c>
      <c r="I2104" s="38" t="n">
        <v>201.777797435924</v>
      </c>
      <c r="J2104" s="38" t="n">
        <v>221.896242103798</v>
      </c>
      <c r="K2104" s="38" t="n">
        <v>266.757194479376</v>
      </c>
      <c r="L2104" s="38" t="n">
        <v>110.674763453466</v>
      </c>
      <c r="M2104" s="38" t="n">
        <v>107.068428644213</v>
      </c>
      <c r="N2104" s="38" t="n">
        <v>134.736556861137</v>
      </c>
      <c r="O2104" s="38" t="n">
        <v>76.0651533427099</v>
      </c>
      <c r="P2104" s="37" t="n">
        <v>0</v>
      </c>
      <c r="Q2104" s="38" t="n">
        <v>0</v>
      </c>
      <c r="R2104" s="38" t="n">
        <v>71.0935498871149</v>
      </c>
      <c r="S2104" s="37" t="n">
        <v>0</v>
      </c>
    </row>
    <row r="2105" customFormat="false" ht="15" hidden="false" customHeight="false" outlineLevel="0" collapsed="false">
      <c r="A2105" s="37" t="n">
        <v>15</v>
      </c>
      <c r="B2105" s="37" t="n">
        <v>0</v>
      </c>
      <c r="C2105" s="37" t="n">
        <v>5</v>
      </c>
      <c r="D2105" s="37" t="n">
        <v>5</v>
      </c>
      <c r="E2105" s="37" t="n">
        <v>5</v>
      </c>
      <c r="F2105" s="37" t="n">
        <v>0</v>
      </c>
      <c r="G2105" s="37" t="s">
        <v>188</v>
      </c>
      <c r="H2105" s="38" t="n">
        <v>199.252615474489</v>
      </c>
      <c r="I2105" s="38" t="n">
        <v>201.947969682924</v>
      </c>
      <c r="J2105" s="38" t="n">
        <v>231.784162978438</v>
      </c>
      <c r="K2105" s="38" t="n">
        <v>281.304462047397</v>
      </c>
      <c r="L2105" s="38" t="n">
        <v>78.9942799670402</v>
      </c>
      <c r="M2105" s="38" t="n">
        <v>110.22084234828</v>
      </c>
      <c r="N2105" s="38" t="n">
        <v>153.186444279013</v>
      </c>
      <c r="O2105" s="38" t="n">
        <v>81.1129209615564</v>
      </c>
      <c r="P2105" s="37" t="n">
        <v>0</v>
      </c>
      <c r="Q2105" s="38" t="n">
        <v>0</v>
      </c>
      <c r="R2105" s="38" t="n">
        <v>72</v>
      </c>
      <c r="S2105" s="37" t="n">
        <v>1</v>
      </c>
    </row>
    <row r="2106" customFormat="false" ht="15" hidden="false" customHeight="false" outlineLevel="0" collapsed="false">
      <c r="A2106" s="37" t="n">
        <v>15</v>
      </c>
      <c r="B2106" s="37" t="n">
        <v>0</v>
      </c>
      <c r="C2106" s="37" t="n">
        <v>5</v>
      </c>
      <c r="D2106" s="37" t="n">
        <v>5</v>
      </c>
      <c r="E2106" s="37" t="n">
        <v>5</v>
      </c>
      <c r="F2106" s="37" t="n">
        <v>0</v>
      </c>
      <c r="G2106" s="37" t="s">
        <v>192</v>
      </c>
      <c r="H2106" s="38" t="n">
        <v>199.252615474489</v>
      </c>
      <c r="I2106" s="38" t="n">
        <v>201.581907979558</v>
      </c>
      <c r="J2106" s="38" t="n">
        <v>223.455927620492</v>
      </c>
      <c r="K2106" s="38" t="n">
        <v>267.646314068441</v>
      </c>
      <c r="L2106" s="38" t="n">
        <v>66.5202318477499</v>
      </c>
      <c r="M2106" s="38" t="n">
        <v>102.025079158171</v>
      </c>
      <c r="N2106" s="38" t="n">
        <v>133.931995120842</v>
      </c>
      <c r="O2106" s="38" t="n">
        <v>71.961070299639</v>
      </c>
      <c r="P2106" s="37" t="n">
        <v>0</v>
      </c>
      <c r="Q2106" s="38" t="n">
        <v>0</v>
      </c>
      <c r="R2106" s="38" t="n">
        <v>72</v>
      </c>
      <c r="S2106" s="37" t="n">
        <v>0</v>
      </c>
    </row>
    <row r="2107" customFormat="false" ht="15" hidden="false" customHeight="false" outlineLevel="0" collapsed="false">
      <c r="A2107" s="37" t="n">
        <v>15</v>
      </c>
      <c r="B2107" s="37" t="n">
        <v>0</v>
      </c>
      <c r="C2107" s="37" t="n">
        <v>5</v>
      </c>
      <c r="D2107" s="37" t="n">
        <v>5</v>
      </c>
      <c r="E2107" s="37" t="n">
        <v>5</v>
      </c>
      <c r="F2107" s="37" t="n">
        <v>0</v>
      </c>
      <c r="G2107" s="37" t="s">
        <v>195</v>
      </c>
      <c r="H2107" s="38" t="n">
        <v>199.252615474489</v>
      </c>
      <c r="I2107" s="38" t="n">
        <v>201.671439354155</v>
      </c>
      <c r="J2107" s="38" t="n">
        <v>222.295015878744</v>
      </c>
      <c r="K2107" s="38" t="n">
        <v>263.857482622213</v>
      </c>
      <c r="L2107" s="38" t="n">
        <v>66.2417312163178</v>
      </c>
      <c r="M2107" s="38" t="n">
        <v>106.68713987367</v>
      </c>
      <c r="N2107" s="38" t="n">
        <v>138.317937881633</v>
      </c>
      <c r="O2107" s="38" t="n">
        <v>74.3693105636462</v>
      </c>
      <c r="P2107" s="37" t="n">
        <v>0</v>
      </c>
      <c r="Q2107" s="38" t="n">
        <v>0</v>
      </c>
      <c r="R2107" s="38" t="n">
        <v>70.3902745782313</v>
      </c>
      <c r="S2107" s="37" t="n">
        <v>0</v>
      </c>
    </row>
    <row r="2108" customFormat="false" ht="15" hidden="false" customHeight="false" outlineLevel="0" collapsed="false">
      <c r="A2108" s="37" t="n">
        <v>15</v>
      </c>
      <c r="B2108" s="37" t="n">
        <v>0</v>
      </c>
      <c r="C2108" s="37" t="n">
        <v>5</v>
      </c>
      <c r="D2108" s="37" t="n">
        <v>5</v>
      </c>
      <c r="E2108" s="37" t="n">
        <v>5</v>
      </c>
      <c r="F2108" s="37" t="n">
        <v>0</v>
      </c>
      <c r="G2108" s="37" t="s">
        <v>197</v>
      </c>
      <c r="H2108" s="38" t="n">
        <v>199.252615474489</v>
      </c>
      <c r="I2108" s="38" t="n">
        <v>201.596590078509</v>
      </c>
      <c r="J2108" s="38" t="n">
        <v>223.450028113568</v>
      </c>
      <c r="K2108" s="38" t="n">
        <v>267.837976744681</v>
      </c>
      <c r="L2108" s="38" t="n">
        <v>65.9706981049665</v>
      </c>
      <c r="M2108" s="38" t="n">
        <v>107.797081939817</v>
      </c>
      <c r="N2108" s="38" t="n">
        <v>139.863721829105</v>
      </c>
      <c r="O2108" s="38" t="n">
        <v>76.2213688003779</v>
      </c>
      <c r="P2108" s="37" t="n">
        <v>0</v>
      </c>
      <c r="Q2108" s="38" t="n">
        <v>0</v>
      </c>
      <c r="R2108" s="38" t="n">
        <v>72</v>
      </c>
      <c r="S2108" s="37" t="n">
        <v>0</v>
      </c>
    </row>
    <row r="2109" customFormat="false" ht="15" hidden="false" customHeight="false" outlineLevel="0" collapsed="false">
      <c r="A2109" s="37" t="n">
        <v>15</v>
      </c>
      <c r="B2109" s="37" t="n">
        <v>0</v>
      </c>
      <c r="C2109" s="37" t="n">
        <v>5</v>
      </c>
      <c r="D2109" s="37" t="n">
        <v>5</v>
      </c>
      <c r="E2109" s="37" t="n">
        <v>5</v>
      </c>
      <c r="F2109" s="37" t="n">
        <v>0</v>
      </c>
      <c r="G2109" s="37" t="s">
        <v>196</v>
      </c>
      <c r="H2109" s="38" t="n">
        <v>199.252615474489</v>
      </c>
      <c r="I2109" s="38" t="n">
        <v>201.603641186461</v>
      </c>
      <c r="J2109" s="38" t="n">
        <v>223.446278845834</v>
      </c>
      <c r="K2109" s="38" t="n">
        <v>268.000437908499</v>
      </c>
      <c r="L2109" s="38" t="n">
        <v>71.4630252331227</v>
      </c>
      <c r="M2109" s="38" t="n">
        <v>107.994623503398</v>
      </c>
      <c r="N2109" s="38" t="n">
        <v>141.084439030658</v>
      </c>
      <c r="O2109" s="38" t="n">
        <v>76.6564702996082</v>
      </c>
      <c r="P2109" s="37" t="n">
        <v>0</v>
      </c>
      <c r="Q2109" s="38" t="n">
        <v>0</v>
      </c>
      <c r="R2109" s="38" t="n">
        <v>70.9843542912429</v>
      </c>
      <c r="S2109" s="37" t="n">
        <v>0</v>
      </c>
    </row>
    <row r="2110" customFormat="false" ht="15" hidden="false" customHeight="false" outlineLevel="0" collapsed="false">
      <c r="A2110" s="37" t="n">
        <v>15</v>
      </c>
      <c r="B2110" s="37" t="n">
        <v>0</v>
      </c>
      <c r="C2110" s="37" t="n">
        <v>5</v>
      </c>
      <c r="D2110" s="37" t="n">
        <v>10</v>
      </c>
      <c r="E2110" s="37" t="n">
        <v>0</v>
      </c>
      <c r="F2110" s="37" t="n">
        <v>0</v>
      </c>
      <c r="G2110" s="37" t="s">
        <v>188</v>
      </c>
      <c r="H2110" s="38" t="n">
        <v>199.503294677985</v>
      </c>
      <c r="I2110" s="38" t="n">
        <v>203.261791174611</v>
      </c>
      <c r="J2110" s="38" t="n">
        <v>235.878156500882</v>
      </c>
      <c r="K2110" s="38" t="n">
        <v>284.217748470868</v>
      </c>
      <c r="L2110" s="38" t="n">
        <v>82.3775067317094</v>
      </c>
      <c r="M2110" s="38" t="n">
        <v>111.270281228626</v>
      </c>
      <c r="N2110" s="38" t="n">
        <v>152.951856113524</v>
      </c>
      <c r="O2110" s="38" t="n">
        <v>83.0715985355132</v>
      </c>
      <c r="P2110" s="37" t="n">
        <v>0</v>
      </c>
      <c r="Q2110" s="38" t="n">
        <v>0</v>
      </c>
      <c r="R2110" s="38" t="n">
        <v>72</v>
      </c>
      <c r="S2110" s="37" t="n">
        <v>1</v>
      </c>
    </row>
    <row r="2111" customFormat="false" ht="15" hidden="false" customHeight="false" outlineLevel="0" collapsed="false">
      <c r="A2111" s="37" t="n">
        <v>15</v>
      </c>
      <c r="B2111" s="37" t="n">
        <v>0</v>
      </c>
      <c r="C2111" s="37" t="n">
        <v>5</v>
      </c>
      <c r="D2111" s="37" t="n">
        <v>10</v>
      </c>
      <c r="E2111" s="37" t="n">
        <v>0</v>
      </c>
      <c r="F2111" s="37" t="n">
        <v>0</v>
      </c>
      <c r="G2111" s="37" t="s">
        <v>192</v>
      </c>
      <c r="H2111" s="38" t="n">
        <v>199.503294677985</v>
      </c>
      <c r="I2111" s="38" t="n">
        <v>202.855047286877</v>
      </c>
      <c r="J2111" s="38" t="n">
        <v>227.54515740613</v>
      </c>
      <c r="K2111" s="38" t="n">
        <v>270.002959217674</v>
      </c>
      <c r="L2111" s="38" t="n">
        <v>69.2224862712898</v>
      </c>
      <c r="M2111" s="38" t="n">
        <v>102.803572534105</v>
      </c>
      <c r="N2111" s="38" t="n">
        <v>134.460434442351</v>
      </c>
      <c r="O2111" s="38" t="n">
        <v>73.9113758078799</v>
      </c>
      <c r="P2111" s="37" t="n">
        <v>0</v>
      </c>
      <c r="Q2111" s="38" t="n">
        <v>0</v>
      </c>
      <c r="R2111" s="38" t="n">
        <v>72</v>
      </c>
      <c r="S2111" s="37" t="n">
        <v>0</v>
      </c>
    </row>
    <row r="2112" customFormat="false" ht="15" hidden="false" customHeight="false" outlineLevel="0" collapsed="false">
      <c r="A2112" s="37" t="n">
        <v>15</v>
      </c>
      <c r="B2112" s="37" t="n">
        <v>0</v>
      </c>
      <c r="C2112" s="37" t="n">
        <v>5</v>
      </c>
      <c r="D2112" s="37" t="n">
        <v>10</v>
      </c>
      <c r="E2112" s="37" t="n">
        <v>0</v>
      </c>
      <c r="F2112" s="37" t="n">
        <v>0</v>
      </c>
      <c r="G2112" s="37" t="s">
        <v>195</v>
      </c>
      <c r="H2112" s="38" t="n">
        <v>199.503294677985</v>
      </c>
      <c r="I2112" s="38" t="n">
        <v>203.029930361158</v>
      </c>
      <c r="J2112" s="38" t="n">
        <v>228.440736796954</v>
      </c>
      <c r="K2112" s="38" t="n">
        <v>271.917724339439</v>
      </c>
      <c r="L2112" s="38" t="n">
        <v>78.6677243394387</v>
      </c>
      <c r="M2112" s="38" t="n">
        <v>108.864001845776</v>
      </c>
      <c r="N2112" s="38" t="n">
        <v>145.675567971432</v>
      </c>
      <c r="O2112" s="38" t="n">
        <v>78.4793141324436</v>
      </c>
      <c r="P2112" s="37" t="n">
        <v>0</v>
      </c>
      <c r="Q2112" s="38" t="n">
        <v>0</v>
      </c>
      <c r="R2112" s="38" t="n">
        <v>67.4968723846777</v>
      </c>
      <c r="S2112" s="37" t="n">
        <v>0</v>
      </c>
    </row>
    <row r="2113" customFormat="false" ht="15" hidden="false" customHeight="false" outlineLevel="0" collapsed="false">
      <c r="A2113" s="37" t="n">
        <v>15</v>
      </c>
      <c r="B2113" s="37" t="n">
        <v>0</v>
      </c>
      <c r="C2113" s="37" t="n">
        <v>5</v>
      </c>
      <c r="D2113" s="37" t="n">
        <v>10</v>
      </c>
      <c r="E2113" s="37" t="n">
        <v>0</v>
      </c>
      <c r="F2113" s="37" t="n">
        <v>0</v>
      </c>
      <c r="G2113" s="37" t="s">
        <v>197</v>
      </c>
      <c r="H2113" s="38" t="n">
        <v>199.503294677985</v>
      </c>
      <c r="I2113" s="38" t="n">
        <v>202.852835474644</v>
      </c>
      <c r="J2113" s="38" t="n">
        <v>226.717045846775</v>
      </c>
      <c r="K2113" s="38" t="n">
        <v>268.934589698428</v>
      </c>
      <c r="L2113" s="38" t="n">
        <v>66.7977561125918</v>
      </c>
      <c r="M2113" s="38" t="n">
        <v>105.379702905839</v>
      </c>
      <c r="N2113" s="38" t="n">
        <v>131.199165770438</v>
      </c>
      <c r="O2113" s="38" t="n">
        <v>74.4345624732837</v>
      </c>
      <c r="P2113" s="37" t="n">
        <v>0</v>
      </c>
      <c r="Q2113" s="38" t="n">
        <v>0</v>
      </c>
      <c r="R2113" s="38" t="n">
        <v>72</v>
      </c>
      <c r="S2113" s="37" t="n">
        <v>0</v>
      </c>
    </row>
    <row r="2114" customFormat="false" ht="15" hidden="false" customHeight="false" outlineLevel="0" collapsed="false">
      <c r="A2114" s="37" t="n">
        <v>15</v>
      </c>
      <c r="B2114" s="37" t="n">
        <v>0</v>
      </c>
      <c r="C2114" s="37" t="n">
        <v>5</v>
      </c>
      <c r="D2114" s="37" t="n">
        <v>10</v>
      </c>
      <c r="E2114" s="37" t="n">
        <v>0</v>
      </c>
      <c r="F2114" s="37" t="n">
        <v>0</v>
      </c>
      <c r="G2114" s="37" t="s">
        <v>196</v>
      </c>
      <c r="H2114" s="38" t="n">
        <v>199.503294677985</v>
      </c>
      <c r="I2114" s="38" t="n">
        <v>202.868301877667</v>
      </c>
      <c r="J2114" s="38" t="n">
        <v>219.070904002431</v>
      </c>
      <c r="K2114" s="38" t="n">
        <v>270.559376835477</v>
      </c>
      <c r="L2114" s="38" t="n">
        <v>77.0038212799209</v>
      </c>
      <c r="M2114" s="38" t="n">
        <v>108.634197645232</v>
      </c>
      <c r="N2114" s="38" t="n">
        <v>138.745377302319</v>
      </c>
      <c r="O2114" s="38" t="n">
        <v>75.6106826987162</v>
      </c>
      <c r="P2114" s="37" t="n">
        <v>0</v>
      </c>
      <c r="Q2114" s="38" t="n">
        <v>0</v>
      </c>
      <c r="R2114" s="38" t="n">
        <v>70.604</v>
      </c>
      <c r="S2114" s="37" t="n">
        <v>0</v>
      </c>
    </row>
    <row r="2115" customFormat="false" ht="15" hidden="false" customHeight="false" outlineLevel="0" collapsed="false">
      <c r="A2115" s="37" t="n">
        <v>15</v>
      </c>
      <c r="B2115" s="37" t="n">
        <v>0</v>
      </c>
      <c r="C2115" s="37" t="n">
        <v>10</v>
      </c>
      <c r="D2115" s="37" t="n">
        <v>0</v>
      </c>
      <c r="E2115" s="37" t="n">
        <v>0</v>
      </c>
      <c r="F2115" s="37" t="n">
        <v>5</v>
      </c>
      <c r="G2115" s="37" t="s">
        <v>188</v>
      </c>
      <c r="H2115" s="38" t="n">
        <v>199.318583480488</v>
      </c>
      <c r="I2115" s="38" t="n">
        <v>204.209869575635</v>
      </c>
      <c r="J2115" s="38" t="n">
        <v>235.838337660028</v>
      </c>
      <c r="K2115" s="38" t="n">
        <v>304.524051101222</v>
      </c>
      <c r="L2115" s="38" t="n">
        <v>142.608778631899</v>
      </c>
      <c r="M2115" s="38" t="n">
        <v>116.373631163305</v>
      </c>
      <c r="N2115" s="38" t="n">
        <v>160.095682898911</v>
      </c>
      <c r="O2115" s="38" t="n">
        <v>81.4898152159135</v>
      </c>
      <c r="P2115" s="37" t="n">
        <v>0</v>
      </c>
      <c r="Q2115" s="38" t="n">
        <v>0</v>
      </c>
      <c r="R2115" s="38" t="n">
        <v>70.5</v>
      </c>
      <c r="S2115" s="37" t="n">
        <v>1</v>
      </c>
    </row>
    <row r="2116" customFormat="false" ht="15" hidden="false" customHeight="false" outlineLevel="0" collapsed="false">
      <c r="A2116" s="37" t="n">
        <v>15</v>
      </c>
      <c r="B2116" s="37" t="n">
        <v>0</v>
      </c>
      <c r="C2116" s="37" t="n">
        <v>10</v>
      </c>
      <c r="D2116" s="37" t="n">
        <v>0</v>
      </c>
      <c r="E2116" s="37" t="n">
        <v>0</v>
      </c>
      <c r="F2116" s="37" t="n">
        <v>5</v>
      </c>
      <c r="G2116" s="37" t="s">
        <v>192</v>
      </c>
      <c r="H2116" s="38" t="n">
        <v>199.318583480488</v>
      </c>
      <c r="I2116" s="38" t="n">
        <v>203.703687823353</v>
      </c>
      <c r="J2116" s="38" t="n">
        <v>226.381417181571</v>
      </c>
      <c r="K2116" s="38" t="n">
        <v>288.656842452182</v>
      </c>
      <c r="L2116" s="38" t="n">
        <v>127.69677918153</v>
      </c>
      <c r="M2116" s="38" t="n">
        <v>107.593035664593</v>
      </c>
      <c r="N2116" s="38" t="n">
        <v>138.56428104777</v>
      </c>
      <c r="O2116" s="38" t="n">
        <v>72.4758851788557</v>
      </c>
      <c r="P2116" s="37" t="n">
        <v>0</v>
      </c>
      <c r="Q2116" s="38" t="n">
        <v>0</v>
      </c>
      <c r="R2116" s="38" t="n">
        <v>70.5</v>
      </c>
      <c r="S2116" s="37" t="n">
        <v>0</v>
      </c>
    </row>
    <row r="2117" customFormat="false" ht="15" hidden="false" customHeight="false" outlineLevel="0" collapsed="false">
      <c r="A2117" s="37" t="n">
        <v>15</v>
      </c>
      <c r="B2117" s="37" t="n">
        <v>0</v>
      </c>
      <c r="C2117" s="37" t="n">
        <v>10</v>
      </c>
      <c r="D2117" s="37" t="n">
        <v>0</v>
      </c>
      <c r="E2117" s="37" t="n">
        <v>0</v>
      </c>
      <c r="F2117" s="37" t="n">
        <v>5</v>
      </c>
      <c r="G2117" s="37" t="s">
        <v>195</v>
      </c>
      <c r="H2117" s="38" t="n">
        <v>199.318583480488</v>
      </c>
      <c r="I2117" s="38" t="n">
        <v>203.741244229026</v>
      </c>
      <c r="J2117" s="38" t="n">
        <v>222.052992540684</v>
      </c>
      <c r="K2117" s="38" t="n">
        <v>280.021993626786</v>
      </c>
      <c r="L2117" s="38" t="n">
        <v>121.418248542119</v>
      </c>
      <c r="M2117" s="38" t="n">
        <v>110.664163077636</v>
      </c>
      <c r="N2117" s="38" t="n">
        <v>135.021248968185</v>
      </c>
      <c r="O2117" s="38" t="n">
        <v>71.4430642335728</v>
      </c>
      <c r="P2117" s="37" t="n">
        <v>0</v>
      </c>
      <c r="Q2117" s="38" t="n">
        <v>0</v>
      </c>
      <c r="R2117" s="38" t="n">
        <v>68.5938764745999</v>
      </c>
      <c r="S2117" s="37" t="n">
        <v>0</v>
      </c>
    </row>
    <row r="2118" customFormat="false" ht="15" hidden="false" customHeight="false" outlineLevel="0" collapsed="false">
      <c r="A2118" s="37" t="n">
        <v>15</v>
      </c>
      <c r="B2118" s="37" t="n">
        <v>0</v>
      </c>
      <c r="C2118" s="37" t="n">
        <v>10</v>
      </c>
      <c r="D2118" s="37" t="n">
        <v>0</v>
      </c>
      <c r="E2118" s="37" t="n">
        <v>0</v>
      </c>
      <c r="F2118" s="37" t="n">
        <v>5</v>
      </c>
      <c r="G2118" s="37" t="s">
        <v>197</v>
      </c>
      <c r="H2118" s="38" t="n">
        <v>199.318583480488</v>
      </c>
      <c r="I2118" s="38" t="n">
        <v>203.690403178434</v>
      </c>
      <c r="J2118" s="38" t="n">
        <v>225.23808169868</v>
      </c>
      <c r="K2118" s="38" t="n">
        <v>287.108806103059</v>
      </c>
      <c r="L2118" s="38" t="n">
        <v>124.645745232956</v>
      </c>
      <c r="M2118" s="38" t="n">
        <v>108.231227699181</v>
      </c>
      <c r="N2118" s="38" t="n">
        <v>130.496701600257</v>
      </c>
      <c r="O2118" s="38" t="n">
        <v>71.590232369659</v>
      </c>
      <c r="P2118" s="37" t="n">
        <v>0</v>
      </c>
      <c r="Q2118" s="38" t="n">
        <v>0</v>
      </c>
      <c r="R2118" s="38" t="n">
        <v>70.5</v>
      </c>
      <c r="S2118" s="37" t="n">
        <v>0</v>
      </c>
    </row>
    <row r="2119" customFormat="false" ht="15" hidden="false" customHeight="false" outlineLevel="0" collapsed="false">
      <c r="A2119" s="37" t="n">
        <v>15</v>
      </c>
      <c r="B2119" s="37" t="n">
        <v>0</v>
      </c>
      <c r="C2119" s="37" t="n">
        <v>10</v>
      </c>
      <c r="D2119" s="37" t="n">
        <v>0</v>
      </c>
      <c r="E2119" s="37" t="n">
        <v>0</v>
      </c>
      <c r="F2119" s="37" t="n">
        <v>5</v>
      </c>
      <c r="G2119" s="37" t="s">
        <v>196</v>
      </c>
      <c r="H2119" s="38" t="n">
        <v>199.318583480488</v>
      </c>
      <c r="I2119" s="38" t="n">
        <v>203.717103768862</v>
      </c>
      <c r="J2119" s="38" t="n">
        <v>225.969294590861</v>
      </c>
      <c r="K2119" s="38" t="n">
        <v>288.317591510378</v>
      </c>
      <c r="L2119" s="38" t="n">
        <v>132.092547072232</v>
      </c>
      <c r="M2119" s="38" t="n">
        <v>111.216261771719</v>
      </c>
      <c r="N2119" s="38" t="n">
        <v>139.656855757141</v>
      </c>
      <c r="O2119" s="38" t="n">
        <v>75.7926097551643</v>
      </c>
      <c r="P2119" s="37" t="n">
        <v>0</v>
      </c>
      <c r="Q2119" s="38" t="n">
        <v>0</v>
      </c>
      <c r="R2119" s="38" t="n">
        <v>69.5593226681783</v>
      </c>
      <c r="S2119" s="37" t="n">
        <v>0</v>
      </c>
    </row>
    <row r="2120" customFormat="false" ht="15" hidden="false" customHeight="false" outlineLevel="0" collapsed="false">
      <c r="A2120" s="37" t="n">
        <v>15</v>
      </c>
      <c r="B2120" s="37" t="n">
        <v>0</v>
      </c>
      <c r="C2120" s="37" t="n">
        <v>10</v>
      </c>
      <c r="D2120" s="37" t="n">
        <v>0</v>
      </c>
      <c r="E2120" s="37" t="n">
        <v>5</v>
      </c>
      <c r="F2120" s="37" t="n">
        <v>0</v>
      </c>
      <c r="G2120" s="37" t="s">
        <v>188</v>
      </c>
      <c r="H2120" s="38" t="n">
        <v>199.28358333021</v>
      </c>
      <c r="I2120" s="38" t="n">
        <v>203.895063872909</v>
      </c>
      <c r="J2120" s="38" t="n">
        <v>237.024583477587</v>
      </c>
      <c r="K2120" s="38" t="n">
        <v>304.897591650687</v>
      </c>
      <c r="L2120" s="38" t="n">
        <v>103.049526929689</v>
      </c>
      <c r="M2120" s="38" t="n">
        <v>116.103484962221</v>
      </c>
      <c r="N2120" s="38" t="n">
        <v>163.510040419092</v>
      </c>
      <c r="O2120" s="38" t="n">
        <v>80.7833992462945</v>
      </c>
      <c r="P2120" s="37" t="n">
        <v>0</v>
      </c>
      <c r="Q2120" s="38" t="n">
        <v>0</v>
      </c>
      <c r="R2120" s="38" t="n">
        <v>70.5</v>
      </c>
      <c r="S2120" s="37" t="n">
        <v>1</v>
      </c>
    </row>
    <row r="2121" customFormat="false" ht="15" hidden="false" customHeight="false" outlineLevel="0" collapsed="false">
      <c r="A2121" s="37" t="n">
        <v>15</v>
      </c>
      <c r="B2121" s="37" t="n">
        <v>0</v>
      </c>
      <c r="C2121" s="37" t="n">
        <v>10</v>
      </c>
      <c r="D2121" s="37" t="n">
        <v>0</v>
      </c>
      <c r="E2121" s="37" t="n">
        <v>5</v>
      </c>
      <c r="F2121" s="37" t="n">
        <v>0</v>
      </c>
      <c r="G2121" s="37" t="s">
        <v>192</v>
      </c>
      <c r="H2121" s="38" t="n">
        <v>199.28358333021</v>
      </c>
      <c r="I2121" s="38" t="n">
        <v>203.418372623658</v>
      </c>
      <c r="J2121" s="38" t="n">
        <v>227.921985329957</v>
      </c>
      <c r="K2121" s="38" t="n">
        <v>289.538263797529</v>
      </c>
      <c r="L2121" s="38" t="n">
        <v>88.5277936695378</v>
      </c>
      <c r="M2121" s="38" t="n">
        <v>107.615428002023</v>
      </c>
      <c r="N2121" s="38" t="n">
        <v>143.030614812394</v>
      </c>
      <c r="O2121" s="38" t="n">
        <v>71.9702058147814</v>
      </c>
      <c r="P2121" s="37" t="n">
        <v>0</v>
      </c>
      <c r="Q2121" s="38" t="n">
        <v>0</v>
      </c>
      <c r="R2121" s="38" t="n">
        <v>70.5</v>
      </c>
      <c r="S2121" s="37" t="n">
        <v>0</v>
      </c>
    </row>
    <row r="2122" customFormat="false" ht="15" hidden="false" customHeight="false" outlineLevel="0" collapsed="false">
      <c r="A2122" s="37" t="n">
        <v>15</v>
      </c>
      <c r="B2122" s="37" t="n">
        <v>0</v>
      </c>
      <c r="C2122" s="37" t="n">
        <v>10</v>
      </c>
      <c r="D2122" s="37" t="n">
        <v>0</v>
      </c>
      <c r="E2122" s="37" t="n">
        <v>5</v>
      </c>
      <c r="F2122" s="37" t="n">
        <v>0</v>
      </c>
      <c r="G2122" s="37" t="s">
        <v>195</v>
      </c>
      <c r="H2122" s="38" t="n">
        <v>199.28358333021</v>
      </c>
      <c r="I2122" s="38" t="n">
        <v>203.458105677355</v>
      </c>
      <c r="J2122" s="38" t="n">
        <v>223.382255360495</v>
      </c>
      <c r="K2122" s="38" t="n">
        <v>280.68006062885</v>
      </c>
      <c r="L2122" s="38" t="n">
        <v>81.963163875821</v>
      </c>
      <c r="M2122" s="38" t="n">
        <v>110.692899746012</v>
      </c>
      <c r="N2122" s="38" t="n">
        <v>139.226689710619</v>
      </c>
      <c r="O2122" s="38" t="n">
        <v>70.8208454043022</v>
      </c>
      <c r="P2122" s="37" t="n">
        <v>0</v>
      </c>
      <c r="Q2122" s="38" t="n">
        <v>0</v>
      </c>
      <c r="R2122" s="38" t="n">
        <v>68.5599309740914</v>
      </c>
      <c r="S2122" s="37" t="n">
        <v>0</v>
      </c>
    </row>
    <row r="2123" customFormat="false" ht="15" hidden="false" customHeight="false" outlineLevel="0" collapsed="false">
      <c r="A2123" s="37" t="n">
        <v>15</v>
      </c>
      <c r="B2123" s="37" t="n">
        <v>0</v>
      </c>
      <c r="C2123" s="37" t="n">
        <v>10</v>
      </c>
      <c r="D2123" s="37" t="n">
        <v>0</v>
      </c>
      <c r="E2123" s="37" t="n">
        <v>5</v>
      </c>
      <c r="F2123" s="37" t="n">
        <v>0</v>
      </c>
      <c r="G2123" s="37" t="s">
        <v>197</v>
      </c>
      <c r="H2123" s="38" t="n">
        <v>199.28358333021</v>
      </c>
      <c r="I2123" s="38" t="n">
        <v>203.422962434434</v>
      </c>
      <c r="J2123" s="38" t="n">
        <v>227.508206582034</v>
      </c>
      <c r="K2123" s="38" t="n">
        <v>289.099509982963</v>
      </c>
      <c r="L2123" s="38" t="n">
        <v>87.0811864923436</v>
      </c>
      <c r="M2123" s="38" t="n">
        <v>111.541266135579</v>
      </c>
      <c r="N2123" s="38" t="n">
        <v>143.981845884124</v>
      </c>
      <c r="O2123" s="38" t="n">
        <v>74.8799922253304</v>
      </c>
      <c r="P2123" s="37" t="n">
        <v>0</v>
      </c>
      <c r="Q2123" s="38" t="n">
        <v>0</v>
      </c>
      <c r="R2123" s="38" t="n">
        <v>70.5</v>
      </c>
      <c r="S2123" s="37" t="n">
        <v>0</v>
      </c>
    </row>
    <row r="2124" customFormat="false" ht="15" hidden="false" customHeight="false" outlineLevel="0" collapsed="false">
      <c r="A2124" s="37" t="n">
        <v>15</v>
      </c>
      <c r="B2124" s="37" t="n">
        <v>0</v>
      </c>
      <c r="C2124" s="37" t="n">
        <v>10</v>
      </c>
      <c r="D2124" s="37" t="n">
        <v>0</v>
      </c>
      <c r="E2124" s="37" t="n">
        <v>5</v>
      </c>
      <c r="F2124" s="37" t="n">
        <v>0</v>
      </c>
      <c r="G2124" s="37" t="s">
        <v>196</v>
      </c>
      <c r="H2124" s="38" t="n">
        <v>199.28358333021</v>
      </c>
      <c r="I2124" s="38" t="n">
        <v>203.447980747719</v>
      </c>
      <c r="J2124" s="38" t="n">
        <v>227.601621139786</v>
      </c>
      <c r="K2124" s="38" t="n">
        <v>289.506954408286</v>
      </c>
      <c r="L2124" s="38" t="n">
        <v>92.8427107078526</v>
      </c>
      <c r="M2124" s="38" t="n">
        <v>111.934634590322</v>
      </c>
      <c r="N2124" s="38" t="n">
        <v>146.156101082841</v>
      </c>
      <c r="O2124" s="38" t="n">
        <v>76.4661204624685</v>
      </c>
      <c r="P2124" s="37" t="n">
        <v>0</v>
      </c>
      <c r="Q2124" s="38" t="n">
        <v>0</v>
      </c>
      <c r="R2124" s="38" t="n">
        <v>69.4539148452293</v>
      </c>
      <c r="S2124" s="37" t="n">
        <v>0</v>
      </c>
    </row>
    <row r="2125" customFormat="false" ht="15" hidden="false" customHeight="false" outlineLevel="0" collapsed="false">
      <c r="A2125" s="37" t="n">
        <v>15</v>
      </c>
      <c r="B2125" s="37" t="n">
        <v>0</v>
      </c>
      <c r="C2125" s="37" t="n">
        <v>10</v>
      </c>
      <c r="D2125" s="37" t="n">
        <v>5</v>
      </c>
      <c r="E2125" s="37" t="n">
        <v>0</v>
      </c>
      <c r="F2125" s="37" t="n">
        <v>0</v>
      </c>
      <c r="G2125" s="37" t="s">
        <v>188</v>
      </c>
      <c r="H2125" s="38" t="n">
        <v>199.496224234145</v>
      </c>
      <c r="I2125" s="38" t="n">
        <v>205.69518761746</v>
      </c>
      <c r="J2125" s="38" t="n">
        <v>245.391327957972</v>
      </c>
      <c r="K2125" s="38" t="n">
        <v>309.852600305561</v>
      </c>
      <c r="L2125" s="38" t="n">
        <v>108.82929487894</v>
      </c>
      <c r="M2125" s="38" t="n">
        <v>118.012657832913</v>
      </c>
      <c r="N2125" s="38" t="n">
        <v>165.560195430183</v>
      </c>
      <c r="O2125" s="38" t="n">
        <v>85.4585591849439</v>
      </c>
      <c r="P2125" s="37" t="n">
        <v>0</v>
      </c>
      <c r="Q2125" s="38" t="n">
        <v>0</v>
      </c>
      <c r="R2125" s="38" t="n">
        <v>72</v>
      </c>
      <c r="S2125" s="37" t="n">
        <v>1</v>
      </c>
    </row>
    <row r="2126" customFormat="false" ht="15" hidden="false" customHeight="false" outlineLevel="0" collapsed="false">
      <c r="A2126" s="37" t="n">
        <v>15</v>
      </c>
      <c r="B2126" s="37" t="n">
        <v>0</v>
      </c>
      <c r="C2126" s="37" t="n">
        <v>10</v>
      </c>
      <c r="D2126" s="37" t="n">
        <v>5</v>
      </c>
      <c r="E2126" s="37" t="n">
        <v>0</v>
      </c>
      <c r="F2126" s="37" t="n">
        <v>0</v>
      </c>
      <c r="G2126" s="37" t="s">
        <v>192</v>
      </c>
      <c r="H2126" s="38" t="n">
        <v>199.496224234145</v>
      </c>
      <c r="I2126" s="38" t="n">
        <v>205.166667247134</v>
      </c>
      <c r="J2126" s="38" t="n">
        <v>236.228957907122</v>
      </c>
      <c r="K2126" s="38" t="n">
        <v>293.832108787503</v>
      </c>
      <c r="L2126" s="38" t="n">
        <v>93.2869207190485</v>
      </c>
      <c r="M2126" s="38" t="n">
        <v>109.31799894124</v>
      </c>
      <c r="N2126" s="38" t="n">
        <v>146.591083089264</v>
      </c>
      <c r="O2126" s="38" t="n">
        <v>76.8498201489511</v>
      </c>
      <c r="P2126" s="37" t="n">
        <v>0</v>
      </c>
      <c r="Q2126" s="38" t="n">
        <v>0</v>
      </c>
      <c r="R2126" s="38" t="n">
        <v>72</v>
      </c>
      <c r="S2126" s="37" t="n">
        <v>0</v>
      </c>
    </row>
    <row r="2127" customFormat="false" ht="15" hidden="false" customHeight="false" outlineLevel="0" collapsed="false">
      <c r="A2127" s="37" t="n">
        <v>15</v>
      </c>
      <c r="B2127" s="37" t="n">
        <v>0</v>
      </c>
      <c r="C2127" s="37" t="n">
        <v>10</v>
      </c>
      <c r="D2127" s="37" t="n">
        <v>5</v>
      </c>
      <c r="E2127" s="37" t="n">
        <v>0</v>
      </c>
      <c r="F2127" s="37" t="n">
        <v>0</v>
      </c>
      <c r="G2127" s="37" t="s">
        <v>195</v>
      </c>
      <c r="H2127" s="38" t="n">
        <v>199.496224234145</v>
      </c>
      <c r="I2127" s="38" t="n">
        <v>205.319766399638</v>
      </c>
      <c r="J2127" s="38" t="n">
        <v>235.944998109222</v>
      </c>
      <c r="K2127" s="38" t="n">
        <v>291.623910621343</v>
      </c>
      <c r="L2127" s="38" t="n">
        <v>94.4734258230697</v>
      </c>
      <c r="M2127" s="38" t="n">
        <v>114.121003572705</v>
      </c>
      <c r="N2127" s="38" t="n">
        <v>152.286087197893</v>
      </c>
      <c r="O2127" s="38" t="n">
        <v>79.7455192629451</v>
      </c>
      <c r="P2127" s="37" t="n">
        <v>0</v>
      </c>
      <c r="Q2127" s="38" t="n">
        <v>0</v>
      </c>
      <c r="R2127" s="38" t="n">
        <v>70.5298545605179</v>
      </c>
      <c r="S2127" s="37" t="n">
        <v>0</v>
      </c>
    </row>
    <row r="2128" customFormat="false" ht="15" hidden="false" customHeight="false" outlineLevel="0" collapsed="false">
      <c r="A2128" s="37" t="n">
        <v>15</v>
      </c>
      <c r="B2128" s="37" t="n">
        <v>0</v>
      </c>
      <c r="C2128" s="37" t="n">
        <v>10</v>
      </c>
      <c r="D2128" s="37" t="n">
        <v>5</v>
      </c>
      <c r="E2128" s="37" t="n">
        <v>0</v>
      </c>
      <c r="F2128" s="37" t="n">
        <v>0</v>
      </c>
      <c r="G2128" s="37" t="s">
        <v>197</v>
      </c>
      <c r="H2128" s="38" t="n">
        <v>199.496224234145</v>
      </c>
      <c r="I2128" s="38" t="n">
        <v>205.152056918524</v>
      </c>
      <c r="J2128" s="38" t="n">
        <v>235.097741852491</v>
      </c>
      <c r="K2128" s="38" t="n">
        <v>292.258835749939</v>
      </c>
      <c r="L2128" s="38" t="n">
        <v>90.0309175045393</v>
      </c>
      <c r="M2128" s="38" t="n">
        <v>110.090289880888</v>
      </c>
      <c r="N2128" s="38" t="n">
        <v>138.769602867004</v>
      </c>
      <c r="O2128" s="38" t="n">
        <v>76.2639264065849</v>
      </c>
      <c r="P2128" s="37" t="n">
        <v>0</v>
      </c>
      <c r="Q2128" s="38" t="n">
        <v>0</v>
      </c>
      <c r="R2128" s="38" t="n">
        <v>72</v>
      </c>
      <c r="S2128" s="37" t="n">
        <v>0</v>
      </c>
    </row>
    <row r="2129" customFormat="false" ht="15" hidden="false" customHeight="false" outlineLevel="0" collapsed="false">
      <c r="A2129" s="37" t="n">
        <v>15</v>
      </c>
      <c r="B2129" s="37" t="n">
        <v>0</v>
      </c>
      <c r="C2129" s="37" t="n">
        <v>10</v>
      </c>
      <c r="D2129" s="37" t="n">
        <v>5</v>
      </c>
      <c r="E2129" s="37" t="n">
        <v>0</v>
      </c>
      <c r="F2129" s="37" t="n">
        <v>0</v>
      </c>
      <c r="G2129" s="37" t="s">
        <v>196</v>
      </c>
      <c r="H2129" s="38" t="n">
        <v>199.496224234145</v>
      </c>
      <c r="I2129" s="38" t="n">
        <v>205.183190486643</v>
      </c>
      <c r="J2129" s="38" t="n">
        <v>235.944901645512</v>
      </c>
      <c r="K2129" s="38" t="n">
        <v>293.62744275154</v>
      </c>
      <c r="L2129" s="38" t="n">
        <v>97.4446428302993</v>
      </c>
      <c r="M2129" s="38" t="n">
        <v>113.564090879503</v>
      </c>
      <c r="N2129" s="38" t="n">
        <v>149.235248066733</v>
      </c>
      <c r="O2129" s="38" t="n">
        <v>80.2329260718308</v>
      </c>
      <c r="P2129" s="37" t="n">
        <v>0</v>
      </c>
      <c r="Q2129" s="38" t="n">
        <v>0</v>
      </c>
      <c r="R2129" s="38" t="n">
        <v>71.0694613522356</v>
      </c>
      <c r="S2129" s="37" t="n">
        <v>0</v>
      </c>
    </row>
    <row r="2130" customFormat="false" ht="15" hidden="false" customHeight="false" outlineLevel="0" collapsed="false">
      <c r="A2130" s="37" t="n">
        <v>15</v>
      </c>
      <c r="B2130" s="37" t="n">
        <v>0</v>
      </c>
      <c r="C2130" s="37" t="n">
        <v>15</v>
      </c>
      <c r="D2130" s="37" t="n">
        <v>0</v>
      </c>
      <c r="E2130" s="37" t="n">
        <v>0</v>
      </c>
      <c r="F2130" s="37" t="n">
        <v>0</v>
      </c>
      <c r="G2130" s="37" t="s">
        <v>188</v>
      </c>
      <c r="H2130" s="38" t="n">
        <v>199.553806776193</v>
      </c>
      <c r="I2130" s="38" t="n">
        <v>206.094791121562</v>
      </c>
      <c r="J2130" s="38" t="n">
        <v>241.530319216222</v>
      </c>
      <c r="K2130" s="38" t="n">
        <v>312.17063986321</v>
      </c>
      <c r="L2130" s="38" t="n">
        <v>110.771547245254</v>
      </c>
      <c r="M2130" s="38" t="n">
        <v>119.962187363714</v>
      </c>
      <c r="N2130" s="38" t="n">
        <v>164.53243513427</v>
      </c>
      <c r="O2130" s="38" t="n">
        <v>81.5932251285584</v>
      </c>
      <c r="P2130" s="37" t="n">
        <v>0</v>
      </c>
      <c r="Q2130" s="38" t="n">
        <v>0</v>
      </c>
      <c r="R2130" s="38" t="n">
        <v>70.5</v>
      </c>
      <c r="S2130" s="37" t="n">
        <v>1</v>
      </c>
    </row>
    <row r="2131" customFormat="false" ht="15" hidden="false" customHeight="false" outlineLevel="0" collapsed="false">
      <c r="A2131" s="37" t="n">
        <v>15</v>
      </c>
      <c r="B2131" s="37" t="n">
        <v>0</v>
      </c>
      <c r="C2131" s="37" t="n">
        <v>15</v>
      </c>
      <c r="D2131" s="37" t="n">
        <v>0</v>
      </c>
      <c r="E2131" s="37" t="n">
        <v>0</v>
      </c>
      <c r="F2131" s="37" t="n">
        <v>0</v>
      </c>
      <c r="G2131" s="37" t="s">
        <v>192</v>
      </c>
      <c r="H2131" s="38" t="n">
        <v>199.553806776193</v>
      </c>
      <c r="I2131" s="38" t="n">
        <v>205.539274961798</v>
      </c>
      <c r="J2131" s="38" t="n">
        <v>231.925319546849</v>
      </c>
      <c r="K2131" s="38" t="n">
        <v>295.713552602694</v>
      </c>
      <c r="L2131" s="38" t="n">
        <v>94.9471427901551</v>
      </c>
      <c r="M2131" s="38" t="n">
        <v>111.2030630359</v>
      </c>
      <c r="N2131" s="38" t="n">
        <v>143.743050215515</v>
      </c>
      <c r="O2131" s="38" t="n">
        <v>72.8714578087621</v>
      </c>
      <c r="P2131" s="37" t="n">
        <v>0</v>
      </c>
      <c r="Q2131" s="38" t="n">
        <v>0</v>
      </c>
      <c r="R2131" s="38" t="n">
        <v>70.5</v>
      </c>
      <c r="S2131" s="37" t="n">
        <v>0</v>
      </c>
    </row>
    <row r="2132" customFormat="false" ht="15" hidden="false" customHeight="false" outlineLevel="0" collapsed="false">
      <c r="A2132" s="37" t="n">
        <v>15</v>
      </c>
      <c r="B2132" s="37" t="n">
        <v>0</v>
      </c>
      <c r="C2132" s="37" t="n">
        <v>15</v>
      </c>
      <c r="D2132" s="37" t="n">
        <v>0</v>
      </c>
      <c r="E2132" s="37" t="n">
        <v>0</v>
      </c>
      <c r="F2132" s="37" t="n">
        <v>0</v>
      </c>
      <c r="G2132" s="37" t="s">
        <v>195</v>
      </c>
      <c r="H2132" s="38" t="n">
        <v>199.553806776193</v>
      </c>
      <c r="I2132" s="38" t="n">
        <v>205.598704597807</v>
      </c>
      <c r="J2132" s="38" t="n">
        <v>227.992097586039</v>
      </c>
      <c r="K2132" s="38" t="n">
        <v>287.745273679945</v>
      </c>
      <c r="L2132" s="38" t="n">
        <v>89.2206916683574</v>
      </c>
      <c r="M2132" s="38" t="n">
        <v>114.315408888111</v>
      </c>
      <c r="N2132" s="38" t="n">
        <v>140.808701613689</v>
      </c>
      <c r="O2132" s="38" t="n">
        <v>72.1807461666667</v>
      </c>
      <c r="P2132" s="37" t="n">
        <v>0</v>
      </c>
      <c r="Q2132" s="38" t="n">
        <v>0</v>
      </c>
      <c r="R2132" s="38" t="n">
        <v>68.6176253965239</v>
      </c>
      <c r="S2132" s="37" t="n">
        <v>0</v>
      </c>
    </row>
    <row r="2133" customFormat="false" ht="15" hidden="false" customHeight="false" outlineLevel="0" collapsed="false">
      <c r="A2133" s="37" t="n">
        <v>15</v>
      </c>
      <c r="B2133" s="37" t="n">
        <v>0</v>
      </c>
      <c r="C2133" s="37" t="n">
        <v>15</v>
      </c>
      <c r="D2133" s="37" t="n">
        <v>0</v>
      </c>
      <c r="E2133" s="37" t="n">
        <v>0</v>
      </c>
      <c r="F2133" s="37" t="n">
        <v>0</v>
      </c>
      <c r="G2133" s="37" t="s">
        <v>197</v>
      </c>
      <c r="H2133" s="38" t="n">
        <v>199.553806776193</v>
      </c>
      <c r="I2133" s="38" t="n">
        <v>205.522985358162</v>
      </c>
      <c r="J2133" s="38" t="n">
        <v>230.569972716804</v>
      </c>
      <c r="K2133" s="38" t="n">
        <v>293.752812313971</v>
      </c>
      <c r="L2133" s="38" t="n">
        <v>91.3460635080153</v>
      </c>
      <c r="M2133" s="38" t="n">
        <v>110.793038286801</v>
      </c>
      <c r="N2133" s="38" t="n">
        <v>134.322101888465</v>
      </c>
      <c r="O2133" s="38" t="n">
        <v>71.7386156802326</v>
      </c>
      <c r="P2133" s="37" t="n">
        <v>0</v>
      </c>
      <c r="Q2133" s="38" t="n">
        <v>0</v>
      </c>
      <c r="R2133" s="38" t="n">
        <v>70.5</v>
      </c>
      <c r="S2133" s="37" t="n">
        <v>0</v>
      </c>
    </row>
    <row r="2134" customFormat="false" ht="15" hidden="false" customHeight="false" outlineLevel="0" collapsed="false">
      <c r="A2134" s="37" t="n">
        <v>15</v>
      </c>
      <c r="B2134" s="37" t="n">
        <v>0</v>
      </c>
      <c r="C2134" s="37" t="n">
        <v>15</v>
      </c>
      <c r="D2134" s="37" t="n">
        <v>0</v>
      </c>
      <c r="E2134" s="37" t="n">
        <v>0</v>
      </c>
      <c r="F2134" s="37" t="n">
        <v>0</v>
      </c>
      <c r="G2134" s="37" t="s">
        <v>196</v>
      </c>
      <c r="H2134" s="38" t="n">
        <v>199.553806776193</v>
      </c>
      <c r="I2134" s="38" t="n">
        <v>205.551377038448</v>
      </c>
      <c r="J2134" s="38" t="n">
        <v>231.446524033109</v>
      </c>
      <c r="K2134" s="38" t="n">
        <v>295.350105145375</v>
      </c>
      <c r="L2134" s="38" t="n">
        <v>99.0203485235643</v>
      </c>
      <c r="M2134" s="38" t="n">
        <v>114.128254940999</v>
      </c>
      <c r="N2134" s="38" t="n">
        <v>144.020731104732</v>
      </c>
      <c r="O2134" s="38" t="n">
        <v>76.1305006804319</v>
      </c>
      <c r="P2134" s="37" t="n">
        <v>0</v>
      </c>
      <c r="Q2134" s="38" t="n">
        <v>0</v>
      </c>
      <c r="R2134" s="38" t="n">
        <v>69.5341917440988</v>
      </c>
      <c r="S2134" s="37" t="n">
        <v>0</v>
      </c>
    </row>
    <row r="2135" customFormat="false" ht="15" hidden="false" customHeight="false" outlineLevel="0" collapsed="false">
      <c r="A2135" s="37" t="n">
        <v>15</v>
      </c>
      <c r="B2135" s="37" t="n">
        <v>5</v>
      </c>
      <c r="C2135" s="37" t="n">
        <v>0</v>
      </c>
      <c r="D2135" s="37" t="n">
        <v>0</v>
      </c>
      <c r="E2135" s="37" t="n">
        <v>0</v>
      </c>
      <c r="F2135" s="37" t="n">
        <v>10</v>
      </c>
      <c r="G2135" s="37" t="s">
        <v>188</v>
      </c>
      <c r="H2135" s="38" t="n">
        <v>199.032991492412</v>
      </c>
      <c r="I2135" s="38" t="n">
        <v>198.837769240149</v>
      </c>
      <c r="J2135" s="38" t="n">
        <v>201.643471804049</v>
      </c>
      <c r="K2135" s="38" t="n">
        <v>241.773779495299</v>
      </c>
      <c r="L2135" s="38" t="n">
        <v>117.165801251675</v>
      </c>
      <c r="M2135" s="38" t="n">
        <v>102.830530029929</v>
      </c>
      <c r="N2135" s="38" t="n">
        <v>108.163665852136</v>
      </c>
      <c r="O2135" s="38" t="n">
        <v>63.8353439888038</v>
      </c>
      <c r="P2135" s="37" t="n">
        <v>0</v>
      </c>
      <c r="Q2135" s="38" t="n">
        <v>0</v>
      </c>
      <c r="R2135" s="38" t="n">
        <v>70.5</v>
      </c>
      <c r="S2135" s="37" t="n">
        <v>1</v>
      </c>
    </row>
    <row r="2136" customFormat="false" ht="15" hidden="false" customHeight="false" outlineLevel="0" collapsed="false">
      <c r="A2136" s="37" t="n">
        <v>15</v>
      </c>
      <c r="B2136" s="37" t="n">
        <v>5</v>
      </c>
      <c r="C2136" s="37" t="n">
        <v>0</v>
      </c>
      <c r="D2136" s="37" t="n">
        <v>0</v>
      </c>
      <c r="E2136" s="37" t="n">
        <v>0</v>
      </c>
      <c r="F2136" s="37" t="n">
        <v>10</v>
      </c>
      <c r="G2136" s="37" t="s">
        <v>192</v>
      </c>
      <c r="H2136" s="38" t="n">
        <v>199.032991492412</v>
      </c>
      <c r="I2136" s="38" t="n">
        <v>198.599523596073</v>
      </c>
      <c r="J2136" s="38" t="n">
        <v>197.355210060915</v>
      </c>
      <c r="K2136" s="38" t="n">
        <v>233.916143398132</v>
      </c>
      <c r="L2136" s="38" t="n">
        <v>112.304178121632</v>
      </c>
      <c r="M2136" s="38" t="n">
        <v>96.7657953349656</v>
      </c>
      <c r="N2136" s="38" t="n">
        <v>97.5690270194699</v>
      </c>
      <c r="O2136" s="38" t="n">
        <v>61.9883150908953</v>
      </c>
      <c r="P2136" s="37" t="n">
        <v>0</v>
      </c>
      <c r="Q2136" s="38" t="n">
        <v>0</v>
      </c>
      <c r="R2136" s="38" t="n">
        <v>70.5</v>
      </c>
      <c r="S2136" s="37" t="n">
        <v>0</v>
      </c>
    </row>
    <row r="2137" customFormat="false" ht="15" hidden="false" customHeight="false" outlineLevel="0" collapsed="false">
      <c r="A2137" s="37" t="n">
        <v>15</v>
      </c>
      <c r="B2137" s="37" t="n">
        <v>5</v>
      </c>
      <c r="C2137" s="37" t="n">
        <v>0</v>
      </c>
      <c r="D2137" s="37" t="n">
        <v>0</v>
      </c>
      <c r="E2137" s="37" t="n">
        <v>0</v>
      </c>
      <c r="F2137" s="37" t="n">
        <v>10</v>
      </c>
      <c r="G2137" s="37" t="s">
        <v>195</v>
      </c>
      <c r="H2137" s="38" t="n">
        <v>199.032991492412</v>
      </c>
      <c r="I2137" s="38" t="n">
        <v>198.595091575327</v>
      </c>
      <c r="J2137" s="38" t="n">
        <v>192.731156677611</v>
      </c>
      <c r="K2137" s="38" t="n">
        <v>224.183300589983</v>
      </c>
      <c r="L2137" s="38" t="n">
        <v>105.053604931966</v>
      </c>
      <c r="M2137" s="38" t="n">
        <v>97.6531758422469</v>
      </c>
      <c r="N2137" s="38" t="n">
        <v>87.1234845386824</v>
      </c>
      <c r="O2137" s="38" t="n">
        <v>55.8949815690967</v>
      </c>
      <c r="P2137" s="37" t="n">
        <v>0</v>
      </c>
      <c r="Q2137" s="38" t="n">
        <v>0</v>
      </c>
      <c r="R2137" s="38" t="n">
        <v>68.436091302595</v>
      </c>
      <c r="S2137" s="37" t="n">
        <v>0</v>
      </c>
    </row>
    <row r="2138" customFormat="false" ht="15" hidden="false" customHeight="false" outlineLevel="0" collapsed="false">
      <c r="A2138" s="37" t="n">
        <v>15</v>
      </c>
      <c r="B2138" s="37" t="n">
        <v>5</v>
      </c>
      <c r="C2138" s="37" t="n">
        <v>0</v>
      </c>
      <c r="D2138" s="37" t="n">
        <v>0</v>
      </c>
      <c r="E2138" s="37" t="n">
        <v>0</v>
      </c>
      <c r="F2138" s="37" t="n">
        <v>10</v>
      </c>
      <c r="G2138" s="37" t="s">
        <v>197</v>
      </c>
      <c r="H2138" s="38" t="n">
        <v>199.032991492412</v>
      </c>
      <c r="I2138" s="38" t="n">
        <v>198.596427986048</v>
      </c>
      <c r="J2138" s="38" t="n">
        <v>196.524877497132</v>
      </c>
      <c r="K2138" s="38" t="n">
        <v>232.866641877201</v>
      </c>
      <c r="L2138" s="38" t="n">
        <v>110.158584845352</v>
      </c>
      <c r="M2138" s="38" t="n">
        <v>99.4567531579678</v>
      </c>
      <c r="N2138" s="38" t="n">
        <v>94.0923194352139</v>
      </c>
      <c r="O2138" s="38" t="n">
        <v>58.6104339280516</v>
      </c>
      <c r="P2138" s="37" t="n">
        <v>0</v>
      </c>
      <c r="Q2138" s="38" t="n">
        <v>0</v>
      </c>
      <c r="R2138" s="38" t="n">
        <v>70.5</v>
      </c>
      <c r="S2138" s="37" t="n">
        <v>0</v>
      </c>
    </row>
    <row r="2139" customFormat="false" ht="15" hidden="false" customHeight="false" outlineLevel="0" collapsed="false">
      <c r="A2139" s="37" t="n">
        <v>15</v>
      </c>
      <c r="B2139" s="37" t="n">
        <v>5</v>
      </c>
      <c r="C2139" s="37" t="n">
        <v>0</v>
      </c>
      <c r="D2139" s="37" t="n">
        <v>0</v>
      </c>
      <c r="E2139" s="37" t="n">
        <v>0</v>
      </c>
      <c r="F2139" s="37" t="n">
        <v>10</v>
      </c>
      <c r="G2139" s="37" t="s">
        <v>196</v>
      </c>
      <c r="H2139" s="38" t="n">
        <v>199.032991492412</v>
      </c>
      <c r="I2139" s="38" t="n">
        <v>198.604856210849</v>
      </c>
      <c r="J2139" s="38" t="n">
        <v>197.538739258815</v>
      </c>
      <c r="K2139" s="38" t="n">
        <v>234.319949277516</v>
      </c>
      <c r="L2139" s="38" t="n">
        <v>118.240568210843</v>
      </c>
      <c r="M2139" s="38" t="n">
        <v>101.643470072708</v>
      </c>
      <c r="N2139" s="38" t="n">
        <v>101.959197699362</v>
      </c>
      <c r="O2139" s="38" t="n">
        <v>63.1648660063418</v>
      </c>
      <c r="P2139" s="37" t="n">
        <v>0</v>
      </c>
      <c r="Q2139" s="38" t="n">
        <v>0</v>
      </c>
      <c r="R2139" s="38" t="n">
        <v>69.5942818773318</v>
      </c>
      <c r="S2139" s="37" t="n">
        <v>0</v>
      </c>
    </row>
    <row r="2140" customFormat="false" ht="15" hidden="false" customHeight="false" outlineLevel="0" collapsed="false">
      <c r="A2140" s="37" t="n">
        <v>15</v>
      </c>
      <c r="B2140" s="37" t="n">
        <v>5</v>
      </c>
      <c r="C2140" s="37" t="n">
        <v>0</v>
      </c>
      <c r="D2140" s="37" t="n">
        <v>0</v>
      </c>
      <c r="E2140" s="37" t="n">
        <v>5</v>
      </c>
      <c r="F2140" s="37" t="n">
        <v>5</v>
      </c>
      <c r="G2140" s="37" t="s">
        <v>188</v>
      </c>
      <c r="H2140" s="38" t="n">
        <v>199.04303316213</v>
      </c>
      <c r="I2140" s="38" t="n">
        <v>198.998157097467</v>
      </c>
      <c r="J2140" s="38" t="n">
        <v>204.796751068543</v>
      </c>
      <c r="K2140" s="38" t="n">
        <v>246.312071670236</v>
      </c>
      <c r="L2140" s="38" t="n">
        <v>81.9238865063875</v>
      </c>
      <c r="M2140" s="38" t="n">
        <v>103.822652411813</v>
      </c>
      <c r="N2140" s="38" t="n">
        <v>115.973860197369</v>
      </c>
      <c r="O2140" s="38" t="n">
        <v>63.9545638868181</v>
      </c>
      <c r="P2140" s="37" t="n">
        <v>0</v>
      </c>
      <c r="Q2140" s="38" t="n">
        <v>0</v>
      </c>
      <c r="R2140" s="38" t="n">
        <v>70.5</v>
      </c>
      <c r="S2140" s="37" t="n">
        <v>1</v>
      </c>
    </row>
    <row r="2141" customFormat="false" ht="15" hidden="false" customHeight="false" outlineLevel="0" collapsed="false">
      <c r="A2141" s="37" t="n">
        <v>15</v>
      </c>
      <c r="B2141" s="37" t="n">
        <v>5</v>
      </c>
      <c r="C2141" s="37" t="n">
        <v>0</v>
      </c>
      <c r="D2141" s="37" t="n">
        <v>0</v>
      </c>
      <c r="E2141" s="37" t="n">
        <v>5</v>
      </c>
      <c r="F2141" s="37" t="n">
        <v>5</v>
      </c>
      <c r="G2141" s="37" t="s">
        <v>192</v>
      </c>
      <c r="H2141" s="38" t="n">
        <v>199.04303316213</v>
      </c>
      <c r="I2141" s="38" t="n">
        <v>198.771433889233</v>
      </c>
      <c r="J2141" s="38" t="n">
        <v>200.241483559954</v>
      </c>
      <c r="K2141" s="38" t="n">
        <v>238.656546923149</v>
      </c>
      <c r="L2141" s="38" t="n">
        <v>77.0343037705397</v>
      </c>
      <c r="M2141" s="38" t="n">
        <v>97.8602234894182</v>
      </c>
      <c r="N2141" s="38" t="n">
        <v>104.586797093897</v>
      </c>
      <c r="O2141" s="38" t="n">
        <v>61.986583423272</v>
      </c>
      <c r="P2141" s="37" t="n">
        <v>0</v>
      </c>
      <c r="Q2141" s="38" t="n">
        <v>0</v>
      </c>
      <c r="R2141" s="38" t="n">
        <v>70.5</v>
      </c>
      <c r="S2141" s="37" t="n">
        <v>0</v>
      </c>
    </row>
    <row r="2142" customFormat="false" ht="15" hidden="false" customHeight="false" outlineLevel="0" collapsed="false">
      <c r="A2142" s="37" t="n">
        <v>15</v>
      </c>
      <c r="B2142" s="37" t="n">
        <v>5</v>
      </c>
      <c r="C2142" s="37" t="n">
        <v>0</v>
      </c>
      <c r="D2142" s="37" t="n">
        <v>0</v>
      </c>
      <c r="E2142" s="37" t="n">
        <v>5</v>
      </c>
      <c r="F2142" s="37" t="n">
        <v>5</v>
      </c>
      <c r="G2142" s="37" t="s">
        <v>195</v>
      </c>
      <c r="H2142" s="38" t="n">
        <v>199.04303316213</v>
      </c>
      <c r="I2142" s="38" t="n">
        <v>198.767355840848</v>
      </c>
      <c r="J2142" s="38" t="n">
        <v>195.332795168801</v>
      </c>
      <c r="K2142" s="38" t="n">
        <v>228.613180662247</v>
      </c>
      <c r="L2142" s="38" t="n">
        <v>69.4037555749601</v>
      </c>
      <c r="M2142" s="38" t="n">
        <v>98.8047838986995</v>
      </c>
      <c r="N2142" s="38" t="n">
        <v>93.9393589579835</v>
      </c>
      <c r="O2142" s="38" t="n">
        <v>56.1113802173518</v>
      </c>
      <c r="P2142" s="37" t="n">
        <v>0</v>
      </c>
      <c r="Q2142" s="38" t="n">
        <v>0</v>
      </c>
      <c r="R2142" s="38" t="n">
        <v>68.412172473814</v>
      </c>
      <c r="S2142" s="37" t="n">
        <v>0</v>
      </c>
    </row>
    <row r="2143" customFormat="false" ht="15" hidden="false" customHeight="false" outlineLevel="0" collapsed="false">
      <c r="A2143" s="37" t="n">
        <v>15</v>
      </c>
      <c r="B2143" s="37" t="n">
        <v>5</v>
      </c>
      <c r="C2143" s="37" t="n">
        <v>0</v>
      </c>
      <c r="D2143" s="37" t="n">
        <v>0</v>
      </c>
      <c r="E2143" s="37" t="n">
        <v>5</v>
      </c>
      <c r="F2143" s="37" t="n">
        <v>5</v>
      </c>
      <c r="G2143" s="37" t="s">
        <v>197</v>
      </c>
      <c r="H2143" s="38" t="n">
        <v>199.04303316213</v>
      </c>
      <c r="I2143" s="38" t="n">
        <v>198.7796465349</v>
      </c>
      <c r="J2143" s="38" t="n">
        <v>199.995003634767</v>
      </c>
      <c r="K2143" s="38" t="n">
        <v>238.529889414303</v>
      </c>
      <c r="L2143" s="38" t="n">
        <v>76.3412587902021</v>
      </c>
      <c r="M2143" s="38" t="n">
        <v>103.862456353129</v>
      </c>
      <c r="N2143" s="38" t="n">
        <v>110.321289583023</v>
      </c>
      <c r="O2143" s="38" t="n">
        <v>62.7238337064218</v>
      </c>
      <c r="P2143" s="37" t="n">
        <v>0</v>
      </c>
      <c r="Q2143" s="38" t="n">
        <v>0</v>
      </c>
      <c r="R2143" s="38" t="n">
        <v>70.5</v>
      </c>
      <c r="S2143" s="37" t="n">
        <v>0</v>
      </c>
    </row>
    <row r="2144" customFormat="false" ht="15" hidden="false" customHeight="false" outlineLevel="0" collapsed="false">
      <c r="A2144" s="37" t="n">
        <v>15</v>
      </c>
      <c r="B2144" s="37" t="n">
        <v>5</v>
      </c>
      <c r="C2144" s="37" t="n">
        <v>0</v>
      </c>
      <c r="D2144" s="37" t="n">
        <v>0</v>
      </c>
      <c r="E2144" s="37" t="n">
        <v>5</v>
      </c>
      <c r="F2144" s="37" t="n">
        <v>5</v>
      </c>
      <c r="G2144" s="37" t="s">
        <v>196</v>
      </c>
      <c r="H2144" s="38" t="n">
        <v>199.04303316213</v>
      </c>
      <c r="I2144" s="38" t="n">
        <v>198.779716150396</v>
      </c>
      <c r="J2144" s="38" t="n">
        <v>200.110684871011</v>
      </c>
      <c r="K2144" s="38" t="n">
        <v>238.714381210211</v>
      </c>
      <c r="L2144" s="38" t="n">
        <v>82.2008003254011</v>
      </c>
      <c r="M2144" s="38" t="n">
        <v>103.375942712054</v>
      </c>
      <c r="N2144" s="38" t="n">
        <v>110.167486872575</v>
      </c>
      <c r="O2144" s="38" t="n">
        <v>64.4706072094326</v>
      </c>
      <c r="P2144" s="37" t="n">
        <v>0</v>
      </c>
      <c r="Q2144" s="38" t="n">
        <v>0</v>
      </c>
      <c r="R2144" s="38" t="n">
        <v>69.4900739209789</v>
      </c>
      <c r="S2144" s="37" t="n">
        <v>0</v>
      </c>
    </row>
    <row r="2145" customFormat="false" ht="15" hidden="false" customHeight="false" outlineLevel="0" collapsed="false">
      <c r="A2145" s="37" t="n">
        <v>15</v>
      </c>
      <c r="B2145" s="37" t="n">
        <v>5</v>
      </c>
      <c r="C2145" s="37" t="n">
        <v>0</v>
      </c>
      <c r="D2145" s="37" t="n">
        <v>0</v>
      </c>
      <c r="E2145" s="37" t="n">
        <v>10</v>
      </c>
      <c r="F2145" s="37" t="n">
        <v>0</v>
      </c>
      <c r="G2145" s="37" t="s">
        <v>188</v>
      </c>
      <c r="H2145" s="38" t="n">
        <v>199.052444530954</v>
      </c>
      <c r="I2145" s="38" t="n">
        <v>199.184845478067</v>
      </c>
      <c r="J2145" s="38" t="n">
        <v>207.415195861529</v>
      </c>
      <c r="K2145" s="38" t="n">
        <v>250.195171588049</v>
      </c>
      <c r="L2145" s="38" t="n">
        <v>46.0080156767443</v>
      </c>
      <c r="M2145" s="38" t="n">
        <v>104.761739568893</v>
      </c>
      <c r="N2145" s="38" t="n">
        <v>122.2346975509</v>
      </c>
      <c r="O2145" s="38" t="n">
        <v>63.8023595209194</v>
      </c>
      <c r="P2145" s="37" t="n">
        <v>0</v>
      </c>
      <c r="Q2145" s="38" t="n">
        <v>0</v>
      </c>
      <c r="R2145" s="38" t="n">
        <v>70.5</v>
      </c>
      <c r="S2145" s="37" t="n">
        <v>0</v>
      </c>
    </row>
    <row r="2146" customFormat="false" ht="15" hidden="false" customHeight="false" outlineLevel="0" collapsed="false">
      <c r="A2146" s="37" t="n">
        <v>15</v>
      </c>
      <c r="B2146" s="37" t="n">
        <v>5</v>
      </c>
      <c r="C2146" s="37" t="n">
        <v>0</v>
      </c>
      <c r="D2146" s="37" t="n">
        <v>0</v>
      </c>
      <c r="E2146" s="37" t="n">
        <v>10</v>
      </c>
      <c r="F2146" s="37" t="n">
        <v>0</v>
      </c>
      <c r="G2146" s="37" t="s">
        <v>192</v>
      </c>
      <c r="H2146" s="38" t="n">
        <v>199.052444530954</v>
      </c>
      <c r="I2146" s="38" t="n">
        <v>198.966948163391</v>
      </c>
      <c r="J2146" s="38" t="n">
        <v>202.420251940439</v>
      </c>
      <c r="K2146" s="38" t="n">
        <v>242.550539281421</v>
      </c>
      <c r="L2146" s="38" t="n">
        <v>40.9190977072988</v>
      </c>
      <c r="M2146" s="38" t="n">
        <v>98.8832093968887</v>
      </c>
      <c r="N2146" s="38" t="n">
        <v>109.789334077635</v>
      </c>
      <c r="O2146" s="38" t="n">
        <v>61.6768139571971</v>
      </c>
      <c r="P2146" s="37" t="n">
        <v>0</v>
      </c>
      <c r="Q2146" s="38" t="n">
        <v>0</v>
      </c>
      <c r="R2146" s="38" t="n">
        <v>70.5</v>
      </c>
      <c r="S2146" s="37" t="n">
        <v>0</v>
      </c>
    </row>
    <row r="2147" customFormat="false" ht="15" hidden="false" customHeight="false" outlineLevel="0" collapsed="false">
      <c r="A2147" s="37" t="n">
        <v>15</v>
      </c>
      <c r="B2147" s="37" t="n">
        <v>5</v>
      </c>
      <c r="C2147" s="37" t="n">
        <v>0</v>
      </c>
      <c r="D2147" s="37" t="n">
        <v>0</v>
      </c>
      <c r="E2147" s="37" t="n">
        <v>10</v>
      </c>
      <c r="F2147" s="37" t="n">
        <v>0</v>
      </c>
      <c r="G2147" s="37" t="s">
        <v>195</v>
      </c>
      <c r="H2147" s="38" t="n">
        <v>199.052444530954</v>
      </c>
      <c r="I2147" s="38" t="n">
        <v>198.962222556436</v>
      </c>
      <c r="J2147" s="38" t="n">
        <v>197.457928053957</v>
      </c>
      <c r="K2147" s="38" t="n">
        <v>232.410473114051</v>
      </c>
      <c r="L2147" s="38" t="n">
        <v>33.1485706455879</v>
      </c>
      <c r="M2147" s="38" t="n">
        <v>99.8760762817474</v>
      </c>
      <c r="N2147" s="38" t="n">
        <v>93.4284882497865</v>
      </c>
      <c r="O2147" s="38" t="n">
        <v>56.0509453925272</v>
      </c>
      <c r="P2147" s="37" t="n">
        <v>0</v>
      </c>
      <c r="Q2147" s="38" t="n">
        <v>0</v>
      </c>
      <c r="R2147" s="38" t="n">
        <v>68.3964292594611</v>
      </c>
      <c r="S2147" s="37" t="n">
        <v>0</v>
      </c>
    </row>
    <row r="2148" customFormat="false" ht="15" hidden="false" customHeight="false" outlineLevel="0" collapsed="false">
      <c r="A2148" s="37" t="n">
        <v>15</v>
      </c>
      <c r="B2148" s="37" t="n">
        <v>5</v>
      </c>
      <c r="C2148" s="37" t="n">
        <v>0</v>
      </c>
      <c r="D2148" s="37" t="n">
        <v>0</v>
      </c>
      <c r="E2148" s="37" t="n">
        <v>10</v>
      </c>
      <c r="F2148" s="37" t="n">
        <v>0</v>
      </c>
      <c r="G2148" s="37" t="s">
        <v>197</v>
      </c>
      <c r="H2148" s="38" t="n">
        <v>199.052444530954</v>
      </c>
      <c r="I2148" s="38" t="n">
        <v>198.996862992305</v>
      </c>
      <c r="J2148" s="38" t="n">
        <v>203.076975441114</v>
      </c>
      <c r="K2148" s="38" t="n">
        <v>243.708723112318</v>
      </c>
      <c r="L2148" s="38" t="n">
        <v>42.1836964923404</v>
      </c>
      <c r="M2148" s="38" t="n">
        <v>107.46258860526</v>
      </c>
      <c r="N2148" s="38" t="n">
        <v>123.670070520927</v>
      </c>
      <c r="O2148" s="38" t="n">
        <v>64.3630255257899</v>
      </c>
      <c r="P2148" s="37" t="n">
        <v>0</v>
      </c>
      <c r="Q2148" s="38" t="n">
        <v>0</v>
      </c>
      <c r="R2148" s="38" t="n">
        <v>70.5</v>
      </c>
      <c r="S2148" s="37" t="n">
        <v>1</v>
      </c>
    </row>
    <row r="2149" customFormat="false" ht="15" hidden="false" customHeight="false" outlineLevel="0" collapsed="false">
      <c r="A2149" s="37" t="n">
        <v>15</v>
      </c>
      <c r="B2149" s="37" t="n">
        <v>5</v>
      </c>
      <c r="C2149" s="37" t="n">
        <v>0</v>
      </c>
      <c r="D2149" s="37" t="n">
        <v>0</v>
      </c>
      <c r="E2149" s="37" t="n">
        <v>10</v>
      </c>
      <c r="F2149" s="37" t="n">
        <v>0</v>
      </c>
      <c r="G2149" s="37" t="s">
        <v>196</v>
      </c>
      <c r="H2149" s="38" t="n">
        <v>199.052444530954</v>
      </c>
      <c r="I2149" s="38" t="n">
        <v>198.979411735166</v>
      </c>
      <c r="J2149" s="38" t="n">
        <v>202.299550519412</v>
      </c>
      <c r="K2149" s="38" t="n">
        <v>242.640482715769</v>
      </c>
      <c r="L2149" s="38" t="n">
        <v>46.0627478205715</v>
      </c>
      <c r="M2149" s="38" t="n">
        <v>104.889161985924</v>
      </c>
      <c r="N2149" s="38" t="n">
        <v>116.766231590055</v>
      </c>
      <c r="O2149" s="38" t="n">
        <v>64.7656087794358</v>
      </c>
      <c r="P2149" s="37" t="n">
        <v>0</v>
      </c>
      <c r="Q2149" s="38" t="n">
        <v>0</v>
      </c>
      <c r="R2149" s="38" t="n">
        <v>69.4746769584859</v>
      </c>
      <c r="S2149" s="37" t="n">
        <v>0</v>
      </c>
    </row>
    <row r="2150" customFormat="false" ht="15" hidden="false" customHeight="false" outlineLevel="0" collapsed="false">
      <c r="A2150" s="37" t="n">
        <v>15</v>
      </c>
      <c r="B2150" s="37" t="n">
        <v>5</v>
      </c>
      <c r="C2150" s="37" t="n">
        <v>0</v>
      </c>
      <c r="D2150" s="37" t="n">
        <v>5</v>
      </c>
      <c r="E2150" s="37" t="n">
        <v>0</v>
      </c>
      <c r="F2150" s="37" t="n">
        <v>5</v>
      </c>
      <c r="G2150" s="37" t="s">
        <v>188</v>
      </c>
      <c r="H2150" s="38" t="n">
        <v>199.181935086375</v>
      </c>
      <c r="I2150" s="38" t="n">
        <v>199.794638857185</v>
      </c>
      <c r="J2150" s="38" t="n">
        <v>206.91060084782</v>
      </c>
      <c r="K2150" s="38" t="n">
        <v>238.699948706182</v>
      </c>
      <c r="L2150" s="38" t="n">
        <v>74.7261688913926</v>
      </c>
      <c r="M2150" s="38" t="n">
        <v>103.680208920713</v>
      </c>
      <c r="N2150" s="38" t="n">
        <v>112.002154333541</v>
      </c>
      <c r="O2150" s="38" t="n">
        <v>67.1939156355919</v>
      </c>
      <c r="P2150" s="37" t="n">
        <v>0</v>
      </c>
      <c r="Q2150" s="38" t="n">
        <v>0</v>
      </c>
      <c r="R2150" s="38" t="n">
        <v>72</v>
      </c>
      <c r="S2150" s="37" t="n">
        <v>1</v>
      </c>
    </row>
    <row r="2151" customFormat="false" ht="15" hidden="false" customHeight="false" outlineLevel="0" collapsed="false">
      <c r="A2151" s="37" t="n">
        <v>15</v>
      </c>
      <c r="B2151" s="37" t="n">
        <v>5</v>
      </c>
      <c r="C2151" s="37" t="n">
        <v>0</v>
      </c>
      <c r="D2151" s="37" t="n">
        <v>5</v>
      </c>
      <c r="E2151" s="37" t="n">
        <v>0</v>
      </c>
      <c r="F2151" s="37" t="n">
        <v>5</v>
      </c>
      <c r="G2151" s="37" t="s">
        <v>192</v>
      </c>
      <c r="H2151" s="38" t="n">
        <v>199.181935086375</v>
      </c>
      <c r="I2151" s="38" t="n">
        <v>199.541207552634</v>
      </c>
      <c r="J2151" s="38" t="n">
        <v>201.994648283062</v>
      </c>
      <c r="K2151" s="38" t="n">
        <v>230.418974527264</v>
      </c>
      <c r="L2151" s="38" t="n">
        <v>69.0906526352561</v>
      </c>
      <c r="M2151" s="38" t="n">
        <v>97.6178137840206</v>
      </c>
      <c r="N2151" s="38" t="n">
        <v>100.734240436142</v>
      </c>
      <c r="O2151" s="38" t="n">
        <v>64.7122931018271</v>
      </c>
      <c r="P2151" s="37" t="n">
        <v>0</v>
      </c>
      <c r="Q2151" s="38" t="n">
        <v>0</v>
      </c>
      <c r="R2151" s="38" t="n">
        <v>72</v>
      </c>
      <c r="S2151" s="37" t="n">
        <v>0</v>
      </c>
    </row>
    <row r="2152" customFormat="false" ht="15" hidden="false" customHeight="false" outlineLevel="0" collapsed="false">
      <c r="A2152" s="37" t="n">
        <v>15</v>
      </c>
      <c r="B2152" s="37" t="n">
        <v>5</v>
      </c>
      <c r="C2152" s="37" t="n">
        <v>0</v>
      </c>
      <c r="D2152" s="37" t="n">
        <v>5</v>
      </c>
      <c r="E2152" s="37" t="n">
        <v>0</v>
      </c>
      <c r="F2152" s="37" t="n">
        <v>5</v>
      </c>
      <c r="G2152" s="37" t="s">
        <v>195</v>
      </c>
      <c r="H2152" s="38" t="n">
        <v>199.181935086375</v>
      </c>
      <c r="I2152" s="38" t="n">
        <v>199.569233842769</v>
      </c>
      <c r="J2152" s="38" t="n">
        <v>199.50312124036</v>
      </c>
      <c r="K2152" s="38" t="n">
        <v>224.260160690539</v>
      </c>
      <c r="L2152" s="38" t="n">
        <v>66.45950712765</v>
      </c>
      <c r="M2152" s="38" t="n">
        <v>100.159695397774</v>
      </c>
      <c r="N2152" s="38" t="n">
        <v>97.6078377601914</v>
      </c>
      <c r="O2152" s="38" t="n">
        <v>61.944966735147</v>
      </c>
      <c r="P2152" s="37" t="n">
        <v>0</v>
      </c>
      <c r="Q2152" s="38" t="n">
        <v>0</v>
      </c>
      <c r="R2152" s="38" t="n">
        <v>70.3348039311335</v>
      </c>
      <c r="S2152" s="37" t="n">
        <v>0</v>
      </c>
    </row>
    <row r="2153" customFormat="false" ht="15" hidden="false" customHeight="false" outlineLevel="0" collapsed="false">
      <c r="A2153" s="37" t="n">
        <v>15</v>
      </c>
      <c r="B2153" s="37" t="n">
        <v>5</v>
      </c>
      <c r="C2153" s="37" t="n">
        <v>0</v>
      </c>
      <c r="D2153" s="37" t="n">
        <v>5</v>
      </c>
      <c r="E2153" s="37" t="n">
        <v>0</v>
      </c>
      <c r="F2153" s="37" t="n">
        <v>5</v>
      </c>
      <c r="G2153" s="37" t="s">
        <v>197</v>
      </c>
      <c r="H2153" s="38" t="n">
        <v>199.181935086375</v>
      </c>
      <c r="I2153" s="38" t="n">
        <v>199.538321598475</v>
      </c>
      <c r="J2153" s="38" t="n">
        <v>201.226563306167</v>
      </c>
      <c r="K2153" s="38" t="n">
        <v>229.445027156705</v>
      </c>
      <c r="L2153" s="38" t="n">
        <v>66.9850476709729</v>
      </c>
      <c r="M2153" s="38" t="n">
        <v>100.347133467474</v>
      </c>
      <c r="N2153" s="38" t="n">
        <v>97.5399501205133</v>
      </c>
      <c r="O2153" s="38" t="n">
        <v>61.7161642340454</v>
      </c>
      <c r="P2153" s="37" t="n">
        <v>0</v>
      </c>
      <c r="Q2153" s="38" t="n">
        <v>0</v>
      </c>
      <c r="R2153" s="38" t="n">
        <v>72</v>
      </c>
      <c r="S2153" s="37" t="n">
        <v>0</v>
      </c>
    </row>
    <row r="2154" customFormat="false" ht="15" hidden="false" customHeight="false" outlineLevel="0" collapsed="false">
      <c r="A2154" s="37" t="n">
        <v>15</v>
      </c>
      <c r="B2154" s="37" t="n">
        <v>5</v>
      </c>
      <c r="C2154" s="37" t="n">
        <v>0</v>
      </c>
      <c r="D2154" s="37" t="n">
        <v>5</v>
      </c>
      <c r="E2154" s="37" t="n">
        <v>0</v>
      </c>
      <c r="F2154" s="37" t="n">
        <v>5</v>
      </c>
      <c r="G2154" s="37" t="s">
        <v>196</v>
      </c>
      <c r="H2154" s="38" t="n">
        <v>199.181935086375</v>
      </c>
      <c r="I2154" s="38" t="n">
        <v>199.547574302806</v>
      </c>
      <c r="J2154" s="38" t="n">
        <v>202.313540830332</v>
      </c>
      <c r="K2154" s="38" t="n">
        <v>230.956504019289</v>
      </c>
      <c r="L2154" s="38" t="n">
        <v>74.9093957816087</v>
      </c>
      <c r="M2154" s="38" t="n">
        <v>103.107719145492</v>
      </c>
      <c r="N2154" s="38" t="n">
        <v>106.768605588698</v>
      </c>
      <c r="O2154" s="38" t="n">
        <v>65.9197997994591</v>
      </c>
      <c r="P2154" s="37" t="n">
        <v>0</v>
      </c>
      <c r="Q2154" s="38" t="n">
        <v>0</v>
      </c>
      <c r="R2154" s="38" t="n">
        <v>71.1020273562902</v>
      </c>
      <c r="S2154" s="37" t="n">
        <v>0</v>
      </c>
    </row>
    <row r="2155" customFormat="false" ht="15" hidden="false" customHeight="false" outlineLevel="0" collapsed="false">
      <c r="A2155" s="37" t="n">
        <v>15</v>
      </c>
      <c r="B2155" s="37" t="n">
        <v>5</v>
      </c>
      <c r="C2155" s="37" t="n">
        <v>0</v>
      </c>
      <c r="D2155" s="37" t="n">
        <v>5</v>
      </c>
      <c r="E2155" s="37" t="n">
        <v>5</v>
      </c>
      <c r="F2155" s="37" t="n">
        <v>0</v>
      </c>
      <c r="G2155" s="37" t="s">
        <v>188</v>
      </c>
      <c r="H2155" s="38" t="n">
        <v>199.167326064234</v>
      </c>
      <c r="I2155" s="38" t="n">
        <v>199.889171619124</v>
      </c>
      <c r="J2155" s="38" t="n">
        <v>210.392386544733</v>
      </c>
      <c r="K2155" s="38" t="n">
        <v>243.37171945226</v>
      </c>
      <c r="L2155" s="38" t="n">
        <v>39.6075103398134</v>
      </c>
      <c r="M2155" s="38" t="n">
        <v>104.479554555861</v>
      </c>
      <c r="N2155" s="38" t="n">
        <v>119.785674116731</v>
      </c>
      <c r="O2155" s="38" t="n">
        <v>67.218618247635</v>
      </c>
      <c r="P2155" s="37" t="n">
        <v>0</v>
      </c>
      <c r="Q2155" s="38" t="n">
        <v>0</v>
      </c>
      <c r="R2155" s="38" t="n">
        <v>72</v>
      </c>
      <c r="S2155" s="37" t="n">
        <v>1</v>
      </c>
    </row>
    <row r="2156" customFormat="false" ht="15" hidden="false" customHeight="false" outlineLevel="0" collapsed="false">
      <c r="A2156" s="37" t="n">
        <v>15</v>
      </c>
      <c r="B2156" s="37" t="n">
        <v>5</v>
      </c>
      <c r="C2156" s="37" t="n">
        <v>0</v>
      </c>
      <c r="D2156" s="37" t="n">
        <v>5</v>
      </c>
      <c r="E2156" s="37" t="n">
        <v>5</v>
      </c>
      <c r="F2156" s="37" t="n">
        <v>0</v>
      </c>
      <c r="G2156" s="37" t="s">
        <v>192</v>
      </c>
      <c r="H2156" s="38" t="n">
        <v>199.167326064234</v>
      </c>
      <c r="I2156" s="38" t="n">
        <v>199.650091305451</v>
      </c>
      <c r="J2156" s="38" t="n">
        <v>205.128344363649</v>
      </c>
      <c r="K2156" s="38" t="n">
        <v>235.12601089523</v>
      </c>
      <c r="L2156" s="38" t="n">
        <v>33.7719455304134</v>
      </c>
      <c r="M2156" s="38" t="n">
        <v>98.5596162140705</v>
      </c>
      <c r="N2156" s="38" t="n">
        <v>102.506949423447</v>
      </c>
      <c r="O2156" s="38" t="n">
        <v>64.558530729298</v>
      </c>
      <c r="P2156" s="37" t="n">
        <v>0</v>
      </c>
      <c r="Q2156" s="38" t="n">
        <v>0</v>
      </c>
      <c r="R2156" s="38" t="n">
        <v>72</v>
      </c>
      <c r="S2156" s="37" t="n">
        <v>0</v>
      </c>
    </row>
    <row r="2157" customFormat="false" ht="15" hidden="false" customHeight="false" outlineLevel="0" collapsed="false">
      <c r="A2157" s="37" t="n">
        <v>15</v>
      </c>
      <c r="B2157" s="37" t="n">
        <v>5</v>
      </c>
      <c r="C2157" s="37" t="n">
        <v>0</v>
      </c>
      <c r="D2157" s="37" t="n">
        <v>5</v>
      </c>
      <c r="E2157" s="37" t="n">
        <v>5</v>
      </c>
      <c r="F2157" s="37" t="n">
        <v>0</v>
      </c>
      <c r="G2157" s="37" t="s">
        <v>195</v>
      </c>
      <c r="H2157" s="38" t="n">
        <v>199.167326064234</v>
      </c>
      <c r="I2157" s="38" t="n">
        <v>199.682541472481</v>
      </c>
      <c r="J2157" s="38" t="n">
        <v>202.524708704692</v>
      </c>
      <c r="K2157" s="38" t="n">
        <v>228.897711020108</v>
      </c>
      <c r="L2157" s="38" t="n">
        <v>30.9622539094042</v>
      </c>
      <c r="M2157" s="38" t="n">
        <v>101.133370602656</v>
      </c>
      <c r="N2157" s="38" t="n">
        <v>97.0447236424463</v>
      </c>
      <c r="O2157" s="38" t="n">
        <v>62.0020529312515</v>
      </c>
      <c r="P2157" s="37" t="n">
        <v>0</v>
      </c>
      <c r="Q2157" s="38" t="n">
        <v>0</v>
      </c>
      <c r="R2157" s="38" t="n">
        <v>70.2943628667889</v>
      </c>
      <c r="S2157" s="37" t="n">
        <v>0</v>
      </c>
    </row>
    <row r="2158" customFormat="false" ht="15" hidden="false" customHeight="false" outlineLevel="0" collapsed="false">
      <c r="A2158" s="37" t="n">
        <v>15</v>
      </c>
      <c r="B2158" s="37" t="n">
        <v>5</v>
      </c>
      <c r="C2158" s="37" t="n">
        <v>0</v>
      </c>
      <c r="D2158" s="37" t="n">
        <v>5</v>
      </c>
      <c r="E2158" s="37" t="n">
        <v>5</v>
      </c>
      <c r="F2158" s="37" t="n">
        <v>0</v>
      </c>
      <c r="G2158" s="37" t="s">
        <v>197</v>
      </c>
      <c r="H2158" s="38" t="n">
        <v>199.167326064234</v>
      </c>
      <c r="I2158" s="38" t="n">
        <v>199.659514362822</v>
      </c>
      <c r="J2158" s="38" t="n">
        <v>205.018102007235</v>
      </c>
      <c r="K2158" s="38" t="n">
        <v>235.140264117239</v>
      </c>
      <c r="L2158" s="38" t="n">
        <v>33.1711641475681</v>
      </c>
      <c r="M2158" s="38" t="n">
        <v>104.526772344602</v>
      </c>
      <c r="N2158" s="38" t="n">
        <v>108.046775583881</v>
      </c>
      <c r="O2158" s="38" t="n">
        <v>65.7007567640539</v>
      </c>
      <c r="P2158" s="37" t="n">
        <v>0</v>
      </c>
      <c r="Q2158" s="38" t="n">
        <v>0</v>
      </c>
      <c r="R2158" s="38" t="n">
        <v>72</v>
      </c>
      <c r="S2158" s="37" t="n">
        <v>0</v>
      </c>
    </row>
    <row r="2159" customFormat="false" ht="15" hidden="false" customHeight="false" outlineLevel="0" collapsed="false">
      <c r="A2159" s="37" t="n">
        <v>15</v>
      </c>
      <c r="B2159" s="37" t="n">
        <v>5</v>
      </c>
      <c r="C2159" s="37" t="n">
        <v>0</v>
      </c>
      <c r="D2159" s="37" t="n">
        <v>5</v>
      </c>
      <c r="E2159" s="37" t="n">
        <v>5</v>
      </c>
      <c r="F2159" s="37" t="n">
        <v>0</v>
      </c>
      <c r="G2159" s="37" t="s">
        <v>196</v>
      </c>
      <c r="H2159" s="38" t="n">
        <v>199.167326064234</v>
      </c>
      <c r="I2159" s="38" t="n">
        <v>199.660202695919</v>
      </c>
      <c r="J2159" s="38" t="n">
        <v>205.263462709331</v>
      </c>
      <c r="K2159" s="38" t="n">
        <v>235.457577187493</v>
      </c>
      <c r="L2159" s="38" t="n">
        <v>38.9626576477819</v>
      </c>
      <c r="M2159" s="38" t="n">
        <v>104.635612111851</v>
      </c>
      <c r="N2159" s="38" t="n">
        <v>114.407629577258</v>
      </c>
      <c r="O2159" s="38" t="n">
        <v>67.1189995759086</v>
      </c>
      <c r="P2159" s="37" t="n">
        <v>0</v>
      </c>
      <c r="Q2159" s="38" t="n">
        <v>0</v>
      </c>
      <c r="R2159" s="38" t="n">
        <v>70.9945526438026</v>
      </c>
      <c r="S2159" s="37" t="n">
        <v>0</v>
      </c>
    </row>
    <row r="2160" customFormat="false" ht="15" hidden="false" customHeight="false" outlineLevel="0" collapsed="false">
      <c r="A2160" s="37" t="n">
        <v>15</v>
      </c>
      <c r="B2160" s="37" t="n">
        <v>5</v>
      </c>
      <c r="C2160" s="37" t="n">
        <v>0</v>
      </c>
      <c r="D2160" s="37" t="n">
        <v>10</v>
      </c>
      <c r="E2160" s="37" t="n">
        <v>0</v>
      </c>
      <c r="F2160" s="37" t="n">
        <v>0</v>
      </c>
      <c r="G2160" s="37" t="s">
        <v>188</v>
      </c>
      <c r="H2160" s="38" t="n">
        <v>199.38833657349</v>
      </c>
      <c r="I2160" s="38" t="n">
        <v>200.669203817463</v>
      </c>
      <c r="J2160" s="38" t="n">
        <v>210.898561558716</v>
      </c>
      <c r="K2160" s="38" t="n">
        <v>238.688255269238</v>
      </c>
      <c r="L2160" s="38" t="n">
        <v>35.209489910412</v>
      </c>
      <c r="M2160" s="38" t="n">
        <v>104.346702169419</v>
      </c>
      <c r="N2160" s="38" t="n">
        <v>111.21193747962</v>
      </c>
      <c r="O2160" s="38" t="n">
        <v>67.8842813442322</v>
      </c>
      <c r="P2160" s="37" t="n">
        <v>0</v>
      </c>
      <c r="Q2160" s="38" t="n">
        <v>0</v>
      </c>
      <c r="R2160" s="38" t="n">
        <v>72</v>
      </c>
      <c r="S2160" s="37" t="n">
        <v>1</v>
      </c>
    </row>
    <row r="2161" customFormat="false" ht="15" hidden="false" customHeight="false" outlineLevel="0" collapsed="false">
      <c r="A2161" s="37" t="n">
        <v>15</v>
      </c>
      <c r="B2161" s="37" t="n">
        <v>5</v>
      </c>
      <c r="C2161" s="37" t="n">
        <v>0</v>
      </c>
      <c r="D2161" s="37" t="n">
        <v>10</v>
      </c>
      <c r="E2161" s="37" t="n">
        <v>0</v>
      </c>
      <c r="F2161" s="37" t="n">
        <v>0</v>
      </c>
      <c r="G2161" s="37" t="s">
        <v>192</v>
      </c>
      <c r="H2161" s="38" t="n">
        <v>199.38833657349</v>
      </c>
      <c r="I2161" s="38" t="n">
        <v>200.403096687152</v>
      </c>
      <c r="J2161" s="38" t="n">
        <v>205.476330838967</v>
      </c>
      <c r="K2161" s="38" t="n">
        <v>229.753697526663</v>
      </c>
      <c r="L2161" s="38" t="n">
        <v>28.6538851245539</v>
      </c>
      <c r="M2161" s="38" t="n">
        <v>98.2729805447684</v>
      </c>
      <c r="N2161" s="38" t="n">
        <v>93.7119794293075</v>
      </c>
      <c r="O2161" s="38" t="n">
        <v>65.0167408886487</v>
      </c>
      <c r="P2161" s="37" t="n">
        <v>0</v>
      </c>
      <c r="Q2161" s="38" t="n">
        <v>0</v>
      </c>
      <c r="R2161" s="38" t="n">
        <v>72</v>
      </c>
      <c r="S2161" s="37" t="n">
        <v>0</v>
      </c>
    </row>
    <row r="2162" customFormat="false" ht="15" hidden="false" customHeight="false" outlineLevel="0" collapsed="false">
      <c r="A2162" s="37" t="n">
        <v>15</v>
      </c>
      <c r="B2162" s="37" t="n">
        <v>5</v>
      </c>
      <c r="C2162" s="37" t="n">
        <v>0</v>
      </c>
      <c r="D2162" s="37" t="n">
        <v>10</v>
      </c>
      <c r="E2162" s="37" t="n">
        <v>0</v>
      </c>
      <c r="F2162" s="37" t="n">
        <v>0</v>
      </c>
      <c r="G2162" s="37" t="s">
        <v>195</v>
      </c>
      <c r="H2162" s="38" t="n">
        <v>199.38833657349</v>
      </c>
      <c r="I2162" s="38" t="n">
        <v>200.488747483191</v>
      </c>
      <c r="J2162" s="38" t="n">
        <v>203.478107317793</v>
      </c>
      <c r="K2162" s="38" t="n">
        <v>227.513195062754</v>
      </c>
      <c r="L2162" s="38" t="n">
        <v>34.2631950627541</v>
      </c>
      <c r="M2162" s="38" t="n">
        <v>102.109522158412</v>
      </c>
      <c r="N2162" s="38" t="n">
        <v>100.334718608346</v>
      </c>
      <c r="O2162" s="38" t="n">
        <v>63.7695322441625</v>
      </c>
      <c r="P2162" s="37" t="n">
        <v>0</v>
      </c>
      <c r="Q2162" s="38" t="n">
        <v>0</v>
      </c>
      <c r="R2162" s="38" t="n">
        <v>67.2643429592989</v>
      </c>
      <c r="S2162" s="37" t="n">
        <v>0</v>
      </c>
    </row>
    <row r="2163" customFormat="false" ht="15" hidden="false" customHeight="false" outlineLevel="0" collapsed="false">
      <c r="A2163" s="37" t="n">
        <v>15</v>
      </c>
      <c r="B2163" s="37" t="n">
        <v>5</v>
      </c>
      <c r="C2163" s="37" t="n">
        <v>0</v>
      </c>
      <c r="D2163" s="37" t="n">
        <v>10</v>
      </c>
      <c r="E2163" s="37" t="n">
        <v>0</v>
      </c>
      <c r="F2163" s="37" t="n">
        <v>0</v>
      </c>
      <c r="G2163" s="37" t="s">
        <v>197</v>
      </c>
      <c r="H2163" s="38" t="n">
        <v>199.38833657349</v>
      </c>
      <c r="I2163" s="38" t="n">
        <v>200.400740963421</v>
      </c>
      <c r="J2163" s="38" t="n">
        <v>204.746580793862</v>
      </c>
      <c r="K2163" s="38" t="n">
        <v>228.850750943187</v>
      </c>
      <c r="L2163" s="38" t="n">
        <v>26.5898250535004</v>
      </c>
      <c r="M2163" s="38" t="n">
        <v>101.021529976637</v>
      </c>
      <c r="N2163" s="38" t="n">
        <v>88.8988833082693</v>
      </c>
      <c r="O2163" s="38" t="n">
        <v>62.3271203326171</v>
      </c>
      <c r="P2163" s="37" t="n">
        <v>0</v>
      </c>
      <c r="Q2163" s="38" t="n">
        <v>0</v>
      </c>
      <c r="R2163" s="38" t="n">
        <v>72</v>
      </c>
      <c r="S2163" s="37" t="n">
        <v>0</v>
      </c>
    </row>
    <row r="2164" customFormat="false" ht="15" hidden="false" customHeight="false" outlineLevel="0" collapsed="false">
      <c r="A2164" s="37" t="n">
        <v>15</v>
      </c>
      <c r="B2164" s="37" t="n">
        <v>5</v>
      </c>
      <c r="C2164" s="37" t="n">
        <v>0</v>
      </c>
      <c r="D2164" s="37" t="n">
        <v>10</v>
      </c>
      <c r="E2164" s="37" t="n">
        <v>0</v>
      </c>
      <c r="F2164" s="37" t="n">
        <v>0</v>
      </c>
      <c r="G2164" s="37" t="s">
        <v>196</v>
      </c>
      <c r="H2164" s="38" t="n">
        <v>199.38833657349</v>
      </c>
      <c r="I2164" s="38" t="n">
        <v>200.409683139044</v>
      </c>
      <c r="J2164" s="38" t="n">
        <v>197.967390450179</v>
      </c>
      <c r="K2164" s="38" t="n">
        <v>231.094067777172</v>
      </c>
      <c r="L2164" s="38" t="n">
        <v>37.5385122216164</v>
      </c>
      <c r="M2164" s="38" t="n">
        <v>104.216165211663</v>
      </c>
      <c r="N2164" s="38" t="n">
        <v>106.310179166524</v>
      </c>
      <c r="O2164" s="38" t="n">
        <v>64.7957035686181</v>
      </c>
      <c r="P2164" s="37" t="n">
        <v>0</v>
      </c>
      <c r="Q2164" s="38" t="n">
        <v>0</v>
      </c>
      <c r="R2164" s="38" t="n">
        <v>70.604</v>
      </c>
      <c r="S2164" s="37" t="n">
        <v>0</v>
      </c>
    </row>
    <row r="2165" customFormat="false" ht="15" hidden="false" customHeight="false" outlineLevel="0" collapsed="false">
      <c r="A2165" s="37" t="n">
        <v>15</v>
      </c>
      <c r="B2165" s="37" t="n">
        <v>5</v>
      </c>
      <c r="C2165" s="37" t="n">
        <v>5</v>
      </c>
      <c r="D2165" s="37" t="n">
        <v>0</v>
      </c>
      <c r="E2165" s="37" t="n">
        <v>0</v>
      </c>
      <c r="F2165" s="37" t="n">
        <v>5</v>
      </c>
      <c r="G2165" s="37" t="s">
        <v>188</v>
      </c>
      <c r="H2165" s="38" t="n">
        <v>199.120266149873</v>
      </c>
      <c r="I2165" s="38" t="n">
        <v>200.736793639873</v>
      </c>
      <c r="J2165" s="38" t="n">
        <v>220.721078523237</v>
      </c>
      <c r="K2165" s="38" t="n">
        <v>269.721295428425</v>
      </c>
      <c r="L2165" s="38" t="n">
        <v>106.275871232763</v>
      </c>
      <c r="M2165" s="38" t="n">
        <v>108.129032221228</v>
      </c>
      <c r="N2165" s="38" t="n">
        <v>140.669954358646</v>
      </c>
      <c r="O2165" s="38" t="n">
        <v>74.8888471063155</v>
      </c>
      <c r="P2165" s="37" t="n">
        <v>0</v>
      </c>
      <c r="Q2165" s="38" t="n">
        <v>0</v>
      </c>
      <c r="R2165" s="38" t="n">
        <v>70.5</v>
      </c>
      <c r="S2165" s="37" t="n">
        <v>1</v>
      </c>
    </row>
    <row r="2166" customFormat="false" ht="15" hidden="false" customHeight="false" outlineLevel="0" collapsed="false">
      <c r="A2166" s="37" t="n">
        <v>15</v>
      </c>
      <c r="B2166" s="37" t="n">
        <v>5</v>
      </c>
      <c r="C2166" s="37" t="n">
        <v>5</v>
      </c>
      <c r="D2166" s="37" t="n">
        <v>0</v>
      </c>
      <c r="E2166" s="37" t="n">
        <v>0</v>
      </c>
      <c r="F2166" s="37" t="n">
        <v>5</v>
      </c>
      <c r="G2166" s="37" t="s">
        <v>192</v>
      </c>
      <c r="H2166" s="38" t="n">
        <v>199.120266149873</v>
      </c>
      <c r="I2166" s="38" t="n">
        <v>200.403838235671</v>
      </c>
      <c r="J2166" s="38" t="n">
        <v>213.848710840196</v>
      </c>
      <c r="K2166" s="38" t="n">
        <v>258.414406556692</v>
      </c>
      <c r="L2166" s="38" t="n">
        <v>97.1339935102323</v>
      </c>
      <c r="M2166" s="38" t="n">
        <v>101.901251031816</v>
      </c>
      <c r="N2166" s="38" t="n">
        <v>126.499575715853</v>
      </c>
      <c r="O2166" s="38" t="n">
        <v>70.7930113221661</v>
      </c>
      <c r="P2166" s="37" t="n">
        <v>0</v>
      </c>
      <c r="Q2166" s="38" t="n">
        <v>0</v>
      </c>
      <c r="R2166" s="38" t="n">
        <v>70.5</v>
      </c>
      <c r="S2166" s="37" t="n">
        <v>0</v>
      </c>
    </row>
    <row r="2167" customFormat="false" ht="15" hidden="false" customHeight="false" outlineLevel="0" collapsed="false">
      <c r="A2167" s="37" t="n">
        <v>15</v>
      </c>
      <c r="B2167" s="37" t="n">
        <v>5</v>
      </c>
      <c r="C2167" s="37" t="n">
        <v>5</v>
      </c>
      <c r="D2167" s="37" t="n">
        <v>0</v>
      </c>
      <c r="E2167" s="37" t="n">
        <v>0</v>
      </c>
      <c r="F2167" s="37" t="n">
        <v>5</v>
      </c>
      <c r="G2167" s="37" t="s">
        <v>195</v>
      </c>
      <c r="H2167" s="38" t="n">
        <v>199.120266149873</v>
      </c>
      <c r="I2167" s="38" t="n">
        <v>200.400130487955</v>
      </c>
      <c r="J2167" s="38" t="n">
        <v>208.638881082612</v>
      </c>
      <c r="K2167" s="38" t="n">
        <v>248.288581643601</v>
      </c>
      <c r="L2167" s="38" t="n">
        <v>89.2617313095658</v>
      </c>
      <c r="M2167" s="38" t="n">
        <v>102.856081051976</v>
      </c>
      <c r="N2167" s="38" t="n">
        <v>115.78038954147</v>
      </c>
      <c r="O2167" s="38" t="n">
        <v>63.2953650207654</v>
      </c>
      <c r="P2167" s="37" t="n">
        <v>0</v>
      </c>
      <c r="Q2167" s="38" t="n">
        <v>0</v>
      </c>
      <c r="R2167" s="38" t="n">
        <v>68.4669448997895</v>
      </c>
      <c r="S2167" s="37" t="n">
        <v>0</v>
      </c>
    </row>
    <row r="2168" customFormat="false" ht="15" hidden="false" customHeight="false" outlineLevel="0" collapsed="false">
      <c r="A2168" s="37" t="n">
        <v>15</v>
      </c>
      <c r="B2168" s="37" t="n">
        <v>5</v>
      </c>
      <c r="C2168" s="37" t="n">
        <v>5</v>
      </c>
      <c r="D2168" s="37" t="n">
        <v>0</v>
      </c>
      <c r="E2168" s="37" t="n">
        <v>0</v>
      </c>
      <c r="F2168" s="37" t="n">
        <v>5</v>
      </c>
      <c r="G2168" s="37" t="s">
        <v>197</v>
      </c>
      <c r="H2168" s="38" t="n">
        <v>199.120266149873</v>
      </c>
      <c r="I2168" s="38" t="n">
        <v>200.3887613796</v>
      </c>
      <c r="J2168" s="38" t="n">
        <v>212.536861668774</v>
      </c>
      <c r="K2168" s="38" t="n">
        <v>256.689109554903</v>
      </c>
      <c r="L2168" s="38" t="n">
        <v>94.1014606546285</v>
      </c>
      <c r="M2168" s="38" t="n">
        <v>102.428228224633</v>
      </c>
      <c r="N2168" s="38" t="n">
        <v>117.29257251403</v>
      </c>
      <c r="O2168" s="38" t="n">
        <v>65.1793393422481</v>
      </c>
      <c r="P2168" s="37" t="n">
        <v>0</v>
      </c>
      <c r="Q2168" s="38" t="n">
        <v>0</v>
      </c>
      <c r="R2168" s="38" t="n">
        <v>70.5</v>
      </c>
      <c r="S2168" s="37" t="n">
        <v>0</v>
      </c>
    </row>
    <row r="2169" customFormat="false" ht="15" hidden="false" customHeight="false" outlineLevel="0" collapsed="false">
      <c r="A2169" s="37" t="n">
        <v>15</v>
      </c>
      <c r="B2169" s="37" t="n">
        <v>5</v>
      </c>
      <c r="C2169" s="37" t="n">
        <v>5</v>
      </c>
      <c r="D2169" s="37" t="n">
        <v>0</v>
      </c>
      <c r="E2169" s="37" t="n">
        <v>0</v>
      </c>
      <c r="F2169" s="37" t="n">
        <v>5</v>
      </c>
      <c r="G2169" s="37" t="s">
        <v>196</v>
      </c>
      <c r="H2169" s="38" t="n">
        <v>199.120266149873</v>
      </c>
      <c r="I2169" s="38" t="n">
        <v>200.411454153765</v>
      </c>
      <c r="J2169" s="38" t="n">
        <v>213.390779119671</v>
      </c>
      <c r="K2169" s="38" t="n">
        <v>258.102960842632</v>
      </c>
      <c r="L2169" s="38" t="n">
        <v>101.52419049845</v>
      </c>
      <c r="M2169" s="38" t="n">
        <v>105.422775998149</v>
      </c>
      <c r="N2169" s="38" t="n">
        <v>126.789413206275</v>
      </c>
      <c r="O2169" s="38" t="n">
        <v>71.5484743312584</v>
      </c>
      <c r="P2169" s="37" t="n">
        <v>0</v>
      </c>
      <c r="Q2169" s="38" t="n">
        <v>0</v>
      </c>
      <c r="R2169" s="38" t="n">
        <v>69.4744284507297</v>
      </c>
      <c r="S2169" s="37" t="n">
        <v>0</v>
      </c>
    </row>
    <row r="2170" customFormat="false" ht="15" hidden="false" customHeight="false" outlineLevel="0" collapsed="false">
      <c r="A2170" s="37" t="n">
        <v>15</v>
      </c>
      <c r="B2170" s="37" t="n">
        <v>5</v>
      </c>
      <c r="C2170" s="37" t="n">
        <v>5</v>
      </c>
      <c r="D2170" s="37" t="n">
        <v>0</v>
      </c>
      <c r="E2170" s="37" t="n">
        <v>5</v>
      </c>
      <c r="F2170" s="37" t="n">
        <v>0</v>
      </c>
      <c r="G2170" s="37" t="s">
        <v>188</v>
      </c>
      <c r="H2170" s="38" t="n">
        <v>199.0838757589</v>
      </c>
      <c r="I2170" s="38" t="n">
        <v>200.502955853505</v>
      </c>
      <c r="J2170" s="38" t="n">
        <v>221.876870302081</v>
      </c>
      <c r="K2170" s="38" t="n">
        <v>269.718400861326</v>
      </c>
      <c r="L2170" s="38" t="n">
        <v>66.3068472068692</v>
      </c>
      <c r="M2170" s="38" t="n">
        <v>107.999107489463</v>
      </c>
      <c r="N2170" s="38" t="n">
        <v>145.105657572192</v>
      </c>
      <c r="O2170" s="38" t="n">
        <v>74.1149104961144</v>
      </c>
      <c r="P2170" s="37" t="n">
        <v>0</v>
      </c>
      <c r="Q2170" s="38" t="n">
        <v>0</v>
      </c>
      <c r="R2170" s="38" t="n">
        <v>70.5</v>
      </c>
      <c r="S2170" s="37" t="n">
        <v>1</v>
      </c>
    </row>
    <row r="2171" customFormat="false" ht="15" hidden="false" customHeight="false" outlineLevel="0" collapsed="false">
      <c r="A2171" s="37" t="n">
        <v>15</v>
      </c>
      <c r="B2171" s="37" t="n">
        <v>5</v>
      </c>
      <c r="C2171" s="37" t="n">
        <v>5</v>
      </c>
      <c r="D2171" s="37" t="n">
        <v>0</v>
      </c>
      <c r="E2171" s="37" t="n">
        <v>5</v>
      </c>
      <c r="F2171" s="37" t="n">
        <v>0</v>
      </c>
      <c r="G2171" s="37" t="s">
        <v>192</v>
      </c>
      <c r="H2171" s="38" t="n">
        <v>199.0838757589</v>
      </c>
      <c r="I2171" s="38" t="n">
        <v>200.195635069341</v>
      </c>
      <c r="J2171" s="38" t="n">
        <v>214.904252819734</v>
      </c>
      <c r="K2171" s="38" t="n">
        <v>258.734016887419</v>
      </c>
      <c r="L2171" s="38" t="n">
        <v>57.3744464862343</v>
      </c>
      <c r="M2171" s="38" t="n">
        <v>101.971885627018</v>
      </c>
      <c r="N2171" s="38" t="n">
        <v>130.024319879919</v>
      </c>
      <c r="O2171" s="38" t="n">
        <v>69.7590913809442</v>
      </c>
      <c r="P2171" s="37" t="n">
        <v>0</v>
      </c>
      <c r="Q2171" s="38" t="n">
        <v>0</v>
      </c>
      <c r="R2171" s="38" t="n">
        <v>70.5</v>
      </c>
      <c r="S2171" s="37" t="n">
        <v>0</v>
      </c>
    </row>
    <row r="2172" customFormat="false" ht="15" hidden="false" customHeight="false" outlineLevel="0" collapsed="false">
      <c r="A2172" s="37" t="n">
        <v>15</v>
      </c>
      <c r="B2172" s="37" t="n">
        <v>5</v>
      </c>
      <c r="C2172" s="37" t="n">
        <v>5</v>
      </c>
      <c r="D2172" s="37" t="n">
        <v>0</v>
      </c>
      <c r="E2172" s="37" t="n">
        <v>5</v>
      </c>
      <c r="F2172" s="37" t="n">
        <v>0</v>
      </c>
      <c r="G2172" s="37" t="s">
        <v>195</v>
      </c>
      <c r="H2172" s="38" t="n">
        <v>199.0838757589</v>
      </c>
      <c r="I2172" s="38" t="n">
        <v>200.191375641208</v>
      </c>
      <c r="J2172" s="38" t="n">
        <v>209.234959437371</v>
      </c>
      <c r="K2172" s="38" t="n">
        <v>247.980449867798</v>
      </c>
      <c r="L2172" s="38" t="n">
        <v>48.8052959849485</v>
      </c>
      <c r="M2172" s="38" t="n">
        <v>103.054304402461</v>
      </c>
      <c r="N2172" s="38" t="n">
        <v>118.851573958865</v>
      </c>
      <c r="O2172" s="38" t="n">
        <v>62.3955369561432</v>
      </c>
      <c r="P2172" s="37" t="n">
        <v>0</v>
      </c>
      <c r="Q2172" s="38" t="n">
        <v>0</v>
      </c>
      <c r="R2172" s="38" t="n">
        <v>68.4224538351453</v>
      </c>
      <c r="S2172" s="37" t="n">
        <v>0</v>
      </c>
    </row>
    <row r="2173" customFormat="false" ht="15" hidden="false" customHeight="false" outlineLevel="0" collapsed="false">
      <c r="A2173" s="37" t="n">
        <v>15</v>
      </c>
      <c r="B2173" s="37" t="n">
        <v>5</v>
      </c>
      <c r="C2173" s="37" t="n">
        <v>5</v>
      </c>
      <c r="D2173" s="37" t="n">
        <v>0</v>
      </c>
      <c r="E2173" s="37" t="n">
        <v>5</v>
      </c>
      <c r="F2173" s="37" t="n">
        <v>0</v>
      </c>
      <c r="G2173" s="37" t="s">
        <v>197</v>
      </c>
      <c r="H2173" s="38" t="n">
        <v>199.0838757589</v>
      </c>
      <c r="I2173" s="38" t="n">
        <v>200.194040078071</v>
      </c>
      <c r="J2173" s="38" t="n">
        <v>214.167278584446</v>
      </c>
      <c r="K2173" s="38" t="n">
        <v>257.896761538986</v>
      </c>
      <c r="L2173" s="38" t="n">
        <v>55.7389447440806</v>
      </c>
      <c r="M2173" s="38" t="n">
        <v>105.772022538207</v>
      </c>
      <c r="N2173" s="38" t="n">
        <v>129.531573123817</v>
      </c>
      <c r="O2173" s="38" t="n">
        <v>69.3054337253615</v>
      </c>
      <c r="P2173" s="37" t="n">
        <v>0</v>
      </c>
      <c r="Q2173" s="38" t="n">
        <v>0</v>
      </c>
      <c r="R2173" s="38" t="n">
        <v>70.5</v>
      </c>
      <c r="S2173" s="37" t="n">
        <v>0</v>
      </c>
    </row>
    <row r="2174" customFormat="false" ht="15" hidden="false" customHeight="false" outlineLevel="0" collapsed="false">
      <c r="A2174" s="37" t="n">
        <v>15</v>
      </c>
      <c r="B2174" s="37" t="n">
        <v>5</v>
      </c>
      <c r="C2174" s="37" t="n">
        <v>5</v>
      </c>
      <c r="D2174" s="37" t="n">
        <v>0</v>
      </c>
      <c r="E2174" s="37" t="n">
        <v>5</v>
      </c>
      <c r="F2174" s="37" t="n">
        <v>0</v>
      </c>
      <c r="G2174" s="37" t="s">
        <v>196</v>
      </c>
      <c r="H2174" s="38" t="n">
        <v>199.0838757589</v>
      </c>
      <c r="I2174" s="38" t="n">
        <v>200.212955900233</v>
      </c>
      <c r="J2174" s="38" t="n">
        <v>214.386611874364</v>
      </c>
      <c r="K2174" s="38" t="n">
        <v>258.508088626286</v>
      </c>
      <c r="L2174" s="38" t="n">
        <v>61.4656601897817</v>
      </c>
      <c r="M2174" s="38" t="n">
        <v>106.175093404821</v>
      </c>
      <c r="N2174" s="38" t="n">
        <v>132.114774564013</v>
      </c>
      <c r="O2174" s="38" t="n">
        <v>71.6045402367346</v>
      </c>
      <c r="P2174" s="37" t="n">
        <v>0</v>
      </c>
      <c r="Q2174" s="38" t="n">
        <v>0</v>
      </c>
      <c r="R2174" s="38" t="n">
        <v>69.3631505085723</v>
      </c>
      <c r="S2174" s="37" t="n">
        <v>0</v>
      </c>
    </row>
    <row r="2175" customFormat="false" ht="15" hidden="false" customHeight="false" outlineLevel="0" collapsed="false">
      <c r="A2175" s="37" t="n">
        <v>15</v>
      </c>
      <c r="B2175" s="37" t="n">
        <v>5</v>
      </c>
      <c r="C2175" s="37" t="n">
        <v>5</v>
      </c>
      <c r="D2175" s="37" t="n">
        <v>5</v>
      </c>
      <c r="E2175" s="37" t="n">
        <v>0</v>
      </c>
      <c r="F2175" s="37" t="n">
        <v>0</v>
      </c>
      <c r="G2175" s="37" t="s">
        <v>188</v>
      </c>
      <c r="H2175" s="38" t="n">
        <v>199.256622224212</v>
      </c>
      <c r="I2175" s="38" t="n">
        <v>201.791924652913</v>
      </c>
      <c r="J2175" s="38" t="n">
        <v>229.799146110438</v>
      </c>
      <c r="K2175" s="38" t="n">
        <v>271.728895457211</v>
      </c>
      <c r="L2175" s="38" t="n">
        <v>69.1662303368164</v>
      </c>
      <c r="M2175" s="38" t="n">
        <v>108.992565932517</v>
      </c>
      <c r="N2175" s="38" t="n">
        <v>149.503252099696</v>
      </c>
      <c r="O2175" s="38" t="n">
        <v>80.14175475247</v>
      </c>
      <c r="P2175" s="37" t="n">
        <v>0</v>
      </c>
      <c r="Q2175" s="38" t="n">
        <v>0</v>
      </c>
      <c r="R2175" s="38" t="n">
        <v>72</v>
      </c>
      <c r="S2175" s="37" t="n">
        <v>1</v>
      </c>
    </row>
    <row r="2176" customFormat="false" ht="15" hidden="false" customHeight="false" outlineLevel="0" collapsed="false">
      <c r="A2176" s="37" t="n">
        <v>15</v>
      </c>
      <c r="B2176" s="37" t="n">
        <v>5</v>
      </c>
      <c r="C2176" s="37" t="n">
        <v>5</v>
      </c>
      <c r="D2176" s="37" t="n">
        <v>5</v>
      </c>
      <c r="E2176" s="37" t="n">
        <v>0</v>
      </c>
      <c r="F2176" s="37" t="n">
        <v>0</v>
      </c>
      <c r="G2176" s="37" t="s">
        <v>192</v>
      </c>
      <c r="H2176" s="38" t="n">
        <v>199.256622224212</v>
      </c>
      <c r="I2176" s="38" t="n">
        <v>201.454334184963</v>
      </c>
      <c r="J2176" s="38" t="n">
        <v>222.087919082967</v>
      </c>
      <c r="K2176" s="38" t="n">
        <v>259.524914705219</v>
      </c>
      <c r="L2176" s="38" t="n">
        <v>58.5916336461125</v>
      </c>
      <c r="M2176" s="38" t="n">
        <v>102.846210749638</v>
      </c>
      <c r="N2176" s="38" t="n">
        <v>134.597485608619</v>
      </c>
      <c r="O2176" s="38" t="n">
        <v>75.2095945278254</v>
      </c>
      <c r="P2176" s="37" t="n">
        <v>0</v>
      </c>
      <c r="Q2176" s="38" t="n">
        <v>0</v>
      </c>
      <c r="R2176" s="38" t="n">
        <v>72</v>
      </c>
      <c r="S2176" s="37" t="n">
        <v>0</v>
      </c>
    </row>
    <row r="2177" customFormat="false" ht="15" hidden="false" customHeight="false" outlineLevel="0" collapsed="false">
      <c r="A2177" s="37" t="n">
        <v>15</v>
      </c>
      <c r="B2177" s="37" t="n">
        <v>5</v>
      </c>
      <c r="C2177" s="37" t="n">
        <v>5</v>
      </c>
      <c r="D2177" s="37" t="n">
        <v>5</v>
      </c>
      <c r="E2177" s="37" t="n">
        <v>0</v>
      </c>
      <c r="F2177" s="37" t="n">
        <v>0</v>
      </c>
      <c r="G2177" s="37" t="s">
        <v>195</v>
      </c>
      <c r="H2177" s="38" t="n">
        <v>199.256622224212</v>
      </c>
      <c r="I2177" s="38" t="n">
        <v>201.518706605175</v>
      </c>
      <c r="J2177" s="38" t="n">
        <v>220.123449269447</v>
      </c>
      <c r="K2177" s="38" t="n">
        <v>254.507765927298</v>
      </c>
      <c r="L2177" s="38" t="n">
        <v>56.8565095850295</v>
      </c>
      <c r="M2177" s="38" t="n">
        <v>105.490358931136</v>
      </c>
      <c r="N2177" s="38" t="n">
        <v>132.554024293032</v>
      </c>
      <c r="O2177" s="38" t="n">
        <v>73.0263400469989</v>
      </c>
      <c r="P2177" s="37" t="n">
        <v>0</v>
      </c>
      <c r="Q2177" s="38" t="n">
        <v>0</v>
      </c>
      <c r="R2177" s="38" t="n">
        <v>70.3796230973195</v>
      </c>
      <c r="S2177" s="37" t="n">
        <v>0</v>
      </c>
    </row>
    <row r="2178" customFormat="false" ht="15" hidden="false" customHeight="false" outlineLevel="0" collapsed="false">
      <c r="A2178" s="37" t="n">
        <v>15</v>
      </c>
      <c r="B2178" s="37" t="n">
        <v>5</v>
      </c>
      <c r="C2178" s="37" t="n">
        <v>5</v>
      </c>
      <c r="D2178" s="37" t="n">
        <v>5</v>
      </c>
      <c r="E2178" s="37" t="n">
        <v>0</v>
      </c>
      <c r="F2178" s="37" t="n">
        <v>0</v>
      </c>
      <c r="G2178" s="37" t="s">
        <v>197</v>
      </c>
      <c r="H2178" s="38" t="n">
        <v>199.256622224212</v>
      </c>
      <c r="I2178" s="38" t="n">
        <v>201.435439609952</v>
      </c>
      <c r="J2178" s="38" t="n">
        <v>220.623234063222</v>
      </c>
      <c r="K2178" s="38" t="n">
        <v>257.523129573193</v>
      </c>
      <c r="L2178" s="38" t="n">
        <v>55.1636600542638</v>
      </c>
      <c r="M2178" s="38" t="n">
        <v>103.550697710907</v>
      </c>
      <c r="N2178" s="38" t="n">
        <v>125.488794469527</v>
      </c>
      <c r="O2178" s="38" t="n">
        <v>71.1567202492832</v>
      </c>
      <c r="P2178" s="37" t="n">
        <v>0</v>
      </c>
      <c r="Q2178" s="38" t="n">
        <v>0</v>
      </c>
      <c r="R2178" s="38" t="n">
        <v>72</v>
      </c>
      <c r="S2178" s="37" t="n">
        <v>0</v>
      </c>
    </row>
    <row r="2179" customFormat="false" ht="15" hidden="false" customHeight="false" outlineLevel="0" collapsed="false">
      <c r="A2179" s="37" t="n">
        <v>15</v>
      </c>
      <c r="B2179" s="37" t="n">
        <v>5</v>
      </c>
      <c r="C2179" s="37" t="n">
        <v>5</v>
      </c>
      <c r="D2179" s="37" t="n">
        <v>5</v>
      </c>
      <c r="E2179" s="37" t="n">
        <v>0</v>
      </c>
      <c r="F2179" s="37" t="n">
        <v>0</v>
      </c>
      <c r="G2179" s="37" t="s">
        <v>196</v>
      </c>
      <c r="H2179" s="38" t="n">
        <v>199.256622224212</v>
      </c>
      <c r="I2179" s="38" t="n">
        <v>201.463773962374</v>
      </c>
      <c r="J2179" s="38" t="n">
        <v>221.704933157161</v>
      </c>
      <c r="K2179" s="38" t="n">
        <v>259.308617648921</v>
      </c>
      <c r="L2179" s="38" t="n">
        <v>62.7498604093707</v>
      </c>
      <c r="M2179" s="38" t="n">
        <v>106.990316005527</v>
      </c>
      <c r="N2179" s="38" t="n">
        <v>136.377163498137</v>
      </c>
      <c r="O2179" s="38" t="n">
        <v>75.9838260473891</v>
      </c>
      <c r="P2179" s="37" t="n">
        <v>0</v>
      </c>
      <c r="Q2179" s="38" t="n">
        <v>0</v>
      </c>
      <c r="R2179" s="38" t="n">
        <v>70.9792315958412</v>
      </c>
      <c r="S2179" s="37" t="n">
        <v>0</v>
      </c>
    </row>
    <row r="2180" customFormat="false" ht="15" hidden="false" customHeight="false" outlineLevel="0" collapsed="false">
      <c r="A2180" s="37" t="n">
        <v>15</v>
      </c>
      <c r="B2180" s="37" t="n">
        <v>5</v>
      </c>
      <c r="C2180" s="37" t="n">
        <v>10</v>
      </c>
      <c r="D2180" s="37" t="n">
        <v>0</v>
      </c>
      <c r="E2180" s="37" t="n">
        <v>0</v>
      </c>
      <c r="F2180" s="37" t="n">
        <v>0</v>
      </c>
      <c r="G2180" s="37" t="s">
        <v>188</v>
      </c>
      <c r="H2180" s="38" t="n">
        <v>199.28928205206</v>
      </c>
      <c r="I2180" s="38" t="n">
        <v>203.739698824197</v>
      </c>
      <c r="J2180" s="38" t="n">
        <v>235.573057543074</v>
      </c>
      <c r="K2180" s="38" t="n">
        <v>296.004408286669</v>
      </c>
      <c r="L2180" s="38" t="n">
        <v>93.9731826363504</v>
      </c>
      <c r="M2180" s="38" t="n">
        <v>114.889992054069</v>
      </c>
      <c r="N2180" s="38" t="n">
        <v>160.491790924101</v>
      </c>
      <c r="O2180" s="38" t="n">
        <v>80.1892836795104</v>
      </c>
      <c r="P2180" s="37" t="n">
        <v>0</v>
      </c>
      <c r="Q2180" s="38" t="n">
        <v>0</v>
      </c>
      <c r="R2180" s="38" t="n">
        <v>70.5</v>
      </c>
      <c r="S2180" s="37" t="n">
        <v>1</v>
      </c>
    </row>
    <row r="2181" customFormat="false" ht="15" hidden="false" customHeight="false" outlineLevel="0" collapsed="false">
      <c r="A2181" s="37" t="n">
        <v>15</v>
      </c>
      <c r="B2181" s="37" t="n">
        <v>5</v>
      </c>
      <c r="C2181" s="37" t="n">
        <v>10</v>
      </c>
      <c r="D2181" s="37" t="n">
        <v>0</v>
      </c>
      <c r="E2181" s="37" t="n">
        <v>0</v>
      </c>
      <c r="F2181" s="37" t="n">
        <v>0</v>
      </c>
      <c r="G2181" s="37" t="s">
        <v>192</v>
      </c>
      <c r="H2181" s="38" t="n">
        <v>199.28928205206</v>
      </c>
      <c r="I2181" s="38" t="n">
        <v>203.296295149593</v>
      </c>
      <c r="J2181" s="38" t="n">
        <v>234.881524014024</v>
      </c>
      <c r="K2181" s="38" t="n">
        <v>285.706880210197</v>
      </c>
      <c r="L2181" s="38" t="n">
        <v>73.737372676193</v>
      </c>
      <c r="M2181" s="38" t="n">
        <v>108.460663551882</v>
      </c>
      <c r="N2181" s="38" t="n">
        <v>149.040881536593</v>
      </c>
      <c r="O2181" s="38" t="n">
        <v>76.5271975208359</v>
      </c>
      <c r="P2181" s="37" t="n">
        <v>0</v>
      </c>
      <c r="Q2181" s="38" t="n">
        <v>0</v>
      </c>
      <c r="R2181" s="38" t="n">
        <v>70.5</v>
      </c>
      <c r="S2181" s="37" t="n">
        <v>0</v>
      </c>
    </row>
    <row r="2182" customFormat="false" ht="15" hidden="false" customHeight="false" outlineLevel="0" collapsed="false">
      <c r="A2182" s="37" t="n">
        <v>15</v>
      </c>
      <c r="B2182" s="37" t="n">
        <v>5</v>
      </c>
      <c r="C2182" s="37" t="n">
        <v>10</v>
      </c>
      <c r="D2182" s="37" t="n">
        <v>0</v>
      </c>
      <c r="E2182" s="37" t="n">
        <v>0</v>
      </c>
      <c r="F2182" s="37" t="n">
        <v>0</v>
      </c>
      <c r="G2182" s="37" t="s">
        <v>195</v>
      </c>
      <c r="H2182" s="38" t="n">
        <v>199.28928205206</v>
      </c>
      <c r="I2182" s="38" t="n">
        <v>203.312238502432</v>
      </c>
      <c r="J2182" s="38" t="n">
        <v>221.91553461747</v>
      </c>
      <c r="K2182" s="38" t="n">
        <v>272.249605047707</v>
      </c>
      <c r="L2182" s="38" t="n">
        <v>73.5099800520393</v>
      </c>
      <c r="M2182" s="38" t="n">
        <v>109.541744025866</v>
      </c>
      <c r="N2182" s="38" t="n">
        <v>134.573842339828</v>
      </c>
      <c r="O2182" s="38" t="n">
        <v>69.7384307067266</v>
      </c>
      <c r="P2182" s="37" t="n">
        <v>0</v>
      </c>
      <c r="Q2182" s="38" t="n">
        <v>0</v>
      </c>
      <c r="R2182" s="38" t="n">
        <v>68.5531125012997</v>
      </c>
      <c r="S2182" s="37" t="n">
        <v>0</v>
      </c>
    </row>
    <row r="2183" customFormat="false" ht="15" hidden="false" customHeight="false" outlineLevel="0" collapsed="false">
      <c r="A2183" s="37" t="n">
        <v>15</v>
      </c>
      <c r="B2183" s="37" t="n">
        <v>5</v>
      </c>
      <c r="C2183" s="37" t="n">
        <v>10</v>
      </c>
      <c r="D2183" s="37" t="n">
        <v>0</v>
      </c>
      <c r="E2183" s="37" t="n">
        <v>0</v>
      </c>
      <c r="F2183" s="37" t="n">
        <v>0</v>
      </c>
      <c r="G2183" s="37" t="s">
        <v>197</v>
      </c>
      <c r="H2183" s="38" t="n">
        <v>199.28928205206</v>
      </c>
      <c r="I2183" s="38" t="n">
        <v>203.265012408612</v>
      </c>
      <c r="J2183" s="38" t="n">
        <v>225.306081140122</v>
      </c>
      <c r="K2183" s="38" t="n">
        <v>279.600892318386</v>
      </c>
      <c r="L2183" s="38" t="n">
        <v>77.1209368478137</v>
      </c>
      <c r="M2183" s="38" t="n">
        <v>107.37058298436</v>
      </c>
      <c r="N2183" s="38" t="n">
        <v>131.123699303968</v>
      </c>
      <c r="O2183" s="38" t="n">
        <v>70.1337830885188</v>
      </c>
      <c r="P2183" s="37" t="n">
        <v>0</v>
      </c>
      <c r="Q2183" s="38" t="n">
        <v>0</v>
      </c>
      <c r="R2183" s="38" t="n">
        <v>70.5</v>
      </c>
      <c r="S2183" s="37" t="n">
        <v>0</v>
      </c>
    </row>
    <row r="2184" customFormat="false" ht="15" hidden="false" customHeight="false" outlineLevel="0" collapsed="false">
      <c r="A2184" s="37" t="n">
        <v>15</v>
      </c>
      <c r="B2184" s="37" t="n">
        <v>5</v>
      </c>
      <c r="C2184" s="37" t="n">
        <v>10</v>
      </c>
      <c r="D2184" s="37" t="n">
        <v>0</v>
      </c>
      <c r="E2184" s="37" t="n">
        <v>0</v>
      </c>
      <c r="F2184" s="37" t="n">
        <v>0</v>
      </c>
      <c r="G2184" s="37" t="s">
        <v>196</v>
      </c>
      <c r="H2184" s="38" t="n">
        <v>199.28928205206</v>
      </c>
      <c r="I2184" s="38" t="n">
        <v>203.309781676163</v>
      </c>
      <c r="J2184" s="38" t="n">
        <v>226.255371476226</v>
      </c>
      <c r="K2184" s="38" t="n">
        <v>281.304596835345</v>
      </c>
      <c r="L2184" s="38" t="n">
        <v>84.6179402608534</v>
      </c>
      <c r="M2184" s="38" t="n">
        <v>110.960191705781</v>
      </c>
      <c r="N2184" s="38" t="n">
        <v>142.127228303106</v>
      </c>
      <c r="O2184" s="38" t="n">
        <v>75.9916996131928</v>
      </c>
      <c r="P2184" s="37" t="n">
        <v>0</v>
      </c>
      <c r="Q2184" s="38" t="n">
        <v>0</v>
      </c>
      <c r="R2184" s="38" t="n">
        <v>69.4485357554553</v>
      </c>
      <c r="S2184" s="37" t="n">
        <v>0</v>
      </c>
    </row>
    <row r="2185" customFormat="false" ht="15" hidden="false" customHeight="false" outlineLevel="0" collapsed="false">
      <c r="A2185" s="37" t="n">
        <v>15</v>
      </c>
      <c r="B2185" s="37" t="n">
        <v>10</v>
      </c>
      <c r="C2185" s="37" t="n">
        <v>0</v>
      </c>
      <c r="D2185" s="37" t="n">
        <v>0</v>
      </c>
      <c r="E2185" s="37" t="n">
        <v>0</v>
      </c>
      <c r="F2185" s="37" t="n">
        <v>5</v>
      </c>
      <c r="G2185" s="37" t="s">
        <v>188</v>
      </c>
      <c r="H2185" s="38" t="n">
        <v>199.067915881237</v>
      </c>
      <c r="I2185" s="38" t="n">
        <v>199.027555821472</v>
      </c>
      <c r="J2185" s="38" t="n">
        <v>203.201232581962</v>
      </c>
      <c r="K2185" s="38" t="n">
        <v>238.938743429946</v>
      </c>
      <c r="L2185" s="38" t="n">
        <v>74.3144437123077</v>
      </c>
      <c r="M2185" s="38" t="n">
        <v>102.833910692007</v>
      </c>
      <c r="N2185" s="38" t="n">
        <v>109.6665625985</v>
      </c>
      <c r="O2185" s="38" t="n">
        <v>62.8833283218752</v>
      </c>
      <c r="P2185" s="37" t="n">
        <v>0</v>
      </c>
      <c r="Q2185" s="38" t="n">
        <v>0</v>
      </c>
      <c r="R2185" s="38" t="n">
        <v>70.5</v>
      </c>
      <c r="S2185" s="37" t="n">
        <v>1</v>
      </c>
    </row>
    <row r="2186" customFormat="false" ht="15" hidden="false" customHeight="false" outlineLevel="0" collapsed="false">
      <c r="A2186" s="37" t="n">
        <v>15</v>
      </c>
      <c r="B2186" s="37" t="n">
        <v>10</v>
      </c>
      <c r="C2186" s="37" t="n">
        <v>0</v>
      </c>
      <c r="D2186" s="37" t="n">
        <v>0</v>
      </c>
      <c r="E2186" s="37" t="n">
        <v>0</v>
      </c>
      <c r="F2186" s="37" t="n">
        <v>5</v>
      </c>
      <c r="G2186" s="37" t="s">
        <v>192</v>
      </c>
      <c r="H2186" s="38" t="n">
        <v>199.067915881237</v>
      </c>
      <c r="I2186" s="38" t="n">
        <v>198.802337099178</v>
      </c>
      <c r="J2186" s="38" t="n">
        <v>207.077829418252</v>
      </c>
      <c r="K2186" s="38" t="n">
        <v>235.916183065313</v>
      </c>
      <c r="L2186" s="38" t="n">
        <v>61.2113719441661</v>
      </c>
      <c r="M2186" s="38" t="n">
        <v>98.6043403290556</v>
      </c>
      <c r="N2186" s="38" t="n">
        <v>109.098128571703</v>
      </c>
      <c r="O2186" s="38" t="n">
        <v>64.2983284258471</v>
      </c>
      <c r="P2186" s="37" t="n">
        <v>0</v>
      </c>
      <c r="Q2186" s="38" t="n">
        <v>0</v>
      </c>
      <c r="R2186" s="38" t="n">
        <v>70.5</v>
      </c>
      <c r="S2186" s="37" t="n">
        <v>0</v>
      </c>
    </row>
    <row r="2187" customFormat="false" ht="15" hidden="false" customHeight="false" outlineLevel="0" collapsed="false">
      <c r="A2187" s="37" t="n">
        <v>15</v>
      </c>
      <c r="B2187" s="37" t="n">
        <v>10</v>
      </c>
      <c r="C2187" s="37" t="n">
        <v>0</v>
      </c>
      <c r="D2187" s="37" t="n">
        <v>0</v>
      </c>
      <c r="E2187" s="37" t="n">
        <v>0</v>
      </c>
      <c r="F2187" s="37" t="n">
        <v>5</v>
      </c>
      <c r="G2187" s="37" t="s">
        <v>195</v>
      </c>
      <c r="H2187" s="38" t="n">
        <v>199.067915881237</v>
      </c>
      <c r="I2187" s="38" t="n">
        <v>198.794298889384</v>
      </c>
      <c r="J2187" s="38" t="n">
        <v>194.541386591059</v>
      </c>
      <c r="K2187" s="38" t="n">
        <v>221.956910419972</v>
      </c>
      <c r="L2187" s="38" t="n">
        <v>62.7588024408959</v>
      </c>
      <c r="M2187" s="38" t="n">
        <v>97.7886957234557</v>
      </c>
      <c r="N2187" s="38" t="n">
        <v>88.9878160797493</v>
      </c>
      <c r="O2187" s="38" t="n">
        <v>55.0485883595284</v>
      </c>
      <c r="P2187" s="37" t="n">
        <v>0</v>
      </c>
      <c r="Q2187" s="38" t="n">
        <v>0</v>
      </c>
      <c r="R2187" s="38" t="n">
        <v>68.4155676062773</v>
      </c>
      <c r="S2187" s="37" t="n">
        <v>0</v>
      </c>
    </row>
    <row r="2188" customFormat="false" ht="15" hidden="false" customHeight="false" outlineLevel="0" collapsed="false">
      <c r="A2188" s="37" t="n">
        <v>15</v>
      </c>
      <c r="B2188" s="37" t="n">
        <v>10</v>
      </c>
      <c r="C2188" s="37" t="n">
        <v>0</v>
      </c>
      <c r="D2188" s="37" t="n">
        <v>0</v>
      </c>
      <c r="E2188" s="37" t="n">
        <v>0</v>
      </c>
      <c r="F2188" s="37" t="n">
        <v>5</v>
      </c>
      <c r="G2188" s="37" t="s">
        <v>197</v>
      </c>
      <c r="H2188" s="38" t="n">
        <v>199.067915881237</v>
      </c>
      <c r="I2188" s="38" t="n">
        <v>198.795706829312</v>
      </c>
      <c r="J2188" s="38" t="n">
        <v>198.403480435622</v>
      </c>
      <c r="K2188" s="38" t="n">
        <v>230.764049582371</v>
      </c>
      <c r="L2188" s="38" t="n">
        <v>68.058022270212</v>
      </c>
      <c r="M2188" s="38" t="n">
        <v>99.5924988671682</v>
      </c>
      <c r="N2188" s="38" t="n">
        <v>96.0045768275275</v>
      </c>
      <c r="O2188" s="38" t="n">
        <v>57.7669962058821</v>
      </c>
      <c r="P2188" s="37" t="n">
        <v>0</v>
      </c>
      <c r="Q2188" s="38" t="n">
        <v>0</v>
      </c>
      <c r="R2188" s="38" t="n">
        <v>70.5</v>
      </c>
      <c r="S2188" s="37" t="n">
        <v>0</v>
      </c>
    </row>
    <row r="2189" customFormat="false" ht="15" hidden="false" customHeight="false" outlineLevel="0" collapsed="false">
      <c r="A2189" s="37" t="n">
        <v>15</v>
      </c>
      <c r="B2189" s="37" t="n">
        <v>10</v>
      </c>
      <c r="C2189" s="37" t="n">
        <v>0</v>
      </c>
      <c r="D2189" s="37" t="n">
        <v>0</v>
      </c>
      <c r="E2189" s="37" t="n">
        <v>0</v>
      </c>
      <c r="F2189" s="37" t="n">
        <v>5</v>
      </c>
      <c r="G2189" s="37" t="s">
        <v>196</v>
      </c>
      <c r="H2189" s="38" t="n">
        <v>199.067915881237</v>
      </c>
      <c r="I2189" s="38" t="n">
        <v>198.807166317934</v>
      </c>
      <c r="J2189" s="38" t="n">
        <v>199.422975546654</v>
      </c>
      <c r="K2189" s="38" t="n">
        <v>232.243464049793</v>
      </c>
      <c r="L2189" s="38" t="n">
        <v>76.0813984978937</v>
      </c>
      <c r="M2189" s="38" t="n">
        <v>102.407842831812</v>
      </c>
      <c r="N2189" s="38" t="n">
        <v>105.298366382655</v>
      </c>
      <c r="O2189" s="38" t="n">
        <v>63.0540881282895</v>
      </c>
      <c r="P2189" s="37" t="n">
        <v>0</v>
      </c>
      <c r="Q2189" s="38" t="n">
        <v>0</v>
      </c>
      <c r="R2189" s="38" t="n">
        <v>69.5744376008776</v>
      </c>
      <c r="S2189" s="37" t="n">
        <v>0</v>
      </c>
    </row>
    <row r="2190" customFormat="false" ht="15" hidden="false" customHeight="false" outlineLevel="0" collapsed="false">
      <c r="A2190" s="37" t="n">
        <v>15</v>
      </c>
      <c r="B2190" s="37" t="n">
        <v>10</v>
      </c>
      <c r="C2190" s="37" t="n">
        <v>0</v>
      </c>
      <c r="D2190" s="37" t="n">
        <v>0</v>
      </c>
      <c r="E2190" s="37" t="n">
        <v>5</v>
      </c>
      <c r="F2190" s="37" t="n">
        <v>0</v>
      </c>
      <c r="G2190" s="37" t="s">
        <v>188</v>
      </c>
      <c r="H2190" s="38" t="n">
        <v>199.065506458226</v>
      </c>
      <c r="I2190" s="38" t="n">
        <v>199.114416172135</v>
      </c>
      <c r="J2190" s="38" t="n">
        <v>205.932114977025</v>
      </c>
      <c r="K2190" s="38" t="n">
        <v>242.547380746397</v>
      </c>
      <c r="L2190" s="38" t="n">
        <v>38.1222126938561</v>
      </c>
      <c r="M2190" s="38" t="n">
        <v>103.608148393833</v>
      </c>
      <c r="N2190" s="38" t="n">
        <v>115.206126877485</v>
      </c>
      <c r="O2190" s="38" t="n">
        <v>62.8552119060995</v>
      </c>
      <c r="P2190" s="37" t="n">
        <v>0</v>
      </c>
      <c r="Q2190" s="38" t="n">
        <v>0</v>
      </c>
      <c r="R2190" s="38" t="n">
        <v>70.5</v>
      </c>
      <c r="S2190" s="37" t="n">
        <v>1</v>
      </c>
    </row>
    <row r="2191" customFormat="false" ht="15" hidden="false" customHeight="false" outlineLevel="0" collapsed="false">
      <c r="A2191" s="37" t="n">
        <v>15</v>
      </c>
      <c r="B2191" s="37" t="n">
        <v>10</v>
      </c>
      <c r="C2191" s="37" t="n">
        <v>0</v>
      </c>
      <c r="D2191" s="37" t="n">
        <v>0</v>
      </c>
      <c r="E2191" s="37" t="n">
        <v>5</v>
      </c>
      <c r="F2191" s="37" t="n">
        <v>0</v>
      </c>
      <c r="G2191" s="37" t="s">
        <v>192</v>
      </c>
      <c r="H2191" s="38" t="n">
        <v>199.065506458226</v>
      </c>
      <c r="I2191" s="38" t="n">
        <v>198.904919898926</v>
      </c>
      <c r="J2191" s="38" t="n">
        <v>209.709730835839</v>
      </c>
      <c r="K2191" s="38" t="n">
        <v>239.826136467206</v>
      </c>
      <c r="L2191" s="38" t="n">
        <v>36.41068440134</v>
      </c>
      <c r="M2191" s="38" t="n">
        <v>99.4474465872045</v>
      </c>
      <c r="N2191" s="38" t="n">
        <v>112.009068282859</v>
      </c>
      <c r="O2191" s="38" t="n">
        <v>61.8560389425782</v>
      </c>
      <c r="P2191" s="37" t="n">
        <v>0</v>
      </c>
      <c r="Q2191" s="38" t="n">
        <v>0</v>
      </c>
      <c r="R2191" s="38" t="n">
        <v>70.5</v>
      </c>
      <c r="S2191" s="37" t="n">
        <v>0</v>
      </c>
    </row>
    <row r="2192" customFormat="false" ht="15" hidden="false" customHeight="false" outlineLevel="0" collapsed="false">
      <c r="A2192" s="37" t="n">
        <v>15</v>
      </c>
      <c r="B2192" s="37" t="n">
        <v>10</v>
      </c>
      <c r="C2192" s="37" t="n">
        <v>0</v>
      </c>
      <c r="D2192" s="37" t="n">
        <v>0</v>
      </c>
      <c r="E2192" s="37" t="n">
        <v>5</v>
      </c>
      <c r="F2192" s="37" t="n">
        <v>0</v>
      </c>
      <c r="G2192" s="37" t="s">
        <v>195</v>
      </c>
      <c r="H2192" s="38" t="n">
        <v>199.065506458226</v>
      </c>
      <c r="I2192" s="38" t="n">
        <v>198.893750176869</v>
      </c>
      <c r="J2192" s="38" t="n">
        <v>196.795469606246</v>
      </c>
      <c r="K2192" s="38" t="n">
        <v>225.5739305206</v>
      </c>
      <c r="L2192" s="38" t="n">
        <v>26.2960161483927</v>
      </c>
      <c r="M2192" s="38" t="n">
        <v>98.7671363895678</v>
      </c>
      <c r="N2192" s="38" t="n">
        <v>83.3486911947373</v>
      </c>
      <c r="O2192" s="38" t="n">
        <v>55.0917497204035</v>
      </c>
      <c r="P2192" s="37" t="n">
        <v>0</v>
      </c>
      <c r="Q2192" s="38" t="n">
        <v>0</v>
      </c>
      <c r="R2192" s="38" t="n">
        <v>68.3916256883379</v>
      </c>
      <c r="S2192" s="37" t="n">
        <v>0</v>
      </c>
    </row>
    <row r="2193" customFormat="false" ht="15" hidden="false" customHeight="false" outlineLevel="0" collapsed="false">
      <c r="A2193" s="37" t="n">
        <v>15</v>
      </c>
      <c r="B2193" s="37" t="n">
        <v>10</v>
      </c>
      <c r="C2193" s="37" t="n">
        <v>0</v>
      </c>
      <c r="D2193" s="37" t="n">
        <v>0</v>
      </c>
      <c r="E2193" s="37" t="n">
        <v>5</v>
      </c>
      <c r="F2193" s="37" t="n">
        <v>0</v>
      </c>
      <c r="G2193" s="37" t="s">
        <v>197</v>
      </c>
      <c r="H2193" s="38" t="n">
        <v>199.065506458226</v>
      </c>
      <c r="I2193" s="38" t="n">
        <v>198.907950296955</v>
      </c>
      <c r="J2193" s="38" t="n">
        <v>201.563010859993</v>
      </c>
      <c r="K2193" s="38" t="n">
        <v>235.707565871088</v>
      </c>
      <c r="L2193" s="38" t="n">
        <v>33.4848884137007</v>
      </c>
      <c r="M2193" s="38" t="n">
        <v>103.719614129567</v>
      </c>
      <c r="N2193" s="38" t="n">
        <v>105.687968980223</v>
      </c>
      <c r="O2193" s="38" t="n">
        <v>61.5731154936175</v>
      </c>
      <c r="P2193" s="37" t="n">
        <v>0</v>
      </c>
      <c r="Q2193" s="38" t="n">
        <v>0</v>
      </c>
      <c r="R2193" s="38" t="n">
        <v>70.5</v>
      </c>
      <c r="S2193" s="37" t="n">
        <v>0</v>
      </c>
    </row>
    <row r="2194" customFormat="false" ht="15" hidden="false" customHeight="false" outlineLevel="0" collapsed="false">
      <c r="A2194" s="37" t="n">
        <v>15</v>
      </c>
      <c r="B2194" s="37" t="n">
        <v>10</v>
      </c>
      <c r="C2194" s="37" t="n">
        <v>0</v>
      </c>
      <c r="D2194" s="37" t="n">
        <v>0</v>
      </c>
      <c r="E2194" s="37" t="n">
        <v>5</v>
      </c>
      <c r="F2194" s="37" t="n">
        <v>0</v>
      </c>
      <c r="G2194" s="37" t="s">
        <v>196</v>
      </c>
      <c r="H2194" s="38" t="n">
        <v>199.065506458226</v>
      </c>
      <c r="I2194" s="38" t="n">
        <v>198.91397285292</v>
      </c>
      <c r="J2194" s="38" t="n">
        <v>201.761087716607</v>
      </c>
      <c r="K2194" s="38" t="n">
        <v>236.054083275775</v>
      </c>
      <c r="L2194" s="38" t="n">
        <v>39.4550172763452</v>
      </c>
      <c r="M2194" s="38" t="n">
        <v>103.910502995013</v>
      </c>
      <c r="N2194" s="38" t="n">
        <v>112.605821078874</v>
      </c>
      <c r="O2194" s="38" t="n">
        <v>64.2615077750003</v>
      </c>
      <c r="P2194" s="37" t="n">
        <v>0</v>
      </c>
      <c r="Q2194" s="38" t="n">
        <v>0</v>
      </c>
      <c r="R2194" s="38" t="n">
        <v>69.4695574934703</v>
      </c>
      <c r="S2194" s="37" t="n">
        <v>0</v>
      </c>
    </row>
    <row r="2195" customFormat="false" ht="15" hidden="false" customHeight="false" outlineLevel="0" collapsed="false">
      <c r="A2195" s="37" t="n">
        <v>15</v>
      </c>
      <c r="B2195" s="37" t="n">
        <v>10</v>
      </c>
      <c r="C2195" s="37" t="n">
        <v>0</v>
      </c>
      <c r="D2195" s="37" t="n">
        <v>5</v>
      </c>
      <c r="E2195" s="37" t="n">
        <v>0</v>
      </c>
      <c r="F2195" s="37" t="n">
        <v>0</v>
      </c>
      <c r="G2195" s="37" t="s">
        <v>188</v>
      </c>
      <c r="H2195" s="38" t="n">
        <v>199.20329190575</v>
      </c>
      <c r="I2195" s="38" t="n">
        <v>199.924612150983</v>
      </c>
      <c r="J2195" s="38" t="n">
        <v>208.24791944455</v>
      </c>
      <c r="K2195" s="38" t="n">
        <v>235.251551304266</v>
      </c>
      <c r="L2195" s="38" t="n">
        <v>31.2415310705581</v>
      </c>
      <c r="M2195" s="38" t="n">
        <v>103.563682479121</v>
      </c>
      <c r="N2195" s="38" t="n">
        <v>105.638834983488</v>
      </c>
      <c r="O2195" s="38" t="n">
        <v>66.0676379143573</v>
      </c>
      <c r="P2195" s="37" t="n">
        <v>0</v>
      </c>
      <c r="Q2195" s="38" t="n">
        <v>0</v>
      </c>
      <c r="R2195" s="38" t="n">
        <v>72</v>
      </c>
      <c r="S2195" s="37" t="n">
        <v>0</v>
      </c>
    </row>
    <row r="2196" customFormat="false" ht="15" hidden="false" customHeight="false" outlineLevel="0" collapsed="false">
      <c r="A2196" s="37" t="n">
        <v>15</v>
      </c>
      <c r="B2196" s="37" t="n">
        <v>10</v>
      </c>
      <c r="C2196" s="37" t="n">
        <v>0</v>
      </c>
      <c r="D2196" s="37" t="n">
        <v>5</v>
      </c>
      <c r="E2196" s="37" t="n">
        <v>0</v>
      </c>
      <c r="F2196" s="37" t="n">
        <v>0</v>
      </c>
      <c r="G2196" s="37" t="s">
        <v>192</v>
      </c>
      <c r="H2196" s="38" t="n">
        <v>199.20329190575</v>
      </c>
      <c r="I2196" s="38" t="n">
        <v>199.688195981477</v>
      </c>
      <c r="J2196" s="38" t="n">
        <v>212.071787603176</v>
      </c>
      <c r="K2196" s="38" t="n">
        <v>232.07303169821</v>
      </c>
      <c r="L2196" s="38" t="n">
        <v>66.9816601826843</v>
      </c>
      <c r="M2196" s="38" t="n">
        <v>99.3150877911894</v>
      </c>
      <c r="N2196" s="38" t="n">
        <v>110.421214192736</v>
      </c>
      <c r="O2196" s="38" t="n">
        <v>67.8910597063087</v>
      </c>
      <c r="P2196" s="37" t="n">
        <v>0</v>
      </c>
      <c r="Q2196" s="38" t="n">
        <v>0</v>
      </c>
      <c r="R2196" s="38" t="n">
        <v>72</v>
      </c>
      <c r="S2196" s="37" t="n">
        <v>1</v>
      </c>
    </row>
    <row r="2197" customFormat="false" ht="15" hidden="false" customHeight="false" outlineLevel="0" collapsed="false">
      <c r="A2197" s="37" t="n">
        <v>15</v>
      </c>
      <c r="B2197" s="37" t="n">
        <v>10</v>
      </c>
      <c r="C2197" s="37" t="n">
        <v>0</v>
      </c>
      <c r="D2197" s="37" t="n">
        <v>5</v>
      </c>
      <c r="E2197" s="37" t="n">
        <v>0</v>
      </c>
      <c r="F2197" s="37" t="n">
        <v>0</v>
      </c>
      <c r="G2197" s="37" t="s">
        <v>195</v>
      </c>
      <c r="H2197" s="38" t="n">
        <v>199.20329190575</v>
      </c>
      <c r="I2197" s="38" t="n">
        <v>199.711857096379</v>
      </c>
      <c r="J2197" s="38" t="n">
        <v>201.085432022157</v>
      </c>
      <c r="K2197" s="38" t="n">
        <v>221.379720872633</v>
      </c>
      <c r="L2197" s="38" t="n">
        <v>25.0006205120056</v>
      </c>
      <c r="M2197" s="38" t="n">
        <v>100.152999817134</v>
      </c>
      <c r="N2197" s="38" t="n">
        <v>86.0406159363016</v>
      </c>
      <c r="O2197" s="38" t="n">
        <v>60.8934924867008</v>
      </c>
      <c r="P2197" s="37" t="n">
        <v>0</v>
      </c>
      <c r="Q2197" s="38" t="n">
        <v>0</v>
      </c>
      <c r="R2197" s="38" t="n">
        <v>70.3064931945437</v>
      </c>
      <c r="S2197" s="37" t="n">
        <v>0</v>
      </c>
    </row>
    <row r="2198" customFormat="false" ht="15" hidden="false" customHeight="false" outlineLevel="0" collapsed="false">
      <c r="A2198" s="37" t="n">
        <v>15</v>
      </c>
      <c r="B2198" s="37" t="n">
        <v>10</v>
      </c>
      <c r="C2198" s="37" t="n">
        <v>0</v>
      </c>
      <c r="D2198" s="37" t="n">
        <v>5</v>
      </c>
      <c r="E2198" s="37" t="n">
        <v>0</v>
      </c>
      <c r="F2198" s="37" t="n">
        <v>0</v>
      </c>
      <c r="G2198" s="37" t="s">
        <v>197</v>
      </c>
      <c r="H2198" s="38" t="n">
        <v>199.20329190575</v>
      </c>
      <c r="I2198" s="38" t="n">
        <v>199.681301230639</v>
      </c>
      <c r="J2198" s="38" t="n">
        <v>202.934079460883</v>
      </c>
      <c r="K2198" s="38" t="n">
        <v>226.749576436978</v>
      </c>
      <c r="L2198" s="38" t="n">
        <v>24.9990446306204</v>
      </c>
      <c r="M2198" s="38" t="n">
        <v>100.383664961262</v>
      </c>
      <c r="N2198" s="38" t="n">
        <v>86.215531052666</v>
      </c>
      <c r="O2198" s="38" t="n">
        <v>60.7141341297539</v>
      </c>
      <c r="P2198" s="37" t="n">
        <v>0</v>
      </c>
      <c r="Q2198" s="38" t="n">
        <v>0.000955369379653348</v>
      </c>
      <c r="R2198" s="38" t="n">
        <v>72</v>
      </c>
      <c r="S2198" s="37" t="n">
        <v>0</v>
      </c>
    </row>
    <row r="2199" customFormat="false" ht="15" hidden="false" customHeight="false" outlineLevel="0" collapsed="false">
      <c r="A2199" s="37" t="n">
        <v>15</v>
      </c>
      <c r="B2199" s="37" t="n">
        <v>10</v>
      </c>
      <c r="C2199" s="37" t="n">
        <v>0</v>
      </c>
      <c r="D2199" s="37" t="n">
        <v>5</v>
      </c>
      <c r="E2199" s="37" t="n">
        <v>0</v>
      </c>
      <c r="F2199" s="37" t="n">
        <v>0</v>
      </c>
      <c r="G2199" s="37" t="s">
        <v>196</v>
      </c>
      <c r="H2199" s="38" t="n">
        <v>199.20329190575</v>
      </c>
      <c r="I2199" s="38" t="n">
        <v>199.693937163074</v>
      </c>
      <c r="J2199" s="38" t="n">
        <v>204.039796560656</v>
      </c>
      <c r="K2199" s="38" t="n">
        <v>228.280149090332</v>
      </c>
      <c r="L2199" s="38" t="n">
        <v>32.1589200393693</v>
      </c>
      <c r="M2199" s="38" t="n">
        <v>103.737340831259</v>
      </c>
      <c r="N2199" s="38" t="n">
        <v>103.02474419489</v>
      </c>
      <c r="O2199" s="38" t="n">
        <v>65.662855529134</v>
      </c>
      <c r="P2199" s="37" t="n">
        <v>0</v>
      </c>
      <c r="Q2199" s="38" t="n">
        <v>0</v>
      </c>
      <c r="R2199" s="38" t="n">
        <v>71.0842383611022</v>
      </c>
      <c r="S2199" s="37" t="n">
        <v>0</v>
      </c>
    </row>
    <row r="2200" customFormat="false" ht="15" hidden="false" customHeight="false" outlineLevel="0" collapsed="false">
      <c r="A2200" s="37" t="n">
        <v>15</v>
      </c>
      <c r="B2200" s="37" t="n">
        <v>10</v>
      </c>
      <c r="C2200" s="37" t="n">
        <v>5</v>
      </c>
      <c r="D2200" s="37" t="n">
        <v>0</v>
      </c>
      <c r="E2200" s="37" t="n">
        <v>0</v>
      </c>
      <c r="F2200" s="37" t="n">
        <v>0</v>
      </c>
      <c r="G2200" s="37" t="s">
        <v>188</v>
      </c>
      <c r="H2200" s="38" t="n">
        <v>199.120801672155</v>
      </c>
      <c r="I2200" s="38" t="n">
        <v>200.620240191727</v>
      </c>
      <c r="J2200" s="38" t="n">
        <v>220.625329834331</v>
      </c>
      <c r="K2200" s="38" t="n">
        <v>263.094653610057</v>
      </c>
      <c r="L2200" s="38" t="n">
        <v>59.4871475263726</v>
      </c>
      <c r="M2200" s="38" t="n">
        <v>107.335951024109</v>
      </c>
      <c r="N2200" s="38" t="n">
        <v>139.894324033713</v>
      </c>
      <c r="O2200" s="38" t="n">
        <v>73.2532807540109</v>
      </c>
      <c r="P2200" s="37" t="n">
        <v>0</v>
      </c>
      <c r="Q2200" s="38" t="n">
        <v>0</v>
      </c>
      <c r="R2200" s="38" t="n">
        <v>70.5</v>
      </c>
      <c r="S2200" s="37" t="n">
        <v>1</v>
      </c>
    </row>
    <row r="2201" customFormat="false" ht="15" hidden="false" customHeight="false" outlineLevel="0" collapsed="false">
      <c r="A2201" s="37" t="n">
        <v>15</v>
      </c>
      <c r="B2201" s="37" t="n">
        <v>10</v>
      </c>
      <c r="C2201" s="37" t="n">
        <v>5</v>
      </c>
      <c r="D2201" s="37" t="n">
        <v>0</v>
      </c>
      <c r="E2201" s="37" t="n">
        <v>0</v>
      </c>
      <c r="F2201" s="37" t="n">
        <v>0</v>
      </c>
      <c r="G2201" s="37" t="s">
        <v>192</v>
      </c>
      <c r="H2201" s="38" t="n">
        <v>199.120801672155</v>
      </c>
      <c r="I2201" s="38" t="n">
        <v>200.321309366079</v>
      </c>
      <c r="J2201" s="38" t="n">
        <v>222.817622977194</v>
      </c>
      <c r="K2201" s="38" t="n">
        <v>257.32292356163</v>
      </c>
      <c r="L2201" s="38" t="n">
        <v>43.922412735523</v>
      </c>
      <c r="M2201" s="38" t="n">
        <v>102.942488245261</v>
      </c>
      <c r="N2201" s="38" t="n">
        <v>136.012621487389</v>
      </c>
      <c r="O2201" s="38" t="n">
        <v>72.4045278086603</v>
      </c>
      <c r="P2201" s="37" t="n">
        <v>0</v>
      </c>
      <c r="Q2201" s="38" t="n">
        <v>0</v>
      </c>
      <c r="R2201" s="38" t="n">
        <v>70.5</v>
      </c>
      <c r="S2201" s="37" t="n">
        <v>0</v>
      </c>
    </row>
    <row r="2202" customFormat="false" ht="15" hidden="false" customHeight="false" outlineLevel="0" collapsed="false">
      <c r="A2202" s="37" t="n">
        <v>15</v>
      </c>
      <c r="B2202" s="37" t="n">
        <v>10</v>
      </c>
      <c r="C2202" s="37" t="n">
        <v>5</v>
      </c>
      <c r="D2202" s="37" t="n">
        <v>0</v>
      </c>
      <c r="E2202" s="37" t="n">
        <v>0</v>
      </c>
      <c r="F2202" s="37" t="n">
        <v>0</v>
      </c>
      <c r="G2202" s="37" t="s">
        <v>195</v>
      </c>
      <c r="H2202" s="38" t="n">
        <v>199.120801672155</v>
      </c>
      <c r="I2202" s="38" t="n">
        <v>200.305706835802</v>
      </c>
      <c r="J2202" s="38" t="n">
        <v>208.895882750468</v>
      </c>
      <c r="K2202" s="38" t="n">
        <v>242.322871522839</v>
      </c>
      <c r="L2202" s="38" t="n">
        <v>43.1879146087787</v>
      </c>
      <c r="M2202" s="38" t="n">
        <v>102.311728956543</v>
      </c>
      <c r="N2202" s="38" t="n">
        <v>115.195603175878</v>
      </c>
      <c r="O2202" s="38" t="n">
        <v>61.7170424261631</v>
      </c>
      <c r="P2202" s="37" t="n">
        <v>0</v>
      </c>
      <c r="Q2202" s="38" t="n">
        <v>0</v>
      </c>
      <c r="R2202" s="38" t="n">
        <v>68.434512925782</v>
      </c>
      <c r="S2202" s="37" t="n">
        <v>0</v>
      </c>
    </row>
    <row r="2203" customFormat="false" ht="15" hidden="false" customHeight="false" outlineLevel="0" collapsed="false">
      <c r="A2203" s="37" t="n">
        <v>15</v>
      </c>
      <c r="B2203" s="37" t="n">
        <v>10</v>
      </c>
      <c r="C2203" s="37" t="n">
        <v>5</v>
      </c>
      <c r="D2203" s="37" t="n">
        <v>0</v>
      </c>
      <c r="E2203" s="37" t="n">
        <v>0</v>
      </c>
      <c r="F2203" s="37" t="n">
        <v>0</v>
      </c>
      <c r="G2203" s="37" t="s">
        <v>197</v>
      </c>
      <c r="H2203" s="38" t="n">
        <v>199.120801672155</v>
      </c>
      <c r="I2203" s="38" t="n">
        <v>200.295098784435</v>
      </c>
      <c r="J2203" s="38" t="n">
        <v>212.846354382514</v>
      </c>
      <c r="K2203" s="38" t="n">
        <v>250.857387106578</v>
      </c>
      <c r="L2203" s="38" t="n">
        <v>48.2637866733633</v>
      </c>
      <c r="M2203" s="38" t="n">
        <v>101.987261381556</v>
      </c>
      <c r="N2203" s="38" t="n">
        <v>117.055347920506</v>
      </c>
      <c r="O2203" s="38" t="n">
        <v>64.9209890926979</v>
      </c>
      <c r="P2203" s="37" t="n">
        <v>0</v>
      </c>
      <c r="Q2203" s="38" t="n">
        <v>0</v>
      </c>
      <c r="R2203" s="38" t="n">
        <v>70.5</v>
      </c>
      <c r="S2203" s="37" t="n">
        <v>0</v>
      </c>
    </row>
    <row r="2204" customFormat="false" ht="15" hidden="false" customHeight="false" outlineLevel="0" collapsed="false">
      <c r="A2204" s="37" t="n">
        <v>15</v>
      </c>
      <c r="B2204" s="37" t="n">
        <v>10</v>
      </c>
      <c r="C2204" s="37" t="n">
        <v>5</v>
      </c>
      <c r="D2204" s="37" t="n">
        <v>0</v>
      </c>
      <c r="E2204" s="37" t="n">
        <v>0</v>
      </c>
      <c r="F2204" s="37" t="n">
        <v>0</v>
      </c>
      <c r="G2204" s="37" t="s">
        <v>196</v>
      </c>
      <c r="H2204" s="38" t="n">
        <v>199.120801672155</v>
      </c>
      <c r="I2204" s="38" t="n">
        <v>200.32968011775</v>
      </c>
      <c r="J2204" s="38" t="n">
        <v>214.084934931155</v>
      </c>
      <c r="K2204" s="38" t="n">
        <v>252.956410763006</v>
      </c>
      <c r="L2204" s="38" t="n">
        <v>56.2903113783635</v>
      </c>
      <c r="M2204" s="38" t="n">
        <v>105.502842952542</v>
      </c>
      <c r="N2204" s="38" t="n">
        <v>128.41385401558</v>
      </c>
      <c r="O2204" s="38" t="n">
        <v>70.9215803449831</v>
      </c>
      <c r="P2204" s="37" t="n">
        <v>0</v>
      </c>
      <c r="Q2204" s="38" t="n">
        <v>0</v>
      </c>
      <c r="R2204" s="38" t="n">
        <v>69.4534694810192</v>
      </c>
      <c r="S2204" s="37" t="n">
        <v>0</v>
      </c>
    </row>
    <row r="2205" customFormat="false" ht="15" hidden="false" customHeight="false" outlineLevel="0" collapsed="false">
      <c r="A2205" s="37" t="n">
        <v>15</v>
      </c>
      <c r="B2205" s="37" t="n">
        <v>15</v>
      </c>
      <c r="C2205" s="37" t="n">
        <v>0</v>
      </c>
      <c r="D2205" s="37" t="n">
        <v>0</v>
      </c>
      <c r="E2205" s="37" t="n">
        <v>0</v>
      </c>
      <c r="F2205" s="37" t="n">
        <v>0</v>
      </c>
      <c r="G2205" s="37" t="s">
        <v>188</v>
      </c>
      <c r="H2205" s="38" t="n">
        <v>199.088334089291</v>
      </c>
      <c r="I2205" s="38" t="n">
        <v>199.134932590058</v>
      </c>
      <c r="J2205" s="38" t="n">
        <v>204.015800804435</v>
      </c>
      <c r="K2205" s="38" t="n">
        <v>234.895346486169</v>
      </c>
      <c r="L2205" s="38" t="n">
        <v>30.2528001832405</v>
      </c>
      <c r="M2205" s="38" t="n">
        <v>102.537602005115</v>
      </c>
      <c r="N2205" s="38" t="n">
        <v>101.398862567695</v>
      </c>
      <c r="O2205" s="38" t="n">
        <v>61.5710652627549</v>
      </c>
      <c r="P2205" s="37" t="n">
        <v>0</v>
      </c>
      <c r="Q2205" s="38" t="n">
        <v>0</v>
      </c>
      <c r="R2205" s="38" t="n">
        <v>70.5</v>
      </c>
      <c r="S2205" s="37" t="n">
        <v>0</v>
      </c>
    </row>
    <row r="2206" customFormat="false" ht="15" hidden="false" customHeight="false" outlineLevel="0" collapsed="false">
      <c r="A2206" s="37" t="n">
        <v>15</v>
      </c>
      <c r="B2206" s="37" t="n">
        <v>15</v>
      </c>
      <c r="C2206" s="37" t="n">
        <v>0</v>
      </c>
      <c r="D2206" s="37" t="n">
        <v>0</v>
      </c>
      <c r="E2206" s="37" t="n">
        <v>0</v>
      </c>
      <c r="F2206" s="37" t="n">
        <v>0</v>
      </c>
      <c r="G2206" s="37" t="s">
        <v>192</v>
      </c>
      <c r="H2206" s="38" t="n">
        <v>199.088334089291</v>
      </c>
      <c r="I2206" s="38" t="n">
        <v>198.921624789734</v>
      </c>
      <c r="J2206" s="38" t="n">
        <v>209.006230948065</v>
      </c>
      <c r="K2206" s="38" t="n">
        <v>233.222704289145</v>
      </c>
      <c r="L2206" s="38" t="n">
        <v>29.9469202737782</v>
      </c>
      <c r="M2206" s="38" t="n">
        <v>99.3910169650398</v>
      </c>
      <c r="N2206" s="38" t="n">
        <v>102.043846515322</v>
      </c>
      <c r="O2206" s="38" t="n">
        <v>61.2150833321955</v>
      </c>
      <c r="P2206" s="37" t="n">
        <v>0</v>
      </c>
      <c r="Q2206" s="38" t="n">
        <v>0</v>
      </c>
      <c r="R2206" s="38" t="n">
        <v>70.5</v>
      </c>
      <c r="S2206" s="37" t="n">
        <v>1</v>
      </c>
    </row>
    <row r="2207" customFormat="false" ht="15" hidden="false" customHeight="false" outlineLevel="0" collapsed="false">
      <c r="A2207" s="37" t="n">
        <v>15</v>
      </c>
      <c r="B2207" s="37" t="n">
        <v>15</v>
      </c>
      <c r="C2207" s="37" t="n">
        <v>0</v>
      </c>
      <c r="D2207" s="37" t="n">
        <v>0</v>
      </c>
      <c r="E2207" s="37" t="n">
        <v>0</v>
      </c>
      <c r="F2207" s="37" t="n">
        <v>0</v>
      </c>
      <c r="G2207" s="37" t="s">
        <v>195</v>
      </c>
      <c r="H2207" s="38" t="n">
        <v>199.088334089291</v>
      </c>
      <c r="I2207" s="38" t="n">
        <v>198.907529267554</v>
      </c>
      <c r="J2207" s="38" t="n">
        <v>195.522240779005</v>
      </c>
      <c r="K2207" s="38" t="n">
        <v>218.38857216609</v>
      </c>
      <c r="L2207" s="38" t="n">
        <v>30.3857343301676</v>
      </c>
      <c r="M2207" s="38" t="n">
        <v>97.6043744512133</v>
      </c>
      <c r="N2207" s="38" t="n">
        <v>80.600570836742</v>
      </c>
      <c r="O2207" s="38" t="n">
        <v>51.0571594158384</v>
      </c>
      <c r="P2207" s="37" t="n">
        <v>0</v>
      </c>
      <c r="Q2207" s="38" t="n">
        <v>0</v>
      </c>
      <c r="R2207" s="38" t="n">
        <v>68.3991486492232</v>
      </c>
      <c r="S2207" s="37" t="n">
        <v>0</v>
      </c>
    </row>
    <row r="2208" customFormat="false" ht="15" hidden="false" customHeight="false" outlineLevel="0" collapsed="false">
      <c r="A2208" s="37" t="n">
        <v>15</v>
      </c>
      <c r="B2208" s="37" t="n">
        <v>15</v>
      </c>
      <c r="C2208" s="37" t="n">
        <v>0</v>
      </c>
      <c r="D2208" s="37" t="n">
        <v>0</v>
      </c>
      <c r="E2208" s="37" t="n">
        <v>0</v>
      </c>
      <c r="F2208" s="37" t="n">
        <v>0</v>
      </c>
      <c r="G2208" s="37" t="s">
        <v>197</v>
      </c>
      <c r="H2208" s="38" t="n">
        <v>199.088334089291</v>
      </c>
      <c r="I2208" s="38" t="n">
        <v>198.909719027684</v>
      </c>
      <c r="J2208" s="38" t="n">
        <v>199.503629804249</v>
      </c>
      <c r="K2208" s="38" t="n">
        <v>227.352136108199</v>
      </c>
      <c r="L2208" s="38" t="n">
        <v>24.9999809794852</v>
      </c>
      <c r="M2208" s="38" t="n">
        <v>99.410275981601</v>
      </c>
      <c r="N2208" s="38" t="n">
        <v>83.5482599159874</v>
      </c>
      <c r="O2208" s="38" t="n">
        <v>56.5466888614612</v>
      </c>
      <c r="P2208" s="37" t="n">
        <v>0</v>
      </c>
      <c r="Q2208" s="38" t="n">
        <v>1.90205148271616E-005</v>
      </c>
      <c r="R2208" s="38" t="n">
        <v>70.5</v>
      </c>
      <c r="S2208" s="37" t="n">
        <v>0</v>
      </c>
    </row>
    <row r="2209" customFormat="false" ht="15" hidden="false" customHeight="false" outlineLevel="0" collapsed="false">
      <c r="A2209" s="37" t="n">
        <v>15</v>
      </c>
      <c r="B2209" s="37" t="n">
        <v>15</v>
      </c>
      <c r="C2209" s="37" t="n">
        <v>0</v>
      </c>
      <c r="D2209" s="37" t="n">
        <v>0</v>
      </c>
      <c r="E2209" s="37" t="n">
        <v>0</v>
      </c>
      <c r="F2209" s="37" t="n">
        <v>0</v>
      </c>
      <c r="G2209" s="37" t="s">
        <v>196</v>
      </c>
      <c r="H2209" s="38" t="n">
        <v>199.088334089291</v>
      </c>
      <c r="I2209" s="38" t="n">
        <v>198.925536798144</v>
      </c>
      <c r="J2209" s="38" t="n">
        <v>200.544236153368</v>
      </c>
      <c r="K2209" s="38" t="n">
        <v>228.882952275108</v>
      </c>
      <c r="L2209" s="38" t="n">
        <v>32.6444120813764</v>
      </c>
      <c r="M2209" s="38" t="n">
        <v>102.569198662173</v>
      </c>
      <c r="N2209" s="38" t="n">
        <v>99.490867113201</v>
      </c>
      <c r="O2209" s="38" t="n">
        <v>61.8197404012972</v>
      </c>
      <c r="P2209" s="37" t="n">
        <v>0</v>
      </c>
      <c r="Q2209" s="38" t="n">
        <v>0</v>
      </c>
      <c r="R2209" s="38" t="n">
        <v>69.5560836868377</v>
      </c>
      <c r="S2209" s="37" t="n">
        <v>0</v>
      </c>
    </row>
    <row r="2210" customFormat="false" ht="15" hidden="false" customHeight="false" outlineLevel="0" collapsed="false">
      <c r="A2210" s="37" t="n">
        <v>20</v>
      </c>
      <c r="B2210" s="37" t="n">
        <v>0</v>
      </c>
      <c r="C2210" s="37" t="n">
        <v>0</v>
      </c>
      <c r="D2210" s="37" t="n">
        <v>0</v>
      </c>
      <c r="E2210" s="37" t="n">
        <v>0</v>
      </c>
      <c r="F2210" s="37" t="n">
        <v>10</v>
      </c>
      <c r="G2210" s="37" t="s">
        <v>188</v>
      </c>
      <c r="H2210" s="38" t="n">
        <v>199.164885418052</v>
      </c>
      <c r="I2210" s="38" t="n">
        <v>199.544325810815</v>
      </c>
      <c r="J2210" s="38" t="n">
        <v>202.440917695874</v>
      </c>
      <c r="K2210" s="38" t="n">
        <v>252.000226036167</v>
      </c>
      <c r="L2210" s="38" t="n">
        <v>127.529536614047</v>
      </c>
      <c r="M2210" s="38" t="n">
        <v>105.076493493861</v>
      </c>
      <c r="N2210" s="38" t="n">
        <v>108.418831085181</v>
      </c>
      <c r="O2210" s="38" t="n">
        <v>63.8101696323248</v>
      </c>
      <c r="P2210" s="37" t="n">
        <v>0</v>
      </c>
      <c r="Q2210" s="38" t="n">
        <v>0</v>
      </c>
      <c r="R2210" s="38" t="n">
        <v>70.5</v>
      </c>
      <c r="S2210" s="37" t="n">
        <v>1</v>
      </c>
    </row>
    <row r="2211" customFormat="false" ht="15" hidden="false" customHeight="false" outlineLevel="0" collapsed="false">
      <c r="A2211" s="37" t="n">
        <v>20</v>
      </c>
      <c r="B2211" s="37" t="n">
        <v>0</v>
      </c>
      <c r="C2211" s="37" t="n">
        <v>0</v>
      </c>
      <c r="D2211" s="37" t="n">
        <v>0</v>
      </c>
      <c r="E2211" s="37" t="n">
        <v>0</v>
      </c>
      <c r="F2211" s="37" t="n">
        <v>10</v>
      </c>
      <c r="G2211" s="37" t="s">
        <v>192</v>
      </c>
      <c r="H2211" s="38" t="n">
        <v>199.164885418052</v>
      </c>
      <c r="I2211" s="38" t="n">
        <v>199.168234986508</v>
      </c>
      <c r="J2211" s="38" t="n">
        <v>196.050075722362</v>
      </c>
      <c r="K2211" s="38" t="n">
        <v>239.605269545804</v>
      </c>
      <c r="L2211" s="38" t="n">
        <v>117.793329934417</v>
      </c>
      <c r="M2211" s="38" t="n">
        <v>95.6952560577057</v>
      </c>
      <c r="N2211" s="38" t="n">
        <v>90.2668182608179</v>
      </c>
      <c r="O2211" s="38" t="n">
        <v>56.9202628205492</v>
      </c>
      <c r="P2211" s="37" t="n">
        <v>0</v>
      </c>
      <c r="Q2211" s="38" t="n">
        <v>0</v>
      </c>
      <c r="R2211" s="38" t="n">
        <v>70.5</v>
      </c>
      <c r="S2211" s="37" t="n">
        <v>0</v>
      </c>
    </row>
    <row r="2212" customFormat="false" ht="15" hidden="false" customHeight="false" outlineLevel="0" collapsed="false">
      <c r="A2212" s="37" t="n">
        <v>20</v>
      </c>
      <c r="B2212" s="37" t="n">
        <v>0</v>
      </c>
      <c r="C2212" s="37" t="n">
        <v>0</v>
      </c>
      <c r="D2212" s="37" t="n">
        <v>0</v>
      </c>
      <c r="E2212" s="37" t="n">
        <v>0</v>
      </c>
      <c r="F2212" s="37" t="n">
        <v>10</v>
      </c>
      <c r="G2212" s="37" t="s">
        <v>195</v>
      </c>
      <c r="H2212" s="38" t="n">
        <v>199.164885418052</v>
      </c>
      <c r="I2212" s="38" t="n">
        <v>199.168228416909</v>
      </c>
      <c r="J2212" s="38" t="n">
        <v>191.499766693212</v>
      </c>
      <c r="K2212" s="38" t="n">
        <v>229.957389442814</v>
      </c>
      <c r="L2212" s="38" t="n">
        <v>110.848217481115</v>
      </c>
      <c r="M2212" s="38" t="n">
        <v>98.6952450046823</v>
      </c>
      <c r="N2212" s="38" t="n">
        <v>85.0856984187746</v>
      </c>
      <c r="O2212" s="38" t="n">
        <v>55.2041771342046</v>
      </c>
      <c r="P2212" s="37" t="n">
        <v>0</v>
      </c>
      <c r="Q2212" s="38" t="n">
        <v>0</v>
      </c>
      <c r="R2212" s="38" t="n">
        <v>68.4422484114903</v>
      </c>
      <c r="S2212" s="37" t="n">
        <v>0</v>
      </c>
    </row>
    <row r="2213" customFormat="false" ht="15" hidden="false" customHeight="false" outlineLevel="0" collapsed="false">
      <c r="A2213" s="37" t="n">
        <v>20</v>
      </c>
      <c r="B2213" s="37" t="n">
        <v>0</v>
      </c>
      <c r="C2213" s="37" t="n">
        <v>0</v>
      </c>
      <c r="D2213" s="37" t="n">
        <v>0</v>
      </c>
      <c r="E2213" s="37" t="n">
        <v>0</v>
      </c>
      <c r="F2213" s="37" t="n">
        <v>10</v>
      </c>
      <c r="G2213" s="37" t="s">
        <v>197</v>
      </c>
      <c r="H2213" s="38" t="n">
        <v>199.164885418052</v>
      </c>
      <c r="I2213" s="38" t="n">
        <v>199.168228416909</v>
      </c>
      <c r="J2213" s="38" t="n">
        <v>195.296996581773</v>
      </c>
      <c r="K2213" s="38" t="n">
        <v>238.630576202052</v>
      </c>
      <c r="L2213" s="38" t="n">
        <v>115.922915915298</v>
      </c>
      <c r="M2213" s="38" t="n">
        <v>100.495245004682</v>
      </c>
      <c r="N2213" s="38" t="n">
        <v>92.1082236641371</v>
      </c>
      <c r="O2213" s="38" t="n">
        <v>57.9684575027414</v>
      </c>
      <c r="P2213" s="37" t="n">
        <v>0</v>
      </c>
      <c r="Q2213" s="38" t="n">
        <v>0</v>
      </c>
      <c r="R2213" s="38" t="n">
        <v>70.5</v>
      </c>
      <c r="S2213" s="37" t="n">
        <v>0</v>
      </c>
    </row>
    <row r="2214" customFormat="false" ht="15" hidden="false" customHeight="false" outlineLevel="0" collapsed="false">
      <c r="A2214" s="37" t="n">
        <v>20</v>
      </c>
      <c r="B2214" s="37" t="n">
        <v>0</v>
      </c>
      <c r="C2214" s="37" t="n">
        <v>0</v>
      </c>
      <c r="D2214" s="37" t="n">
        <v>0</v>
      </c>
      <c r="E2214" s="37" t="n">
        <v>0</v>
      </c>
      <c r="F2214" s="37" t="n">
        <v>10</v>
      </c>
      <c r="G2214" s="37" t="s">
        <v>196</v>
      </c>
      <c r="H2214" s="38" t="n">
        <v>199.164885418052</v>
      </c>
      <c r="I2214" s="38" t="n">
        <v>199.168228416909</v>
      </c>
      <c r="J2214" s="38" t="n">
        <v>196.271112824109</v>
      </c>
      <c r="K2214" s="38" t="n">
        <v>239.994671022429</v>
      </c>
      <c r="L2214" s="38" t="n">
        <v>123.91005855108</v>
      </c>
      <c r="M2214" s="38" t="n">
        <v>102.175245004682</v>
      </c>
      <c r="N2214" s="38" t="n">
        <v>97.9712447139128</v>
      </c>
      <c r="O2214" s="38" t="n">
        <v>60.4686971144188</v>
      </c>
      <c r="P2214" s="37" t="n">
        <v>0</v>
      </c>
      <c r="Q2214" s="38" t="n">
        <v>0</v>
      </c>
      <c r="R2214" s="38" t="n">
        <v>69.5930263402096</v>
      </c>
      <c r="S2214" s="37" t="n">
        <v>0</v>
      </c>
    </row>
    <row r="2215" customFormat="false" ht="15" hidden="false" customHeight="false" outlineLevel="0" collapsed="false">
      <c r="A2215" s="37" t="n">
        <v>20</v>
      </c>
      <c r="B2215" s="37" t="n">
        <v>0</v>
      </c>
      <c r="C2215" s="37" t="n">
        <v>0</v>
      </c>
      <c r="D2215" s="37" t="n">
        <v>0</v>
      </c>
      <c r="E2215" s="37" t="n">
        <v>5</v>
      </c>
      <c r="F2215" s="37" t="n">
        <v>5</v>
      </c>
      <c r="G2215" s="37" t="s">
        <v>188</v>
      </c>
      <c r="H2215" s="38" t="n">
        <v>199.176349582354</v>
      </c>
      <c r="I2215" s="38" t="n">
        <v>199.723912413028</v>
      </c>
      <c r="J2215" s="38" t="n">
        <v>206.148190384846</v>
      </c>
      <c r="K2215" s="38" t="n">
        <v>257.472679752563</v>
      </c>
      <c r="L2215" s="38" t="n">
        <v>93.2551809924954</v>
      </c>
      <c r="M2215" s="38" t="n">
        <v>106.254470811524</v>
      </c>
      <c r="N2215" s="38" t="n">
        <v>116.818420485943</v>
      </c>
      <c r="O2215" s="38" t="n">
        <v>64.1224431554252</v>
      </c>
      <c r="P2215" s="37" t="n">
        <v>0</v>
      </c>
      <c r="Q2215" s="38" t="n">
        <v>0</v>
      </c>
      <c r="R2215" s="38" t="n">
        <v>70.5</v>
      </c>
      <c r="S2215" s="37" t="n">
        <v>1</v>
      </c>
    </row>
    <row r="2216" customFormat="false" ht="15" hidden="false" customHeight="false" outlineLevel="0" collapsed="false">
      <c r="A2216" s="37" t="n">
        <v>20</v>
      </c>
      <c r="B2216" s="37" t="n">
        <v>0</v>
      </c>
      <c r="C2216" s="37" t="n">
        <v>0</v>
      </c>
      <c r="D2216" s="37" t="n">
        <v>0</v>
      </c>
      <c r="E2216" s="37" t="n">
        <v>5</v>
      </c>
      <c r="F2216" s="37" t="n">
        <v>5</v>
      </c>
      <c r="G2216" s="37" t="s">
        <v>192</v>
      </c>
      <c r="H2216" s="38" t="n">
        <v>199.176349582354</v>
      </c>
      <c r="I2216" s="38" t="n">
        <v>199.385547053342</v>
      </c>
      <c r="J2216" s="38" t="n">
        <v>199.091910087475</v>
      </c>
      <c r="K2216" s="38" t="n">
        <v>244.741400463919</v>
      </c>
      <c r="L2216" s="38" t="n">
        <v>82.926632400311</v>
      </c>
      <c r="M2216" s="38" t="n">
        <v>96.9682468066812</v>
      </c>
      <c r="N2216" s="38" t="n">
        <v>97.620683703607</v>
      </c>
      <c r="O2216" s="38" t="n">
        <v>57.1544675003405</v>
      </c>
      <c r="P2216" s="37" t="n">
        <v>0</v>
      </c>
      <c r="Q2216" s="38" t="n">
        <v>0</v>
      </c>
      <c r="R2216" s="38" t="n">
        <v>70.5</v>
      </c>
      <c r="S2216" s="37" t="n">
        <v>0</v>
      </c>
    </row>
    <row r="2217" customFormat="false" ht="15" hidden="false" customHeight="false" outlineLevel="0" collapsed="false">
      <c r="A2217" s="37" t="n">
        <v>20</v>
      </c>
      <c r="B2217" s="37" t="n">
        <v>0</v>
      </c>
      <c r="C2217" s="37" t="n">
        <v>0</v>
      </c>
      <c r="D2217" s="37" t="n">
        <v>0</v>
      </c>
      <c r="E2217" s="37" t="n">
        <v>5</v>
      </c>
      <c r="F2217" s="37" t="n">
        <v>5</v>
      </c>
      <c r="G2217" s="37" t="s">
        <v>195</v>
      </c>
      <c r="H2217" s="38" t="n">
        <v>199.176349582354</v>
      </c>
      <c r="I2217" s="38" t="n">
        <v>199.385040603854</v>
      </c>
      <c r="J2217" s="38" t="n">
        <v>194.275668344768</v>
      </c>
      <c r="K2217" s="38" t="n">
        <v>234.811507744336</v>
      </c>
      <c r="L2217" s="38" t="n">
        <v>75.6363144721987</v>
      </c>
      <c r="M2217" s="38" t="n">
        <v>99.9665529717557</v>
      </c>
      <c r="N2217" s="38" t="n">
        <v>92.1334708317385</v>
      </c>
      <c r="O2217" s="38" t="n">
        <v>55.5329672198809</v>
      </c>
      <c r="P2217" s="37" t="n">
        <v>0</v>
      </c>
      <c r="Q2217" s="38" t="n">
        <v>0</v>
      </c>
      <c r="R2217" s="38" t="n">
        <v>68.4224420183589</v>
      </c>
      <c r="S2217" s="37" t="n">
        <v>0</v>
      </c>
    </row>
    <row r="2218" customFormat="false" ht="15" hidden="false" customHeight="false" outlineLevel="0" collapsed="false">
      <c r="A2218" s="37" t="n">
        <v>20</v>
      </c>
      <c r="B2218" s="37" t="n">
        <v>0</v>
      </c>
      <c r="C2218" s="37" t="n">
        <v>0</v>
      </c>
      <c r="D2218" s="37" t="n">
        <v>0</v>
      </c>
      <c r="E2218" s="37" t="n">
        <v>5</v>
      </c>
      <c r="F2218" s="37" t="n">
        <v>5</v>
      </c>
      <c r="G2218" s="37" t="s">
        <v>197</v>
      </c>
      <c r="H2218" s="38" t="n">
        <v>199.176349582354</v>
      </c>
      <c r="I2218" s="38" t="n">
        <v>199.398242665178</v>
      </c>
      <c r="J2218" s="38" t="n">
        <v>198.933195203592</v>
      </c>
      <c r="K2218" s="38" t="n">
        <v>244.715186757649</v>
      </c>
      <c r="L2218" s="38" t="n">
        <v>82.5402672284368</v>
      </c>
      <c r="M2218" s="38" t="n">
        <v>105.063137982041</v>
      </c>
      <c r="N2218" s="38" t="n">
        <v>108.654604787427</v>
      </c>
      <c r="O2218" s="38" t="n">
        <v>62.2395147003851</v>
      </c>
      <c r="P2218" s="37" t="n">
        <v>0</v>
      </c>
      <c r="Q2218" s="38" t="n">
        <v>0</v>
      </c>
      <c r="R2218" s="38" t="n">
        <v>70.5</v>
      </c>
      <c r="S2218" s="37" t="n">
        <v>0</v>
      </c>
    </row>
    <row r="2219" customFormat="false" ht="15" hidden="false" customHeight="false" outlineLevel="0" collapsed="false">
      <c r="A2219" s="37" t="n">
        <v>20</v>
      </c>
      <c r="B2219" s="37" t="n">
        <v>0</v>
      </c>
      <c r="C2219" s="37" t="n">
        <v>0</v>
      </c>
      <c r="D2219" s="37" t="n">
        <v>0</v>
      </c>
      <c r="E2219" s="37" t="n">
        <v>5</v>
      </c>
      <c r="F2219" s="37" t="n">
        <v>5</v>
      </c>
      <c r="G2219" s="37" t="s">
        <v>196</v>
      </c>
      <c r="H2219" s="38" t="n">
        <v>199.176349582354</v>
      </c>
      <c r="I2219" s="38" t="n">
        <v>199.391438989569</v>
      </c>
      <c r="J2219" s="38" t="n">
        <v>199.107551552815</v>
      </c>
      <c r="K2219" s="38" t="n">
        <v>244.940506317847</v>
      </c>
      <c r="L2219" s="38" t="n">
        <v>88.779232852353</v>
      </c>
      <c r="M2219" s="38" t="n">
        <v>104.114601572116</v>
      </c>
      <c r="N2219" s="38" t="n">
        <v>106.578124431922</v>
      </c>
      <c r="O2219" s="38" t="n">
        <v>62.0633842966772</v>
      </c>
      <c r="P2219" s="37" t="n">
        <v>0</v>
      </c>
      <c r="Q2219" s="38" t="n">
        <v>0</v>
      </c>
      <c r="R2219" s="38" t="n">
        <v>69.5746277016148</v>
      </c>
      <c r="S2219" s="37" t="n">
        <v>0</v>
      </c>
    </row>
    <row r="2220" customFormat="false" ht="15" hidden="false" customHeight="false" outlineLevel="0" collapsed="false">
      <c r="A2220" s="37" t="n">
        <v>20</v>
      </c>
      <c r="B2220" s="37" t="n">
        <v>0</v>
      </c>
      <c r="C2220" s="37" t="n">
        <v>0</v>
      </c>
      <c r="D2220" s="37" t="n">
        <v>0</v>
      </c>
      <c r="E2220" s="37" t="n">
        <v>10</v>
      </c>
      <c r="F2220" s="37" t="n">
        <v>0</v>
      </c>
      <c r="G2220" s="37" t="s">
        <v>188</v>
      </c>
      <c r="H2220" s="38" t="n">
        <v>199.190018601117</v>
      </c>
      <c r="I2220" s="38" t="n">
        <v>199.93934348965</v>
      </c>
      <c r="J2220" s="38" t="n">
        <v>209.194233526808</v>
      </c>
      <c r="K2220" s="38" t="n">
        <v>262.102502728152</v>
      </c>
      <c r="L2220" s="38" t="n">
        <v>58.112508764308</v>
      </c>
      <c r="M2220" s="38" t="n">
        <v>107.311794873564</v>
      </c>
      <c r="N2220" s="38" t="n">
        <v>123.59769481512</v>
      </c>
      <c r="O2220" s="38" t="n">
        <v>64.1244344806912</v>
      </c>
      <c r="P2220" s="37" t="n">
        <v>0</v>
      </c>
      <c r="Q2220" s="38" t="n">
        <v>0</v>
      </c>
      <c r="R2220" s="38" t="n">
        <v>70.5</v>
      </c>
      <c r="S2220" s="37" t="n">
        <v>1</v>
      </c>
    </row>
    <row r="2221" customFormat="false" ht="15" hidden="false" customHeight="false" outlineLevel="0" collapsed="false">
      <c r="A2221" s="37" t="n">
        <v>20</v>
      </c>
      <c r="B2221" s="37" t="n">
        <v>0</v>
      </c>
      <c r="C2221" s="37" t="n">
        <v>0</v>
      </c>
      <c r="D2221" s="37" t="n">
        <v>0</v>
      </c>
      <c r="E2221" s="37" t="n">
        <v>10</v>
      </c>
      <c r="F2221" s="37" t="n">
        <v>0</v>
      </c>
      <c r="G2221" s="37" t="s">
        <v>192</v>
      </c>
      <c r="H2221" s="38" t="n">
        <v>199.190018601117</v>
      </c>
      <c r="I2221" s="38" t="n">
        <v>199.605933090397</v>
      </c>
      <c r="J2221" s="38" t="n">
        <v>201.383247180987</v>
      </c>
      <c r="K2221" s="38" t="n">
        <v>248.881549356644</v>
      </c>
      <c r="L2221" s="38" t="n">
        <v>47.0639872663754</v>
      </c>
      <c r="M2221" s="38" t="n">
        <v>98.1065425244825</v>
      </c>
      <c r="N2221" s="38" t="n">
        <v>103.131267650548</v>
      </c>
      <c r="O2221" s="38" t="n">
        <v>57.0576181973781</v>
      </c>
      <c r="P2221" s="37" t="n">
        <v>0</v>
      </c>
      <c r="Q2221" s="38" t="n">
        <v>0</v>
      </c>
      <c r="R2221" s="38" t="n">
        <v>70.5</v>
      </c>
      <c r="S2221" s="37" t="n">
        <v>0</v>
      </c>
    </row>
    <row r="2222" customFormat="false" ht="15" hidden="false" customHeight="false" outlineLevel="0" collapsed="false">
      <c r="A2222" s="37" t="n">
        <v>20</v>
      </c>
      <c r="B2222" s="37" t="n">
        <v>0</v>
      </c>
      <c r="C2222" s="37" t="n">
        <v>0</v>
      </c>
      <c r="D2222" s="37" t="n">
        <v>0</v>
      </c>
      <c r="E2222" s="37" t="n">
        <v>10</v>
      </c>
      <c r="F2222" s="37" t="n">
        <v>0</v>
      </c>
      <c r="G2222" s="37" t="s">
        <v>195</v>
      </c>
      <c r="H2222" s="38" t="n">
        <v>199.190018601117</v>
      </c>
      <c r="I2222" s="38" t="n">
        <v>199.606208163141</v>
      </c>
      <c r="J2222" s="38" t="n">
        <v>196.562394784935</v>
      </c>
      <c r="K2222" s="38" t="n">
        <v>238.935487634801</v>
      </c>
      <c r="L2222" s="38" t="n">
        <v>39.7078734216521</v>
      </c>
      <c r="M2222" s="38" t="n">
        <v>101.106367584607</v>
      </c>
      <c r="N2222" s="38" t="n">
        <v>97.567183090658</v>
      </c>
      <c r="O2222" s="38" t="n">
        <v>55.5734236527378</v>
      </c>
      <c r="P2222" s="37" t="n">
        <v>0</v>
      </c>
      <c r="Q2222" s="38" t="n">
        <v>0</v>
      </c>
      <c r="R2222" s="38" t="n">
        <v>68.4067157360555</v>
      </c>
      <c r="S2222" s="37" t="n">
        <v>0</v>
      </c>
    </row>
    <row r="2223" customFormat="false" ht="15" hidden="false" customHeight="false" outlineLevel="0" collapsed="false">
      <c r="A2223" s="37" t="n">
        <v>20</v>
      </c>
      <c r="B2223" s="37" t="n">
        <v>0</v>
      </c>
      <c r="C2223" s="37" t="n">
        <v>0</v>
      </c>
      <c r="D2223" s="37" t="n">
        <v>0</v>
      </c>
      <c r="E2223" s="37" t="n">
        <v>10</v>
      </c>
      <c r="F2223" s="37" t="n">
        <v>0</v>
      </c>
      <c r="G2223" s="37" t="s">
        <v>197</v>
      </c>
      <c r="H2223" s="38" t="n">
        <v>199.190018601117</v>
      </c>
      <c r="I2223" s="38" t="n">
        <v>199.641432088131</v>
      </c>
      <c r="J2223" s="38" t="n">
        <v>202.142823676587</v>
      </c>
      <c r="K2223" s="38" t="n">
        <v>250.173413318472</v>
      </c>
      <c r="L2223" s="38" t="n">
        <v>48.6797797165906</v>
      </c>
      <c r="M2223" s="38" t="n">
        <v>108.794751940451</v>
      </c>
      <c r="N2223" s="38" t="n">
        <v>122.328781630952</v>
      </c>
      <c r="O2223" s="38" t="n">
        <v>63.9068104807259</v>
      </c>
      <c r="P2223" s="37" t="n">
        <v>0</v>
      </c>
      <c r="Q2223" s="38" t="n">
        <v>0</v>
      </c>
      <c r="R2223" s="38" t="n">
        <v>70.5</v>
      </c>
      <c r="S2223" s="37" t="n">
        <v>0</v>
      </c>
    </row>
    <row r="2224" customFormat="false" ht="15" hidden="false" customHeight="false" outlineLevel="0" collapsed="false">
      <c r="A2224" s="37" t="n">
        <v>20</v>
      </c>
      <c r="B2224" s="37" t="n">
        <v>0</v>
      </c>
      <c r="C2224" s="37" t="n">
        <v>0</v>
      </c>
      <c r="D2224" s="37" t="n">
        <v>0</v>
      </c>
      <c r="E2224" s="37" t="n">
        <v>10</v>
      </c>
      <c r="F2224" s="37" t="n">
        <v>0</v>
      </c>
      <c r="G2224" s="37" t="s">
        <v>196</v>
      </c>
      <c r="H2224" s="38" t="n">
        <v>199.190018601117</v>
      </c>
      <c r="I2224" s="38" t="n">
        <v>199.620164304859</v>
      </c>
      <c r="J2224" s="38" t="n">
        <v>201.407224674002</v>
      </c>
      <c r="K2224" s="38" t="n">
        <v>249.120227340472</v>
      </c>
      <c r="L2224" s="38" t="n">
        <v>52.8964706217441</v>
      </c>
      <c r="M2224" s="38" t="n">
        <v>105.742005619191</v>
      </c>
      <c r="N2224" s="38" t="n">
        <v>113.388582424089</v>
      </c>
      <c r="O2224" s="38" t="n">
        <v>62.4626591497315</v>
      </c>
      <c r="P2224" s="37" t="n">
        <v>0</v>
      </c>
      <c r="Q2224" s="38" t="n">
        <v>0</v>
      </c>
      <c r="R2224" s="38" t="n">
        <v>69.5596317208386</v>
      </c>
      <c r="S2224" s="37" t="n">
        <v>0</v>
      </c>
    </row>
    <row r="2225" customFormat="false" ht="15" hidden="false" customHeight="false" outlineLevel="0" collapsed="false">
      <c r="A2225" s="37" t="n">
        <v>20</v>
      </c>
      <c r="B2225" s="37" t="n">
        <v>0</v>
      </c>
      <c r="C2225" s="37" t="n">
        <v>0</v>
      </c>
      <c r="D2225" s="37" t="n">
        <v>5</v>
      </c>
      <c r="E2225" s="37" t="n">
        <v>0</v>
      </c>
      <c r="F2225" s="37" t="n">
        <v>5</v>
      </c>
      <c r="G2225" s="37" t="s">
        <v>188</v>
      </c>
      <c r="H2225" s="38" t="n">
        <v>199.318729745967</v>
      </c>
      <c r="I2225" s="38" t="n">
        <v>200.543611895077</v>
      </c>
      <c r="J2225" s="38" t="n">
        <v>208.211702132067</v>
      </c>
      <c r="K2225" s="38" t="n">
        <v>249.658440736542</v>
      </c>
      <c r="L2225" s="38" t="n">
        <v>85.8500797569974</v>
      </c>
      <c r="M2225" s="38" t="n">
        <v>106.081803306815</v>
      </c>
      <c r="N2225" s="38" t="n">
        <v>112.718250605582</v>
      </c>
      <c r="O2225" s="38" t="n">
        <v>67.3602918823281</v>
      </c>
      <c r="P2225" s="37" t="n">
        <v>0</v>
      </c>
      <c r="Q2225" s="38" t="n">
        <v>0</v>
      </c>
      <c r="R2225" s="38" t="n">
        <v>72</v>
      </c>
      <c r="S2225" s="37" t="n">
        <v>1</v>
      </c>
    </row>
    <row r="2226" customFormat="false" ht="15" hidden="false" customHeight="false" outlineLevel="0" collapsed="false">
      <c r="A2226" s="37" t="n">
        <v>20</v>
      </c>
      <c r="B2226" s="37" t="n">
        <v>0</v>
      </c>
      <c r="C2226" s="37" t="n">
        <v>0</v>
      </c>
      <c r="D2226" s="37" t="n">
        <v>5</v>
      </c>
      <c r="E2226" s="37" t="n">
        <v>0</v>
      </c>
      <c r="F2226" s="37" t="n">
        <v>5</v>
      </c>
      <c r="G2226" s="37" t="s">
        <v>192</v>
      </c>
      <c r="H2226" s="38" t="n">
        <v>199.318729745967</v>
      </c>
      <c r="I2226" s="38" t="n">
        <v>200.162289368082</v>
      </c>
      <c r="J2226" s="38" t="n">
        <v>200.79969504225</v>
      </c>
      <c r="K2226" s="38" t="n">
        <v>236.370259913008</v>
      </c>
      <c r="L2226" s="38" t="n">
        <v>74.8454026352068</v>
      </c>
      <c r="M2226" s="38" t="n">
        <v>96.6945466860108</v>
      </c>
      <c r="N2226" s="38" t="n">
        <v>93.552402076761</v>
      </c>
      <c r="O2226" s="38" t="n">
        <v>59.7188250236583</v>
      </c>
      <c r="P2226" s="37" t="n">
        <v>0</v>
      </c>
      <c r="Q2226" s="38" t="n">
        <v>0</v>
      </c>
      <c r="R2226" s="38" t="n">
        <v>72</v>
      </c>
      <c r="S2226" s="37" t="n">
        <v>0</v>
      </c>
    </row>
    <row r="2227" customFormat="false" ht="15" hidden="false" customHeight="false" outlineLevel="0" collapsed="false">
      <c r="A2227" s="37" t="n">
        <v>20</v>
      </c>
      <c r="B2227" s="37" t="n">
        <v>0</v>
      </c>
      <c r="C2227" s="37" t="n">
        <v>0</v>
      </c>
      <c r="D2227" s="37" t="n">
        <v>5</v>
      </c>
      <c r="E2227" s="37" t="n">
        <v>0</v>
      </c>
      <c r="F2227" s="37" t="n">
        <v>5</v>
      </c>
      <c r="G2227" s="37" t="s">
        <v>195</v>
      </c>
      <c r="H2227" s="38" t="n">
        <v>199.318729745967</v>
      </c>
      <c r="I2227" s="38" t="n">
        <v>200.191995380116</v>
      </c>
      <c r="J2227" s="38" t="n">
        <v>198.443062279459</v>
      </c>
      <c r="K2227" s="38" t="n">
        <v>230.369586078604</v>
      </c>
      <c r="L2227" s="38" t="n">
        <v>72.6145796497105</v>
      </c>
      <c r="M2227" s="38" t="n">
        <v>101.32233166402</v>
      </c>
      <c r="N2227" s="38" t="n">
        <v>95.8178401220224</v>
      </c>
      <c r="O2227" s="38" t="n">
        <v>61.3901709651953</v>
      </c>
      <c r="P2227" s="37" t="n">
        <v>0</v>
      </c>
      <c r="Q2227" s="38" t="n">
        <v>0</v>
      </c>
      <c r="R2227" s="38" t="n">
        <v>70.3484980713318</v>
      </c>
      <c r="S2227" s="37" t="n">
        <v>0</v>
      </c>
    </row>
    <row r="2228" customFormat="false" ht="15" hidden="false" customHeight="false" outlineLevel="0" collapsed="false">
      <c r="A2228" s="37" t="n">
        <v>20</v>
      </c>
      <c r="B2228" s="37" t="n">
        <v>0</v>
      </c>
      <c r="C2228" s="37" t="n">
        <v>0</v>
      </c>
      <c r="D2228" s="37" t="n">
        <v>5</v>
      </c>
      <c r="E2228" s="37" t="n">
        <v>0</v>
      </c>
      <c r="F2228" s="37" t="n">
        <v>5</v>
      </c>
      <c r="G2228" s="37" t="s">
        <v>197</v>
      </c>
      <c r="H2228" s="38" t="n">
        <v>199.318729745967</v>
      </c>
      <c r="I2228" s="38" t="n">
        <v>200.162553451039</v>
      </c>
      <c r="J2228" s="38" t="n">
        <v>200.139250984197</v>
      </c>
      <c r="K2228" s="38" t="n">
        <v>235.505848994888</v>
      </c>
      <c r="L2228" s="38" t="n">
        <v>73.0500983807967</v>
      </c>
      <c r="M2228" s="38" t="n">
        <v>101.495161790546</v>
      </c>
      <c r="N2228" s="38" t="n">
        <v>95.6888261421928</v>
      </c>
      <c r="O2228" s="38" t="n">
        <v>61.1672192655317</v>
      </c>
      <c r="P2228" s="37" t="n">
        <v>0</v>
      </c>
      <c r="Q2228" s="38" t="n">
        <v>0</v>
      </c>
      <c r="R2228" s="38" t="n">
        <v>72</v>
      </c>
      <c r="S2228" s="37" t="n">
        <v>0</v>
      </c>
    </row>
    <row r="2229" customFormat="false" ht="15" hidden="false" customHeight="false" outlineLevel="0" collapsed="false">
      <c r="A2229" s="37" t="n">
        <v>20</v>
      </c>
      <c r="B2229" s="37" t="n">
        <v>0</v>
      </c>
      <c r="C2229" s="37" t="n">
        <v>0</v>
      </c>
      <c r="D2229" s="37" t="n">
        <v>5</v>
      </c>
      <c r="E2229" s="37" t="n">
        <v>0</v>
      </c>
      <c r="F2229" s="37" t="n">
        <v>5</v>
      </c>
      <c r="G2229" s="37" t="s">
        <v>196</v>
      </c>
      <c r="H2229" s="38" t="n">
        <v>199.318729745967</v>
      </c>
      <c r="I2229" s="38" t="n">
        <v>200.163906739495</v>
      </c>
      <c r="J2229" s="38" t="n">
        <v>193.446892824632</v>
      </c>
      <c r="K2229" s="38" t="n">
        <v>237.750982624716</v>
      </c>
      <c r="L2229" s="38" t="n">
        <v>84.19542706916</v>
      </c>
      <c r="M2229" s="38" t="n">
        <v>103.803180558258</v>
      </c>
      <c r="N2229" s="38" t="n">
        <v>101.092838101203</v>
      </c>
      <c r="O2229" s="38" t="n">
        <v>61.7914793954392</v>
      </c>
      <c r="P2229" s="37" t="n">
        <v>0</v>
      </c>
      <c r="Q2229" s="38" t="n">
        <v>0</v>
      </c>
      <c r="R2229" s="38" t="n">
        <v>70.637605878624</v>
      </c>
      <c r="S2229" s="37" t="n">
        <v>0</v>
      </c>
    </row>
    <row r="2230" customFormat="false" ht="15" hidden="false" customHeight="false" outlineLevel="0" collapsed="false">
      <c r="A2230" s="37" t="n">
        <v>20</v>
      </c>
      <c r="B2230" s="37" t="n">
        <v>0</v>
      </c>
      <c r="C2230" s="37" t="n">
        <v>0</v>
      </c>
      <c r="D2230" s="37" t="n">
        <v>5</v>
      </c>
      <c r="E2230" s="37" t="n">
        <v>5</v>
      </c>
      <c r="F2230" s="37" t="n">
        <v>0</v>
      </c>
      <c r="G2230" s="37" t="s">
        <v>188</v>
      </c>
      <c r="H2230" s="38" t="n">
        <v>199.324186423004</v>
      </c>
      <c r="I2230" s="38" t="n">
        <v>200.765815796321</v>
      </c>
      <c r="J2230" s="38" t="n">
        <v>212.813397439032</v>
      </c>
      <c r="K2230" s="38" t="n">
        <v>256.458583794585</v>
      </c>
      <c r="L2230" s="38" t="n">
        <v>52.9255603170441</v>
      </c>
      <c r="M2230" s="38" t="n">
        <v>107.300316137439</v>
      </c>
      <c r="N2230" s="38" t="n">
        <v>122.119921513998</v>
      </c>
      <c r="O2230" s="38" t="n">
        <v>67.8259535975699</v>
      </c>
      <c r="P2230" s="37" t="n">
        <v>0</v>
      </c>
      <c r="Q2230" s="38" t="n">
        <v>0</v>
      </c>
      <c r="R2230" s="38" t="n">
        <v>72</v>
      </c>
      <c r="S2230" s="37" t="n">
        <v>1</v>
      </c>
    </row>
    <row r="2231" customFormat="false" ht="15" hidden="false" customHeight="false" outlineLevel="0" collapsed="false">
      <c r="A2231" s="37" t="n">
        <v>20</v>
      </c>
      <c r="B2231" s="37" t="n">
        <v>0</v>
      </c>
      <c r="C2231" s="37" t="n">
        <v>0</v>
      </c>
      <c r="D2231" s="37" t="n">
        <v>5</v>
      </c>
      <c r="E2231" s="37" t="n">
        <v>5</v>
      </c>
      <c r="F2231" s="37" t="n">
        <v>0</v>
      </c>
      <c r="G2231" s="37" t="s">
        <v>192</v>
      </c>
      <c r="H2231" s="38" t="n">
        <v>199.324186423004</v>
      </c>
      <c r="I2231" s="38" t="n">
        <v>200.393766420728</v>
      </c>
      <c r="J2231" s="38" t="n">
        <v>204.319076968186</v>
      </c>
      <c r="K2231" s="38" t="n">
        <v>242.004464025765</v>
      </c>
      <c r="L2231" s="38" t="n">
        <v>40.4669750438732</v>
      </c>
      <c r="M2231" s="38" t="n">
        <v>97.9879424487876</v>
      </c>
      <c r="N2231" s="38" t="n">
        <v>101.387890760087</v>
      </c>
      <c r="O2231" s="38" t="n">
        <v>59.9479634615808</v>
      </c>
      <c r="P2231" s="37" t="n">
        <v>0</v>
      </c>
      <c r="Q2231" s="38" t="n">
        <v>0</v>
      </c>
      <c r="R2231" s="38" t="n">
        <v>72</v>
      </c>
      <c r="S2231" s="37" t="n">
        <v>0</v>
      </c>
    </row>
    <row r="2232" customFormat="false" ht="15" hidden="false" customHeight="false" outlineLevel="0" collapsed="false">
      <c r="A2232" s="37" t="n">
        <v>20</v>
      </c>
      <c r="B2232" s="37" t="n">
        <v>0</v>
      </c>
      <c r="C2232" s="37" t="n">
        <v>0</v>
      </c>
      <c r="D2232" s="37" t="n">
        <v>5</v>
      </c>
      <c r="E2232" s="37" t="n">
        <v>5</v>
      </c>
      <c r="F2232" s="37" t="n">
        <v>0</v>
      </c>
      <c r="G2232" s="37" t="s">
        <v>195</v>
      </c>
      <c r="H2232" s="38" t="n">
        <v>199.324186423004</v>
      </c>
      <c r="I2232" s="38" t="n">
        <v>200.432571970009</v>
      </c>
      <c r="J2232" s="38" t="n">
        <v>201.935108122046</v>
      </c>
      <c r="K2232" s="38" t="n">
        <v>236.063952385993</v>
      </c>
      <c r="L2232" s="38" t="n">
        <v>38.2018081881437</v>
      </c>
      <c r="M2232" s="38" t="n">
        <v>102.59461583696</v>
      </c>
      <c r="N2232" s="38" t="n">
        <v>102.183486046032</v>
      </c>
      <c r="O2232" s="38" t="n">
        <v>61.7382330402203</v>
      </c>
      <c r="P2232" s="37" t="n">
        <v>0</v>
      </c>
      <c r="Q2232" s="38" t="n">
        <v>0</v>
      </c>
      <c r="R2232" s="38" t="n">
        <v>70.3163567406451</v>
      </c>
      <c r="S2232" s="37" t="n">
        <v>0</v>
      </c>
    </row>
    <row r="2233" customFormat="false" ht="15" hidden="false" customHeight="false" outlineLevel="0" collapsed="false">
      <c r="A2233" s="37" t="n">
        <v>20</v>
      </c>
      <c r="B2233" s="37" t="n">
        <v>0</v>
      </c>
      <c r="C2233" s="37" t="n">
        <v>0</v>
      </c>
      <c r="D2233" s="37" t="n">
        <v>5</v>
      </c>
      <c r="E2233" s="37" t="n">
        <v>5</v>
      </c>
      <c r="F2233" s="37" t="n">
        <v>0</v>
      </c>
      <c r="G2233" s="37" t="s">
        <v>197</v>
      </c>
      <c r="H2233" s="38" t="n">
        <v>199.324186423004</v>
      </c>
      <c r="I2233" s="38" t="n">
        <v>200.408880988129</v>
      </c>
      <c r="J2233" s="38" t="n">
        <v>204.351832182658</v>
      </c>
      <c r="K2233" s="38" t="n">
        <v>242.189887364042</v>
      </c>
      <c r="L2233" s="38" t="n">
        <v>40.2521727898377</v>
      </c>
      <c r="M2233" s="38" t="n">
        <v>106.032837723221</v>
      </c>
      <c r="N2233" s="38" t="n">
        <v>112.852940355303</v>
      </c>
      <c r="O2233" s="38" t="n">
        <v>65.4825487942045</v>
      </c>
      <c r="P2233" s="37" t="n">
        <v>0</v>
      </c>
      <c r="Q2233" s="38" t="n">
        <v>0</v>
      </c>
      <c r="R2233" s="38" t="n">
        <v>72</v>
      </c>
      <c r="S2233" s="37" t="n">
        <v>0</v>
      </c>
    </row>
    <row r="2234" customFormat="false" ht="15" hidden="false" customHeight="false" outlineLevel="0" collapsed="false">
      <c r="A2234" s="37" t="n">
        <v>20</v>
      </c>
      <c r="B2234" s="37" t="n">
        <v>0</v>
      </c>
      <c r="C2234" s="37" t="n">
        <v>0</v>
      </c>
      <c r="D2234" s="37" t="n">
        <v>5</v>
      </c>
      <c r="E2234" s="37" t="n">
        <v>5</v>
      </c>
      <c r="F2234" s="37" t="n">
        <v>0</v>
      </c>
      <c r="G2234" s="37" t="s">
        <v>196</v>
      </c>
      <c r="H2234" s="38" t="n">
        <v>199.324186423004</v>
      </c>
      <c r="I2234" s="38" t="n">
        <v>200.405751598726</v>
      </c>
      <c r="J2234" s="38" t="n">
        <v>204.641091172908</v>
      </c>
      <c r="K2234" s="38" t="n">
        <v>242.534331680851</v>
      </c>
      <c r="L2234" s="38" t="n">
        <v>46.4169483929096</v>
      </c>
      <c r="M2234" s="38" t="n">
        <v>105.71470895768</v>
      </c>
      <c r="N2234" s="38" t="n">
        <v>112.242120179509</v>
      </c>
      <c r="O2234" s="38" t="n">
        <v>64.9515805198071</v>
      </c>
      <c r="P2234" s="37" t="n">
        <v>0</v>
      </c>
      <c r="Q2234" s="38" t="n">
        <v>0</v>
      </c>
      <c r="R2234" s="38" t="n">
        <v>71.0851613442275</v>
      </c>
      <c r="S2234" s="37" t="n">
        <v>0</v>
      </c>
    </row>
    <row r="2235" customFormat="false" ht="15" hidden="false" customHeight="false" outlineLevel="0" collapsed="false">
      <c r="A2235" s="37" t="n">
        <v>20</v>
      </c>
      <c r="B2235" s="37" t="n">
        <v>0</v>
      </c>
      <c r="C2235" s="37" t="n">
        <v>0</v>
      </c>
      <c r="D2235" s="37" t="n">
        <v>10</v>
      </c>
      <c r="E2235" s="37" t="n">
        <v>0</v>
      </c>
      <c r="F2235" s="37" t="n">
        <v>0</v>
      </c>
      <c r="G2235" s="37" t="s">
        <v>188</v>
      </c>
      <c r="H2235" s="38" t="n">
        <v>199.526475318262</v>
      </c>
      <c r="I2235" s="38" t="n">
        <v>201.433579443434</v>
      </c>
      <c r="J2235" s="38" t="n">
        <v>212.370707115408</v>
      </c>
      <c r="K2235" s="38" t="n">
        <v>249.952847937679</v>
      </c>
      <c r="L2235" s="38" t="n">
        <v>46.64690991472</v>
      </c>
      <c r="M2235" s="38" t="n">
        <v>106.809559455902</v>
      </c>
      <c r="N2235" s="38" t="n">
        <v>116.216235692558</v>
      </c>
      <c r="O2235" s="38" t="n">
        <v>68.0630162501727</v>
      </c>
      <c r="P2235" s="37" t="n">
        <v>0</v>
      </c>
      <c r="Q2235" s="38" t="n">
        <v>0</v>
      </c>
      <c r="R2235" s="38" t="n">
        <v>72</v>
      </c>
      <c r="S2235" s="37" t="n">
        <v>1</v>
      </c>
    </row>
    <row r="2236" customFormat="false" ht="15" hidden="false" customHeight="false" outlineLevel="0" collapsed="false">
      <c r="A2236" s="37" t="n">
        <v>20</v>
      </c>
      <c r="B2236" s="37" t="n">
        <v>0</v>
      </c>
      <c r="C2236" s="37" t="n">
        <v>0</v>
      </c>
      <c r="D2236" s="37" t="n">
        <v>10</v>
      </c>
      <c r="E2236" s="37" t="n">
        <v>0</v>
      </c>
      <c r="F2236" s="37" t="n">
        <v>0</v>
      </c>
      <c r="G2236" s="37" t="s">
        <v>192</v>
      </c>
      <c r="H2236" s="38" t="n">
        <v>199.526475318262</v>
      </c>
      <c r="I2236" s="38" t="n">
        <v>201.045585765389</v>
      </c>
      <c r="J2236" s="38" t="n">
        <v>204.321543113426</v>
      </c>
      <c r="K2236" s="38" t="n">
        <v>235.80332447248</v>
      </c>
      <c r="L2236" s="38" t="n">
        <v>34.5080014318446</v>
      </c>
      <c r="M2236" s="38" t="n">
        <v>97.411577707041</v>
      </c>
      <c r="N2236" s="38" t="n">
        <v>91.6137285079993</v>
      </c>
      <c r="O2236" s="38" t="n">
        <v>60.0075234728936</v>
      </c>
      <c r="P2236" s="37" t="n">
        <v>0</v>
      </c>
      <c r="Q2236" s="38" t="n">
        <v>0</v>
      </c>
      <c r="R2236" s="38" t="n">
        <v>72</v>
      </c>
      <c r="S2236" s="37" t="n">
        <v>0</v>
      </c>
    </row>
    <row r="2237" customFormat="false" ht="15" hidden="false" customHeight="false" outlineLevel="0" collapsed="false">
      <c r="A2237" s="37" t="n">
        <v>20</v>
      </c>
      <c r="B2237" s="37" t="n">
        <v>0</v>
      </c>
      <c r="C2237" s="37" t="n">
        <v>0</v>
      </c>
      <c r="D2237" s="37" t="n">
        <v>10</v>
      </c>
      <c r="E2237" s="37" t="n">
        <v>0</v>
      </c>
      <c r="F2237" s="37" t="n">
        <v>0</v>
      </c>
      <c r="G2237" s="37" t="s">
        <v>195</v>
      </c>
      <c r="H2237" s="38" t="n">
        <v>199.526475318262</v>
      </c>
      <c r="I2237" s="38" t="n">
        <v>201.131745152137</v>
      </c>
      <c r="J2237" s="38" t="n">
        <v>202.434972329815</v>
      </c>
      <c r="K2237" s="38" t="n">
        <v>233.659404676508</v>
      </c>
      <c r="L2237" s="38" t="n">
        <v>40.4094046765082</v>
      </c>
      <c r="M2237" s="38" t="n">
        <v>103.32504742578</v>
      </c>
      <c r="N2237" s="38" t="n">
        <v>103.516638847492</v>
      </c>
      <c r="O2237" s="38" t="n">
        <v>63.1465997131126</v>
      </c>
      <c r="P2237" s="37" t="n">
        <v>0</v>
      </c>
      <c r="Q2237" s="38" t="n">
        <v>0</v>
      </c>
      <c r="R2237" s="38" t="n">
        <v>67.2735006886289</v>
      </c>
      <c r="S2237" s="37" t="n">
        <v>0</v>
      </c>
    </row>
    <row r="2238" customFormat="false" ht="15" hidden="false" customHeight="false" outlineLevel="0" collapsed="false">
      <c r="A2238" s="37" t="n">
        <v>20</v>
      </c>
      <c r="B2238" s="37" t="n">
        <v>0</v>
      </c>
      <c r="C2238" s="37" t="n">
        <v>0</v>
      </c>
      <c r="D2238" s="37" t="n">
        <v>10</v>
      </c>
      <c r="E2238" s="37" t="n">
        <v>0</v>
      </c>
      <c r="F2238" s="37" t="n">
        <v>0</v>
      </c>
      <c r="G2238" s="37" t="s">
        <v>197</v>
      </c>
      <c r="H2238" s="38" t="n">
        <v>199.526475318262</v>
      </c>
      <c r="I2238" s="38" t="n">
        <v>201.046152110567</v>
      </c>
      <c r="J2238" s="38" t="n">
        <v>203.708841567681</v>
      </c>
      <c r="K2238" s="38" t="n">
        <v>235.022295949276</v>
      </c>
      <c r="L2238" s="38" t="n">
        <v>32.767899462702</v>
      </c>
      <c r="M2238" s="38" t="n">
        <v>102.212887529463</v>
      </c>
      <c r="N2238" s="38" t="n">
        <v>92.4383343233557</v>
      </c>
      <c r="O2238" s="38" t="n">
        <v>61.7512729842627</v>
      </c>
      <c r="P2238" s="37" t="n">
        <v>0</v>
      </c>
      <c r="Q2238" s="38" t="n">
        <v>0</v>
      </c>
      <c r="R2238" s="38" t="n">
        <v>72</v>
      </c>
      <c r="S2238" s="37" t="n">
        <v>0</v>
      </c>
    </row>
    <row r="2239" customFormat="false" ht="15" hidden="false" customHeight="false" outlineLevel="0" collapsed="false">
      <c r="A2239" s="37" t="n">
        <v>20</v>
      </c>
      <c r="B2239" s="37" t="n">
        <v>0</v>
      </c>
      <c r="C2239" s="37" t="n">
        <v>0</v>
      </c>
      <c r="D2239" s="37" t="n">
        <v>10</v>
      </c>
      <c r="E2239" s="37" t="n">
        <v>0</v>
      </c>
      <c r="F2239" s="37" t="n">
        <v>0</v>
      </c>
      <c r="G2239" s="37" t="s">
        <v>196</v>
      </c>
      <c r="H2239" s="38" t="n">
        <v>199.526475318262</v>
      </c>
      <c r="I2239" s="38" t="n">
        <v>201.047861044588</v>
      </c>
      <c r="J2239" s="38" t="n">
        <v>196.991950705689</v>
      </c>
      <c r="K2239" s="38" t="n">
        <v>237.281626114538</v>
      </c>
      <c r="L2239" s="38" t="n">
        <v>43.726070558982</v>
      </c>
      <c r="M2239" s="38" t="n">
        <v>104.98191908465</v>
      </c>
      <c r="N2239" s="38" t="n">
        <v>104.834479694961</v>
      </c>
      <c r="O2239" s="38" t="n">
        <v>62.2934795440491</v>
      </c>
      <c r="P2239" s="37" t="n">
        <v>0</v>
      </c>
      <c r="Q2239" s="38" t="n">
        <v>0</v>
      </c>
      <c r="R2239" s="38" t="n">
        <v>70.7373333333333</v>
      </c>
      <c r="S2239" s="37" t="n">
        <v>0</v>
      </c>
    </row>
    <row r="2240" customFormat="false" ht="15" hidden="false" customHeight="false" outlineLevel="0" collapsed="false">
      <c r="A2240" s="37" t="n">
        <v>20</v>
      </c>
      <c r="B2240" s="37" t="n">
        <v>0</v>
      </c>
      <c r="C2240" s="37" t="n">
        <v>5</v>
      </c>
      <c r="D2240" s="37" t="n">
        <v>0</v>
      </c>
      <c r="E2240" s="37" t="n">
        <v>0</v>
      </c>
      <c r="F2240" s="37" t="n">
        <v>5</v>
      </c>
      <c r="G2240" s="37" t="s">
        <v>188</v>
      </c>
      <c r="H2240" s="38" t="n">
        <v>199.257198741648</v>
      </c>
      <c r="I2240" s="38" t="n">
        <v>201.545936462671</v>
      </c>
      <c r="J2240" s="38" t="n">
        <v>222.651901979135</v>
      </c>
      <c r="K2240" s="38" t="n">
        <v>282.062703023257</v>
      </c>
      <c r="L2240" s="38" t="n">
        <v>118.842635388077</v>
      </c>
      <c r="M2240" s="38" t="n">
        <v>110.789654390809</v>
      </c>
      <c r="N2240" s="38" t="n">
        <v>141.917155908213</v>
      </c>
      <c r="O2240" s="38" t="n">
        <v>75.3350044922534</v>
      </c>
      <c r="P2240" s="37" t="n">
        <v>0</v>
      </c>
      <c r="Q2240" s="38" t="n">
        <v>0</v>
      </c>
      <c r="R2240" s="38" t="n">
        <v>70.5</v>
      </c>
      <c r="S2240" s="37" t="n">
        <v>1</v>
      </c>
    </row>
    <row r="2241" customFormat="false" ht="15" hidden="false" customHeight="false" outlineLevel="0" collapsed="false">
      <c r="A2241" s="37" t="n">
        <v>20</v>
      </c>
      <c r="B2241" s="37" t="n">
        <v>0</v>
      </c>
      <c r="C2241" s="37" t="n">
        <v>5</v>
      </c>
      <c r="D2241" s="37" t="n">
        <v>0</v>
      </c>
      <c r="E2241" s="37" t="n">
        <v>0</v>
      </c>
      <c r="F2241" s="37" t="n">
        <v>5</v>
      </c>
      <c r="G2241" s="37" t="s">
        <v>192</v>
      </c>
      <c r="H2241" s="38" t="n">
        <v>199.257198741648</v>
      </c>
      <c r="I2241" s="38" t="n">
        <v>201.065880912123</v>
      </c>
      <c r="J2241" s="38" t="n">
        <v>212.783585404905</v>
      </c>
      <c r="K2241" s="38" t="n">
        <v>264.809036742343</v>
      </c>
      <c r="L2241" s="38" t="n">
        <v>103.343459466517</v>
      </c>
      <c r="M2241" s="38" t="n">
        <v>101.128517714597</v>
      </c>
      <c r="N2241" s="38" t="n">
        <v>119.416055188193</v>
      </c>
      <c r="O2241" s="38" t="n">
        <v>66.2249991906065</v>
      </c>
      <c r="P2241" s="37" t="n">
        <v>0</v>
      </c>
      <c r="Q2241" s="38" t="n">
        <v>0</v>
      </c>
      <c r="R2241" s="38" t="n">
        <v>70.5</v>
      </c>
      <c r="S2241" s="37" t="n">
        <v>0</v>
      </c>
    </row>
    <row r="2242" customFormat="false" ht="15" hidden="false" customHeight="false" outlineLevel="0" collapsed="false">
      <c r="A2242" s="37" t="n">
        <v>20</v>
      </c>
      <c r="B2242" s="37" t="n">
        <v>0</v>
      </c>
      <c r="C2242" s="37" t="n">
        <v>5</v>
      </c>
      <c r="D2242" s="37" t="n">
        <v>0</v>
      </c>
      <c r="E2242" s="37" t="n">
        <v>0</v>
      </c>
      <c r="F2242" s="37" t="n">
        <v>5</v>
      </c>
      <c r="G2242" s="37" t="s">
        <v>195</v>
      </c>
      <c r="H2242" s="38" t="n">
        <v>199.257198741648</v>
      </c>
      <c r="I2242" s="38" t="n">
        <v>201.072739145714</v>
      </c>
      <c r="J2242" s="38" t="n">
        <v>207.962728641471</v>
      </c>
      <c r="K2242" s="38" t="n">
        <v>255.235319939536</v>
      </c>
      <c r="L2242" s="38" t="n">
        <v>96.257538140351</v>
      </c>
      <c r="M2242" s="38" t="n">
        <v>104.13988489943</v>
      </c>
      <c r="N2242" s="38" t="n">
        <v>114.488042891788</v>
      </c>
      <c r="O2242" s="38" t="n">
        <v>62.9321794510435</v>
      </c>
      <c r="P2242" s="37" t="n">
        <v>0</v>
      </c>
      <c r="Q2242" s="38" t="n">
        <v>0</v>
      </c>
      <c r="R2242" s="38" t="n">
        <v>68.4816654602444</v>
      </c>
      <c r="S2242" s="37" t="n">
        <v>0</v>
      </c>
    </row>
    <row r="2243" customFormat="false" ht="15" hidden="false" customHeight="false" outlineLevel="0" collapsed="false">
      <c r="A2243" s="37" t="n">
        <v>20</v>
      </c>
      <c r="B2243" s="37" t="n">
        <v>0</v>
      </c>
      <c r="C2243" s="37" t="n">
        <v>5</v>
      </c>
      <c r="D2243" s="37" t="n">
        <v>0</v>
      </c>
      <c r="E2243" s="37" t="n">
        <v>0</v>
      </c>
      <c r="F2243" s="37" t="n">
        <v>5</v>
      </c>
      <c r="G2243" s="37" t="s">
        <v>197</v>
      </c>
      <c r="H2243" s="38" t="n">
        <v>199.257198741648</v>
      </c>
      <c r="I2243" s="38" t="n">
        <v>201.061791832028</v>
      </c>
      <c r="J2243" s="38" t="n">
        <v>211.865866048005</v>
      </c>
      <c r="K2243" s="38" t="n">
        <v>263.624237903437</v>
      </c>
      <c r="L2243" s="38" t="n">
        <v>101.039957388438</v>
      </c>
      <c r="M2243" s="38" t="n">
        <v>103.681051079039</v>
      </c>
      <c r="N2243" s="38" t="n">
        <v>115.913914471276</v>
      </c>
      <c r="O2243" s="38" t="n">
        <v>64.8309954662906</v>
      </c>
      <c r="P2243" s="37" t="n">
        <v>0</v>
      </c>
      <c r="Q2243" s="38" t="n">
        <v>0</v>
      </c>
      <c r="R2243" s="38" t="n">
        <v>70.5</v>
      </c>
      <c r="S2243" s="37" t="n">
        <v>0</v>
      </c>
    </row>
    <row r="2244" customFormat="false" ht="15" hidden="false" customHeight="false" outlineLevel="0" collapsed="false">
      <c r="A2244" s="37" t="n">
        <v>20</v>
      </c>
      <c r="B2244" s="37" t="n">
        <v>0</v>
      </c>
      <c r="C2244" s="37" t="n">
        <v>5</v>
      </c>
      <c r="D2244" s="37" t="n">
        <v>0</v>
      </c>
      <c r="E2244" s="37" t="n">
        <v>0</v>
      </c>
      <c r="F2244" s="37" t="n">
        <v>5</v>
      </c>
      <c r="G2244" s="37" t="s">
        <v>196</v>
      </c>
      <c r="H2244" s="38" t="n">
        <v>199.257198741648</v>
      </c>
      <c r="I2244" s="38" t="n">
        <v>201.077305359746</v>
      </c>
      <c r="J2244" s="38" t="n">
        <v>212.66279154577</v>
      </c>
      <c r="K2244" s="38" t="n">
        <v>264.88592953349</v>
      </c>
      <c r="L2244" s="38" t="n">
        <v>108.660188144823</v>
      </c>
      <c r="M2244" s="38" t="n">
        <v>106.270908508509</v>
      </c>
      <c r="N2244" s="38" t="n">
        <v>123.469702585829</v>
      </c>
      <c r="O2244" s="38" t="n">
        <v>69.5583550162051</v>
      </c>
      <c r="P2244" s="37" t="n">
        <v>0</v>
      </c>
      <c r="Q2244" s="38" t="n">
        <v>0</v>
      </c>
      <c r="R2244" s="38" t="n">
        <v>69.5591554000533</v>
      </c>
      <c r="S2244" s="37" t="n">
        <v>0</v>
      </c>
    </row>
    <row r="2245" customFormat="false" ht="15" hidden="false" customHeight="false" outlineLevel="0" collapsed="false">
      <c r="A2245" s="37" t="n">
        <v>20</v>
      </c>
      <c r="B2245" s="37" t="n">
        <v>0</v>
      </c>
      <c r="C2245" s="37" t="n">
        <v>5</v>
      </c>
      <c r="D2245" s="37" t="n">
        <v>0</v>
      </c>
      <c r="E2245" s="37" t="n">
        <v>5</v>
      </c>
      <c r="F2245" s="37" t="n">
        <v>0</v>
      </c>
      <c r="G2245" s="37" t="s">
        <v>188</v>
      </c>
      <c r="H2245" s="38" t="n">
        <v>199.237457378303</v>
      </c>
      <c r="I2245" s="38" t="n">
        <v>201.477990638138</v>
      </c>
      <c r="J2245" s="38" t="n">
        <v>225.416411955952</v>
      </c>
      <c r="K2245" s="38" t="n">
        <v>285.098086781252</v>
      </c>
      <c r="L2245" s="38" t="n">
        <v>81.9918220445472</v>
      </c>
      <c r="M2245" s="38" t="n">
        <v>111.113340936315</v>
      </c>
      <c r="N2245" s="38" t="n">
        <v>148.377709765555</v>
      </c>
      <c r="O2245" s="38" t="n">
        <v>75.1603761657713</v>
      </c>
      <c r="P2245" s="37" t="n">
        <v>0</v>
      </c>
      <c r="Q2245" s="38" t="n">
        <v>0</v>
      </c>
      <c r="R2245" s="38" t="n">
        <v>70.5</v>
      </c>
      <c r="S2245" s="37" t="n">
        <v>1</v>
      </c>
    </row>
    <row r="2246" customFormat="false" ht="15" hidden="false" customHeight="false" outlineLevel="0" collapsed="false">
      <c r="A2246" s="37" t="n">
        <v>20</v>
      </c>
      <c r="B2246" s="37" t="n">
        <v>0</v>
      </c>
      <c r="C2246" s="37" t="n">
        <v>5</v>
      </c>
      <c r="D2246" s="37" t="n">
        <v>0</v>
      </c>
      <c r="E2246" s="37" t="n">
        <v>5</v>
      </c>
      <c r="F2246" s="37" t="n">
        <v>0</v>
      </c>
      <c r="G2246" s="37" t="s">
        <v>192</v>
      </c>
      <c r="H2246" s="38" t="n">
        <v>199.237457378303</v>
      </c>
      <c r="I2246" s="38" t="n">
        <v>201.004278221564</v>
      </c>
      <c r="J2246" s="38" t="n">
        <v>214.661114047629</v>
      </c>
      <c r="K2246" s="38" t="n">
        <v>266.986023075455</v>
      </c>
      <c r="L2246" s="38" t="n">
        <v>65.4681916524003</v>
      </c>
      <c r="M2246" s="38" t="n">
        <v>101.69975195967</v>
      </c>
      <c r="N2246" s="38" t="n">
        <v>124.337694577206</v>
      </c>
      <c r="O2246" s="38" t="n">
        <v>65.824496892402</v>
      </c>
      <c r="P2246" s="37" t="n">
        <v>0</v>
      </c>
      <c r="Q2246" s="38" t="n">
        <v>0</v>
      </c>
      <c r="R2246" s="38" t="n">
        <v>70.5</v>
      </c>
      <c r="S2246" s="37" t="n">
        <v>0</v>
      </c>
    </row>
    <row r="2247" customFormat="false" ht="15" hidden="false" customHeight="false" outlineLevel="0" collapsed="false">
      <c r="A2247" s="37" t="n">
        <v>20</v>
      </c>
      <c r="B2247" s="37" t="n">
        <v>0</v>
      </c>
      <c r="C2247" s="37" t="n">
        <v>5</v>
      </c>
      <c r="D2247" s="37" t="n">
        <v>0</v>
      </c>
      <c r="E2247" s="37" t="n">
        <v>5</v>
      </c>
      <c r="F2247" s="37" t="n">
        <v>0</v>
      </c>
      <c r="G2247" s="37" t="s">
        <v>195</v>
      </c>
      <c r="H2247" s="38" t="n">
        <v>199.237457378303</v>
      </c>
      <c r="I2247" s="38" t="n">
        <v>201.012811875405</v>
      </c>
      <c r="J2247" s="38" t="n">
        <v>209.569754654323</v>
      </c>
      <c r="K2247" s="38" t="n">
        <v>257.099857334759</v>
      </c>
      <c r="L2247" s="38" t="n">
        <v>58.0004536283617</v>
      </c>
      <c r="M2247" s="38" t="n">
        <v>104.715042608204</v>
      </c>
      <c r="N2247" s="38" t="n">
        <v>119.059269131299</v>
      </c>
      <c r="O2247" s="38" t="n">
        <v>62.5537260776614</v>
      </c>
      <c r="P2247" s="37" t="n">
        <v>0</v>
      </c>
      <c r="Q2247" s="38" t="n">
        <v>0</v>
      </c>
      <c r="R2247" s="38" t="n">
        <v>68.4451788880809</v>
      </c>
      <c r="S2247" s="37" t="n">
        <v>0</v>
      </c>
    </row>
    <row r="2248" customFormat="false" ht="15" hidden="false" customHeight="false" outlineLevel="0" collapsed="false">
      <c r="A2248" s="37" t="n">
        <v>20</v>
      </c>
      <c r="B2248" s="37" t="n">
        <v>0</v>
      </c>
      <c r="C2248" s="37" t="n">
        <v>5</v>
      </c>
      <c r="D2248" s="37" t="n">
        <v>0</v>
      </c>
      <c r="E2248" s="37" t="n">
        <v>5</v>
      </c>
      <c r="F2248" s="37" t="n">
        <v>0</v>
      </c>
      <c r="G2248" s="37" t="s">
        <v>197</v>
      </c>
      <c r="H2248" s="38" t="n">
        <v>199.237457378303</v>
      </c>
      <c r="I2248" s="38" t="n">
        <v>201.016132483438</v>
      </c>
      <c r="J2248" s="38" t="n">
        <v>214.504930066794</v>
      </c>
      <c r="K2248" s="38" t="n">
        <v>266.957933382868</v>
      </c>
      <c r="L2248" s="38" t="n">
        <v>64.8382273826779</v>
      </c>
      <c r="M2248" s="38" t="n">
        <v>107.465349006277</v>
      </c>
      <c r="N2248" s="38" t="n">
        <v>129.850658381967</v>
      </c>
      <c r="O2248" s="38" t="n">
        <v>69.5890549408053</v>
      </c>
      <c r="P2248" s="37" t="n">
        <v>0</v>
      </c>
      <c r="Q2248" s="38" t="n">
        <v>0</v>
      </c>
      <c r="R2248" s="38" t="n">
        <v>70.5</v>
      </c>
      <c r="S2248" s="37" t="n">
        <v>0</v>
      </c>
    </row>
    <row r="2249" customFormat="false" ht="15" hidden="false" customHeight="false" outlineLevel="0" collapsed="false">
      <c r="A2249" s="37" t="n">
        <v>20</v>
      </c>
      <c r="B2249" s="37" t="n">
        <v>0</v>
      </c>
      <c r="C2249" s="37" t="n">
        <v>5</v>
      </c>
      <c r="D2249" s="37" t="n">
        <v>0</v>
      </c>
      <c r="E2249" s="37" t="n">
        <v>5</v>
      </c>
      <c r="F2249" s="37" t="n">
        <v>0</v>
      </c>
      <c r="G2249" s="37" t="s">
        <v>196</v>
      </c>
      <c r="H2249" s="38" t="n">
        <v>199.237457378303</v>
      </c>
      <c r="I2249" s="38" t="n">
        <v>201.029500519795</v>
      </c>
      <c r="J2249" s="38" t="n">
        <v>214.525626364723</v>
      </c>
      <c r="K2249" s="38" t="n">
        <v>267.188119846171</v>
      </c>
      <c r="L2249" s="38" t="n">
        <v>70.5256997616713</v>
      </c>
      <c r="M2249" s="38" t="n">
        <v>107.463859552987</v>
      </c>
      <c r="N2249" s="38" t="n">
        <v>130.133077147024</v>
      </c>
      <c r="O2249" s="38" t="n">
        <v>70.4384376316301</v>
      </c>
      <c r="P2249" s="37" t="n">
        <v>0</v>
      </c>
      <c r="Q2249" s="38" t="n">
        <v>0</v>
      </c>
      <c r="R2249" s="38" t="n">
        <v>69.4543525130533</v>
      </c>
      <c r="S2249" s="37" t="n">
        <v>0</v>
      </c>
    </row>
    <row r="2250" customFormat="false" ht="15" hidden="false" customHeight="false" outlineLevel="0" collapsed="false">
      <c r="A2250" s="37" t="n">
        <v>20</v>
      </c>
      <c r="B2250" s="37" t="n">
        <v>0</v>
      </c>
      <c r="C2250" s="37" t="n">
        <v>5</v>
      </c>
      <c r="D2250" s="37" t="n">
        <v>5</v>
      </c>
      <c r="E2250" s="37" t="n">
        <v>0</v>
      </c>
      <c r="F2250" s="37" t="n">
        <v>0</v>
      </c>
      <c r="G2250" s="37" t="s">
        <v>188</v>
      </c>
      <c r="H2250" s="38" t="n">
        <v>199.419346634198</v>
      </c>
      <c r="I2250" s="38" t="n">
        <v>202.823017249593</v>
      </c>
      <c r="J2250" s="38" t="n">
        <v>232.581857684882</v>
      </c>
      <c r="K2250" s="38" t="n">
        <v>286.447956419218</v>
      </c>
      <c r="L2250" s="38" t="n">
        <v>84.0326875886754</v>
      </c>
      <c r="M2250" s="38" t="n">
        <v>112.172719866758</v>
      </c>
      <c r="N2250" s="38" t="n">
        <v>150.703008875924</v>
      </c>
      <c r="O2250" s="38" t="n">
        <v>81.0303215178704</v>
      </c>
      <c r="P2250" s="37" t="n">
        <v>0</v>
      </c>
      <c r="Q2250" s="38" t="n">
        <v>0</v>
      </c>
      <c r="R2250" s="38" t="n">
        <v>72</v>
      </c>
      <c r="S2250" s="37" t="n">
        <v>1</v>
      </c>
    </row>
    <row r="2251" customFormat="false" ht="15" hidden="false" customHeight="false" outlineLevel="0" collapsed="false">
      <c r="A2251" s="37" t="n">
        <v>20</v>
      </c>
      <c r="B2251" s="37" t="n">
        <v>0</v>
      </c>
      <c r="C2251" s="37" t="n">
        <v>5</v>
      </c>
      <c r="D2251" s="37" t="n">
        <v>5</v>
      </c>
      <c r="E2251" s="37" t="n">
        <v>0</v>
      </c>
      <c r="F2251" s="37" t="n">
        <v>0</v>
      </c>
      <c r="G2251" s="37" t="s">
        <v>192</v>
      </c>
      <c r="H2251" s="38" t="n">
        <v>199.419346634198</v>
      </c>
      <c r="I2251" s="38" t="n">
        <v>202.312335841129</v>
      </c>
      <c r="J2251" s="38" t="n">
        <v>221.796269716316</v>
      </c>
      <c r="K2251" s="38" t="n">
        <v>267.754535932481</v>
      </c>
      <c r="L2251" s="38" t="n">
        <v>66.66252306643</v>
      </c>
      <c r="M2251" s="38" t="n">
        <v>102.571932572206</v>
      </c>
      <c r="N2251" s="38" t="n">
        <v>128.442656574371</v>
      </c>
      <c r="O2251" s="38" t="n">
        <v>71.0476009350563</v>
      </c>
      <c r="P2251" s="37" t="n">
        <v>0</v>
      </c>
      <c r="Q2251" s="38" t="n">
        <v>0</v>
      </c>
      <c r="R2251" s="38" t="n">
        <v>72</v>
      </c>
      <c r="S2251" s="37" t="n">
        <v>0</v>
      </c>
    </row>
    <row r="2252" customFormat="false" ht="15" hidden="false" customHeight="false" outlineLevel="0" collapsed="false">
      <c r="A2252" s="37" t="n">
        <v>20</v>
      </c>
      <c r="B2252" s="37" t="n">
        <v>0</v>
      </c>
      <c r="C2252" s="37" t="n">
        <v>5</v>
      </c>
      <c r="D2252" s="37" t="n">
        <v>5</v>
      </c>
      <c r="E2252" s="37" t="n">
        <v>0</v>
      </c>
      <c r="F2252" s="37" t="n">
        <v>0</v>
      </c>
      <c r="G2252" s="37" t="s">
        <v>195</v>
      </c>
      <c r="H2252" s="38" t="n">
        <v>199.419346634198</v>
      </c>
      <c r="I2252" s="38" t="n">
        <v>202.392283145036</v>
      </c>
      <c r="J2252" s="38" t="n">
        <v>220.411132708115</v>
      </c>
      <c r="K2252" s="38" t="n">
        <v>263.574765754196</v>
      </c>
      <c r="L2252" s="38" t="n">
        <v>66.0198551389163</v>
      </c>
      <c r="M2252" s="38" t="n">
        <v>107.237440125093</v>
      </c>
      <c r="N2252" s="38" t="n">
        <v>132.435618104864</v>
      </c>
      <c r="O2252" s="38" t="n">
        <v>73.1894057050431</v>
      </c>
      <c r="P2252" s="37" t="n">
        <v>0</v>
      </c>
      <c r="Q2252" s="38" t="n">
        <v>0</v>
      </c>
      <c r="R2252" s="38" t="n">
        <v>70.408526815416</v>
      </c>
      <c r="S2252" s="37" t="n">
        <v>0</v>
      </c>
    </row>
    <row r="2253" customFormat="false" ht="15" hidden="false" customHeight="false" outlineLevel="0" collapsed="false">
      <c r="A2253" s="37" t="n">
        <v>20</v>
      </c>
      <c r="B2253" s="37" t="n">
        <v>0</v>
      </c>
      <c r="C2253" s="37" t="n">
        <v>5</v>
      </c>
      <c r="D2253" s="37" t="n">
        <v>5</v>
      </c>
      <c r="E2253" s="37" t="n">
        <v>0</v>
      </c>
      <c r="F2253" s="37" t="n">
        <v>0</v>
      </c>
      <c r="G2253" s="37" t="s">
        <v>197</v>
      </c>
      <c r="H2253" s="38" t="n">
        <v>199.419346634198</v>
      </c>
      <c r="I2253" s="38" t="n">
        <v>202.308717200902</v>
      </c>
      <c r="J2253" s="38" t="n">
        <v>220.918471372062</v>
      </c>
      <c r="K2253" s="38" t="n">
        <v>266.616122879082</v>
      </c>
      <c r="L2253" s="38" t="n">
        <v>64.270940307433</v>
      </c>
      <c r="M2253" s="38" t="n">
        <v>105.186011114208</v>
      </c>
      <c r="N2253" s="38" t="n">
        <v>125.165234737923</v>
      </c>
      <c r="O2253" s="38" t="n">
        <v>71.2875865762565</v>
      </c>
      <c r="P2253" s="37" t="n">
        <v>0</v>
      </c>
      <c r="Q2253" s="38" t="n">
        <v>0</v>
      </c>
      <c r="R2253" s="38" t="n">
        <v>72</v>
      </c>
      <c r="S2253" s="37" t="n">
        <v>0</v>
      </c>
    </row>
    <row r="2254" customFormat="false" ht="15" hidden="false" customHeight="false" outlineLevel="0" collapsed="false">
      <c r="A2254" s="37" t="n">
        <v>20</v>
      </c>
      <c r="B2254" s="37" t="n">
        <v>0</v>
      </c>
      <c r="C2254" s="37" t="n">
        <v>5</v>
      </c>
      <c r="D2254" s="37" t="n">
        <v>5</v>
      </c>
      <c r="E2254" s="37" t="n">
        <v>0</v>
      </c>
      <c r="F2254" s="37" t="n">
        <v>0</v>
      </c>
      <c r="G2254" s="37" t="s">
        <v>196</v>
      </c>
      <c r="H2254" s="38" t="n">
        <v>199.419346634198</v>
      </c>
      <c r="I2254" s="38" t="n">
        <v>202.325985599163</v>
      </c>
      <c r="J2254" s="38" t="n">
        <v>221.827602186357</v>
      </c>
      <c r="K2254" s="38" t="n">
        <v>268.010251793759</v>
      </c>
      <c r="L2254" s="38" t="n">
        <v>71.831389646489</v>
      </c>
      <c r="M2254" s="38" t="n">
        <v>108.296715480943</v>
      </c>
      <c r="N2254" s="38" t="n">
        <v>134.073680625654</v>
      </c>
      <c r="O2254" s="38" t="n">
        <v>74.4527930262837</v>
      </c>
      <c r="P2254" s="37" t="n">
        <v>0</v>
      </c>
      <c r="Q2254" s="38" t="n">
        <v>0</v>
      </c>
      <c r="R2254" s="38" t="n">
        <v>71.0704064179886</v>
      </c>
      <c r="S2254" s="37" t="n">
        <v>0</v>
      </c>
    </row>
    <row r="2255" customFormat="false" ht="15" hidden="false" customHeight="false" outlineLevel="0" collapsed="false">
      <c r="A2255" s="37" t="n">
        <v>20</v>
      </c>
      <c r="B2255" s="37" t="n">
        <v>0</v>
      </c>
      <c r="C2255" s="37" t="n">
        <v>10</v>
      </c>
      <c r="D2255" s="37" t="n">
        <v>0</v>
      </c>
      <c r="E2255" s="37" t="n">
        <v>0</v>
      </c>
      <c r="F2255" s="37" t="n">
        <v>0</v>
      </c>
      <c r="G2255" s="37" t="s">
        <v>188</v>
      </c>
      <c r="H2255" s="38" t="n">
        <v>199.436239574474</v>
      </c>
      <c r="I2255" s="38" t="n">
        <v>204.72752672882</v>
      </c>
      <c r="J2255" s="38" t="n">
        <v>237.830297972321</v>
      </c>
      <c r="K2255" s="38" t="n">
        <v>309.851752692944</v>
      </c>
      <c r="L2255" s="38" t="n">
        <v>107.856272296434</v>
      </c>
      <c r="M2255" s="38" t="n">
        <v>117.935958286539</v>
      </c>
      <c r="N2255" s="38" t="n">
        <v>161.120137940253</v>
      </c>
      <c r="O2255" s="38" t="n">
        <v>80.559402132782</v>
      </c>
      <c r="P2255" s="37" t="n">
        <v>0</v>
      </c>
      <c r="Q2255" s="38" t="n">
        <v>0</v>
      </c>
      <c r="R2255" s="38" t="n">
        <v>70.5</v>
      </c>
      <c r="S2255" s="37" t="n">
        <v>1</v>
      </c>
    </row>
    <row r="2256" customFormat="false" ht="15" hidden="false" customHeight="false" outlineLevel="0" collapsed="false">
      <c r="A2256" s="37" t="n">
        <v>20</v>
      </c>
      <c r="B2256" s="37" t="n">
        <v>0</v>
      </c>
      <c r="C2256" s="37" t="n">
        <v>10</v>
      </c>
      <c r="D2256" s="37" t="n">
        <v>0</v>
      </c>
      <c r="E2256" s="37" t="n">
        <v>0</v>
      </c>
      <c r="F2256" s="37" t="n">
        <v>0</v>
      </c>
      <c r="G2256" s="37" t="s">
        <v>192</v>
      </c>
      <c r="H2256" s="38" t="n">
        <v>199.436239574474</v>
      </c>
      <c r="I2256" s="38" t="n">
        <v>204.090043914485</v>
      </c>
      <c r="J2256" s="38" t="n">
        <v>226.285787553609</v>
      </c>
      <c r="K2256" s="38" t="n">
        <v>289.389894361702</v>
      </c>
      <c r="L2256" s="38" t="n">
        <v>88.3940866707706</v>
      </c>
      <c r="M2256" s="38" t="n">
        <v>108.049793180737</v>
      </c>
      <c r="N2256" s="38" t="n">
        <v>137.773781912001</v>
      </c>
      <c r="O2256" s="38" t="n">
        <v>70.9707709596267</v>
      </c>
      <c r="P2256" s="37" t="n">
        <v>0</v>
      </c>
      <c r="Q2256" s="38" t="n">
        <v>0</v>
      </c>
      <c r="R2256" s="38" t="n">
        <v>70.5</v>
      </c>
      <c r="S2256" s="37" t="n">
        <v>0</v>
      </c>
    </row>
    <row r="2257" customFormat="false" ht="15" hidden="false" customHeight="false" outlineLevel="0" collapsed="false">
      <c r="A2257" s="37" t="n">
        <v>20</v>
      </c>
      <c r="B2257" s="37" t="n">
        <v>0</v>
      </c>
      <c r="C2257" s="37" t="n">
        <v>10</v>
      </c>
      <c r="D2257" s="37" t="n">
        <v>0</v>
      </c>
      <c r="E2257" s="37" t="n">
        <v>0</v>
      </c>
      <c r="F2257" s="37" t="n">
        <v>0</v>
      </c>
      <c r="G2257" s="37" t="s">
        <v>195</v>
      </c>
      <c r="H2257" s="38" t="n">
        <v>199.436239574474</v>
      </c>
      <c r="I2257" s="38" t="n">
        <v>204.124227529106</v>
      </c>
      <c r="J2257" s="38" t="n">
        <v>221.756247494688</v>
      </c>
      <c r="K2257" s="38" t="n">
        <v>280.473759274742</v>
      </c>
      <c r="L2257" s="38" t="n">
        <v>81.7831828919454</v>
      </c>
      <c r="M2257" s="38" t="n">
        <v>111.112725374867</v>
      </c>
      <c r="N2257" s="38" t="n">
        <v>133.890048007241</v>
      </c>
      <c r="O2257" s="38" t="n">
        <v>69.7043311611258</v>
      </c>
      <c r="P2257" s="37" t="n">
        <v>0</v>
      </c>
      <c r="Q2257" s="38" t="n">
        <v>0</v>
      </c>
      <c r="R2257" s="38" t="n">
        <v>68.5678270851609</v>
      </c>
      <c r="S2257" s="37" t="n">
        <v>0</v>
      </c>
    </row>
    <row r="2258" customFormat="false" ht="15" hidden="false" customHeight="false" outlineLevel="0" collapsed="false">
      <c r="A2258" s="37" t="n">
        <v>20</v>
      </c>
      <c r="B2258" s="37" t="n">
        <v>0</v>
      </c>
      <c r="C2258" s="37" t="n">
        <v>10</v>
      </c>
      <c r="D2258" s="37" t="n">
        <v>0</v>
      </c>
      <c r="E2258" s="37" t="n">
        <v>0</v>
      </c>
      <c r="F2258" s="37" t="n">
        <v>0</v>
      </c>
      <c r="G2258" s="37" t="s">
        <v>197</v>
      </c>
      <c r="H2258" s="38" t="n">
        <v>199.436239574474</v>
      </c>
      <c r="I2258" s="38" t="n">
        <v>204.074142076219</v>
      </c>
      <c r="J2258" s="38" t="n">
        <v>225.124968663938</v>
      </c>
      <c r="K2258" s="38" t="n">
        <v>287.807541325648</v>
      </c>
      <c r="L2258" s="38" t="n">
        <v>85.3351776566156</v>
      </c>
      <c r="M2258" s="38" t="n">
        <v>108.841779730829</v>
      </c>
      <c r="N2258" s="38" t="n">
        <v>130.12132317122</v>
      </c>
      <c r="O2258" s="38" t="n">
        <v>70.1474699894373</v>
      </c>
      <c r="P2258" s="37" t="n">
        <v>0</v>
      </c>
      <c r="Q2258" s="38" t="n">
        <v>0</v>
      </c>
      <c r="R2258" s="38" t="n">
        <v>70.5</v>
      </c>
      <c r="S2258" s="37" t="n">
        <v>0</v>
      </c>
    </row>
    <row r="2259" customFormat="false" ht="15" hidden="false" customHeight="false" outlineLevel="0" collapsed="false">
      <c r="A2259" s="37" t="n">
        <v>20</v>
      </c>
      <c r="B2259" s="37" t="n">
        <v>0</v>
      </c>
      <c r="C2259" s="37" t="n">
        <v>10</v>
      </c>
      <c r="D2259" s="37" t="n">
        <v>0</v>
      </c>
      <c r="E2259" s="37" t="n">
        <v>0</v>
      </c>
      <c r="F2259" s="37" t="n">
        <v>0</v>
      </c>
      <c r="G2259" s="37" t="s">
        <v>196</v>
      </c>
      <c r="H2259" s="38" t="n">
        <v>199.436239574474</v>
      </c>
      <c r="I2259" s="38" t="n">
        <v>204.112631546224</v>
      </c>
      <c r="J2259" s="38" t="n">
        <v>225.932694386311</v>
      </c>
      <c r="K2259" s="38" t="n">
        <v>289.181128165135</v>
      </c>
      <c r="L2259" s="38" t="n">
        <v>92.8506304098466</v>
      </c>
      <c r="M2259" s="38" t="n">
        <v>112.091920363159</v>
      </c>
      <c r="N2259" s="38" t="n">
        <v>139.23994267753</v>
      </c>
      <c r="O2259" s="38" t="n">
        <v>74.2875929877805</v>
      </c>
      <c r="P2259" s="37" t="n">
        <v>0</v>
      </c>
      <c r="Q2259" s="38" t="n">
        <v>0</v>
      </c>
      <c r="R2259" s="38" t="n">
        <v>69.5340138720641</v>
      </c>
      <c r="S2259" s="37" t="n">
        <v>0</v>
      </c>
    </row>
    <row r="2260" customFormat="false" ht="15" hidden="false" customHeight="false" outlineLevel="0" collapsed="false">
      <c r="A2260" s="37" t="n">
        <v>20</v>
      </c>
      <c r="B2260" s="37" t="n">
        <v>5</v>
      </c>
      <c r="C2260" s="37" t="n">
        <v>0</v>
      </c>
      <c r="D2260" s="37" t="n">
        <v>0</v>
      </c>
      <c r="E2260" s="37" t="n">
        <v>0</v>
      </c>
      <c r="F2260" s="37" t="n">
        <v>5</v>
      </c>
      <c r="G2260" s="37" t="s">
        <v>188</v>
      </c>
      <c r="H2260" s="38" t="n">
        <v>199.194555256822</v>
      </c>
      <c r="I2260" s="38" t="n">
        <v>199.720064913996</v>
      </c>
      <c r="J2260" s="38" t="n">
        <v>204.554870786434</v>
      </c>
      <c r="K2260" s="38" t="n">
        <v>249.799984997471</v>
      </c>
      <c r="L2260" s="38" t="n">
        <v>85.3338049269631</v>
      </c>
      <c r="M2260" s="38" t="n">
        <v>105.344822907584</v>
      </c>
      <c r="N2260" s="38" t="n">
        <v>111.213826901795</v>
      </c>
      <c r="O2260" s="38" t="n">
        <v>63.4011486501972</v>
      </c>
      <c r="P2260" s="37" t="n">
        <v>0</v>
      </c>
      <c r="Q2260" s="38" t="n">
        <v>0</v>
      </c>
      <c r="R2260" s="38" t="n">
        <v>70.5</v>
      </c>
      <c r="S2260" s="37" t="n">
        <v>1</v>
      </c>
    </row>
    <row r="2261" customFormat="false" ht="15" hidden="false" customHeight="false" outlineLevel="0" collapsed="false">
      <c r="A2261" s="37" t="n">
        <v>20</v>
      </c>
      <c r="B2261" s="37" t="n">
        <v>5</v>
      </c>
      <c r="C2261" s="37" t="n">
        <v>0</v>
      </c>
      <c r="D2261" s="37" t="n">
        <v>0</v>
      </c>
      <c r="E2261" s="37" t="n">
        <v>0</v>
      </c>
      <c r="F2261" s="37" t="n">
        <v>5</v>
      </c>
      <c r="G2261" s="37" t="s">
        <v>192</v>
      </c>
      <c r="H2261" s="38" t="n">
        <v>199.194555256822</v>
      </c>
      <c r="I2261" s="38" t="n">
        <v>199.388197355983</v>
      </c>
      <c r="J2261" s="38" t="n">
        <v>198.384589237848</v>
      </c>
      <c r="K2261" s="38" t="n">
        <v>238.048945762157</v>
      </c>
      <c r="L2261" s="38" t="n">
        <v>76.4313032719267</v>
      </c>
      <c r="M2261" s="38" t="n">
        <v>98.1319002263518</v>
      </c>
      <c r="N2261" s="38" t="n">
        <v>98.3995000193678</v>
      </c>
      <c r="O2261" s="38" t="n">
        <v>60.8712171203183</v>
      </c>
      <c r="P2261" s="37" t="n">
        <v>0</v>
      </c>
      <c r="Q2261" s="38" t="n">
        <v>0</v>
      </c>
      <c r="R2261" s="38" t="n">
        <v>70.5</v>
      </c>
      <c r="S2261" s="37" t="n">
        <v>0</v>
      </c>
    </row>
    <row r="2262" customFormat="false" ht="15" hidden="false" customHeight="false" outlineLevel="0" collapsed="false">
      <c r="A2262" s="37" t="n">
        <v>20</v>
      </c>
      <c r="B2262" s="37" t="n">
        <v>5</v>
      </c>
      <c r="C2262" s="37" t="n">
        <v>0</v>
      </c>
      <c r="D2262" s="37" t="n">
        <v>0</v>
      </c>
      <c r="E2262" s="37" t="n">
        <v>0</v>
      </c>
      <c r="F2262" s="37" t="n">
        <v>5</v>
      </c>
      <c r="G2262" s="37" t="s">
        <v>195</v>
      </c>
      <c r="H2262" s="38" t="n">
        <v>199.194555256822</v>
      </c>
      <c r="I2262" s="38" t="n">
        <v>199.382873848995</v>
      </c>
      <c r="J2262" s="38" t="n">
        <v>193.677501064796</v>
      </c>
      <c r="K2262" s="38" t="n">
        <v>228.173774713222</v>
      </c>
      <c r="L2262" s="38" t="n">
        <v>68.9825079662523</v>
      </c>
      <c r="M2262" s="38" t="n">
        <v>99.0611254827928</v>
      </c>
      <c r="N2262" s="38" t="n">
        <v>88.0231296628446</v>
      </c>
      <c r="O2262" s="38" t="n">
        <v>54.8341549336847</v>
      </c>
      <c r="P2262" s="37" t="n">
        <v>0</v>
      </c>
      <c r="Q2262" s="38" t="n">
        <v>0</v>
      </c>
      <c r="R2262" s="38" t="n">
        <v>68.4176199759091</v>
      </c>
      <c r="S2262" s="37" t="n">
        <v>0</v>
      </c>
    </row>
    <row r="2263" customFormat="false" ht="15" hidden="false" customHeight="false" outlineLevel="0" collapsed="false">
      <c r="A2263" s="37" t="n">
        <v>20</v>
      </c>
      <c r="B2263" s="37" t="n">
        <v>5</v>
      </c>
      <c r="C2263" s="37" t="n">
        <v>0</v>
      </c>
      <c r="D2263" s="37" t="n">
        <v>0</v>
      </c>
      <c r="E2263" s="37" t="n">
        <v>0</v>
      </c>
      <c r="F2263" s="37" t="n">
        <v>5</v>
      </c>
      <c r="G2263" s="37" t="s">
        <v>197</v>
      </c>
      <c r="H2263" s="38" t="n">
        <v>199.194555256822</v>
      </c>
      <c r="I2263" s="38" t="n">
        <v>199.384504553254</v>
      </c>
      <c r="J2263" s="38" t="n">
        <v>197.555659527916</v>
      </c>
      <c r="K2263" s="38" t="n">
        <v>236.997752198069</v>
      </c>
      <c r="L2263" s="38" t="n">
        <v>74.2924606988554</v>
      </c>
      <c r="M2263" s="38" t="n">
        <v>100.86543692278</v>
      </c>
      <c r="N2263" s="38" t="n">
        <v>95.083015822365</v>
      </c>
      <c r="O2263" s="38" t="n">
        <v>57.6036961043164</v>
      </c>
      <c r="P2263" s="37" t="n">
        <v>0</v>
      </c>
      <c r="Q2263" s="38" t="n">
        <v>0</v>
      </c>
      <c r="R2263" s="38" t="n">
        <v>70.5</v>
      </c>
      <c r="S2263" s="37" t="n">
        <v>0</v>
      </c>
    </row>
    <row r="2264" customFormat="false" ht="15" hidden="false" customHeight="false" outlineLevel="0" collapsed="false">
      <c r="A2264" s="37" t="n">
        <v>20</v>
      </c>
      <c r="B2264" s="37" t="n">
        <v>5</v>
      </c>
      <c r="C2264" s="37" t="n">
        <v>0</v>
      </c>
      <c r="D2264" s="37" t="n">
        <v>0</v>
      </c>
      <c r="E2264" s="37" t="n">
        <v>0</v>
      </c>
      <c r="F2264" s="37" t="n">
        <v>5</v>
      </c>
      <c r="G2264" s="37" t="s">
        <v>196</v>
      </c>
      <c r="H2264" s="38" t="n">
        <v>199.194555256822</v>
      </c>
      <c r="I2264" s="38" t="n">
        <v>199.394717549448</v>
      </c>
      <c r="J2264" s="38" t="n">
        <v>198.536668911304</v>
      </c>
      <c r="K2264" s="38" t="n">
        <v>238.411634479579</v>
      </c>
      <c r="L2264" s="38" t="n">
        <v>82.228884533671</v>
      </c>
      <c r="M2264" s="38" t="n">
        <v>103.38419506418</v>
      </c>
      <c r="N2264" s="38" t="n">
        <v>102.859839864739</v>
      </c>
      <c r="O2264" s="38" t="n">
        <v>62.082466208691</v>
      </c>
      <c r="P2264" s="37" t="n">
        <v>0</v>
      </c>
      <c r="Q2264" s="38" t="n">
        <v>0</v>
      </c>
      <c r="R2264" s="38" t="n">
        <v>69.5694733463154</v>
      </c>
      <c r="S2264" s="37" t="n">
        <v>0</v>
      </c>
    </row>
    <row r="2265" customFormat="false" ht="15" hidden="false" customHeight="false" outlineLevel="0" collapsed="false">
      <c r="A2265" s="37" t="n">
        <v>20</v>
      </c>
      <c r="B2265" s="37" t="n">
        <v>5</v>
      </c>
      <c r="C2265" s="37" t="n">
        <v>0</v>
      </c>
      <c r="D2265" s="37" t="n">
        <v>0</v>
      </c>
      <c r="E2265" s="37" t="n">
        <v>5</v>
      </c>
      <c r="F2265" s="37" t="n">
        <v>0</v>
      </c>
      <c r="G2265" s="37" t="s">
        <v>188</v>
      </c>
      <c r="H2265" s="38" t="n">
        <v>199.189910507134</v>
      </c>
      <c r="I2265" s="38" t="n">
        <v>199.800893716373</v>
      </c>
      <c r="J2265" s="38" t="n">
        <v>207.719929672172</v>
      </c>
      <c r="K2265" s="38" t="n">
        <v>254.029895623421</v>
      </c>
      <c r="L2265" s="38" t="n">
        <v>49.7920317816337</v>
      </c>
      <c r="M2265" s="38" t="n">
        <v>106.104496597466</v>
      </c>
      <c r="N2265" s="38" t="n">
        <v>118.856776171061</v>
      </c>
      <c r="O2265" s="38" t="n">
        <v>63.4862758054052</v>
      </c>
      <c r="P2265" s="37" t="n">
        <v>0</v>
      </c>
      <c r="Q2265" s="38" t="n">
        <v>0</v>
      </c>
      <c r="R2265" s="38" t="n">
        <v>70.5</v>
      </c>
      <c r="S2265" s="37" t="n">
        <v>1</v>
      </c>
    </row>
    <row r="2266" customFormat="false" ht="15" hidden="false" customHeight="false" outlineLevel="0" collapsed="false">
      <c r="A2266" s="37" t="n">
        <v>20</v>
      </c>
      <c r="B2266" s="37" t="n">
        <v>5</v>
      </c>
      <c r="C2266" s="37" t="n">
        <v>0</v>
      </c>
      <c r="D2266" s="37" t="n">
        <v>0</v>
      </c>
      <c r="E2266" s="37" t="n">
        <v>5</v>
      </c>
      <c r="F2266" s="37" t="n">
        <v>0</v>
      </c>
      <c r="G2266" s="37" t="s">
        <v>192</v>
      </c>
      <c r="H2266" s="38" t="n">
        <v>199.189910507134</v>
      </c>
      <c r="I2266" s="38" t="n">
        <v>199.479585691762</v>
      </c>
      <c r="J2266" s="38" t="n">
        <v>201.059860459635</v>
      </c>
      <c r="K2266" s="38" t="n">
        <v>242.220943334091</v>
      </c>
      <c r="L2266" s="38" t="n">
        <v>40.5911624446005</v>
      </c>
      <c r="M2266" s="38" t="n">
        <v>99.0308918140433</v>
      </c>
      <c r="N2266" s="38" t="n">
        <v>104.95984072408</v>
      </c>
      <c r="O2266" s="38" t="n">
        <v>60.7017044353615</v>
      </c>
      <c r="P2266" s="37" t="n">
        <v>0</v>
      </c>
      <c r="Q2266" s="38" t="n">
        <v>0</v>
      </c>
      <c r="R2266" s="38" t="n">
        <v>70.5</v>
      </c>
      <c r="S2266" s="37" t="n">
        <v>0</v>
      </c>
    </row>
    <row r="2267" customFormat="false" ht="15" hidden="false" customHeight="false" outlineLevel="0" collapsed="false">
      <c r="A2267" s="37" t="n">
        <v>20</v>
      </c>
      <c r="B2267" s="37" t="n">
        <v>5</v>
      </c>
      <c r="C2267" s="37" t="n">
        <v>0</v>
      </c>
      <c r="D2267" s="37" t="n">
        <v>0</v>
      </c>
      <c r="E2267" s="37" t="n">
        <v>5</v>
      </c>
      <c r="F2267" s="37" t="n">
        <v>0</v>
      </c>
      <c r="G2267" s="37" t="s">
        <v>195</v>
      </c>
      <c r="H2267" s="38" t="n">
        <v>199.189910507134</v>
      </c>
      <c r="I2267" s="38" t="n">
        <v>199.472470758189</v>
      </c>
      <c r="J2267" s="38" t="n">
        <v>196.059226032513</v>
      </c>
      <c r="K2267" s="38" t="n">
        <v>232.012231290763</v>
      </c>
      <c r="L2267" s="38" t="n">
        <v>32.7411684125103</v>
      </c>
      <c r="M2267" s="38" t="n">
        <v>100.029755464914</v>
      </c>
      <c r="N2267" s="38" t="n">
        <v>88.1123750812025</v>
      </c>
      <c r="O2267" s="38" t="n">
        <v>54.9221729725945</v>
      </c>
      <c r="P2267" s="37" t="n">
        <v>0</v>
      </c>
      <c r="Q2267" s="38" t="n">
        <v>0</v>
      </c>
      <c r="R2267" s="38" t="n">
        <v>68.3936811365241</v>
      </c>
      <c r="S2267" s="37" t="n">
        <v>0</v>
      </c>
    </row>
    <row r="2268" customFormat="false" ht="15" hidden="false" customHeight="false" outlineLevel="0" collapsed="false">
      <c r="A2268" s="37" t="n">
        <v>20</v>
      </c>
      <c r="B2268" s="37" t="n">
        <v>5</v>
      </c>
      <c r="C2268" s="37" t="n">
        <v>0</v>
      </c>
      <c r="D2268" s="37" t="n">
        <v>0</v>
      </c>
      <c r="E2268" s="37" t="n">
        <v>5</v>
      </c>
      <c r="F2268" s="37" t="n">
        <v>0</v>
      </c>
      <c r="G2268" s="37" t="s">
        <v>197</v>
      </c>
      <c r="H2268" s="38" t="n">
        <v>199.189910507134</v>
      </c>
      <c r="I2268" s="38" t="n">
        <v>199.48811018468</v>
      </c>
      <c r="J2268" s="38" t="n">
        <v>200.796963523492</v>
      </c>
      <c r="K2268" s="38" t="n">
        <v>242.05599630974</v>
      </c>
      <c r="L2268" s="38" t="n">
        <v>39.8386479301101</v>
      </c>
      <c r="M2268" s="38" t="n">
        <v>104.999763571685</v>
      </c>
      <c r="N2268" s="38" t="n">
        <v>110.386485569981</v>
      </c>
      <c r="O2268" s="38" t="n">
        <v>61.4483720028611</v>
      </c>
      <c r="P2268" s="37" t="n">
        <v>0</v>
      </c>
      <c r="Q2268" s="38" t="n">
        <v>0</v>
      </c>
      <c r="R2268" s="38" t="n">
        <v>70.5</v>
      </c>
      <c r="S2268" s="37" t="n">
        <v>0</v>
      </c>
    </row>
    <row r="2269" customFormat="false" ht="15" hidden="false" customHeight="false" outlineLevel="0" collapsed="false">
      <c r="A2269" s="37" t="n">
        <v>20</v>
      </c>
      <c r="B2269" s="37" t="n">
        <v>5</v>
      </c>
      <c r="C2269" s="37" t="n">
        <v>0</v>
      </c>
      <c r="D2269" s="37" t="n">
        <v>0</v>
      </c>
      <c r="E2269" s="37" t="n">
        <v>5</v>
      </c>
      <c r="F2269" s="37" t="n">
        <v>0</v>
      </c>
      <c r="G2269" s="37" t="s">
        <v>196</v>
      </c>
      <c r="H2269" s="38" t="n">
        <v>199.189910507134</v>
      </c>
      <c r="I2269" s="38" t="n">
        <v>199.492364178584</v>
      </c>
      <c r="J2269" s="38" t="n">
        <v>200.920984309464</v>
      </c>
      <c r="K2269" s="38" t="n">
        <v>242.278083690316</v>
      </c>
      <c r="L2269" s="38" t="n">
        <v>45.6597581972522</v>
      </c>
      <c r="M2269" s="38" t="n">
        <v>104.896713931992</v>
      </c>
      <c r="N2269" s="38" t="n">
        <v>110.643060692066</v>
      </c>
      <c r="O2269" s="38" t="n">
        <v>63.2630411306758</v>
      </c>
      <c r="P2269" s="37" t="n">
        <v>0</v>
      </c>
      <c r="Q2269" s="38" t="n">
        <v>0</v>
      </c>
      <c r="R2269" s="38" t="n">
        <v>69.4649352149979</v>
      </c>
      <c r="S2269" s="37" t="n">
        <v>0</v>
      </c>
    </row>
    <row r="2270" customFormat="false" ht="15" hidden="false" customHeight="false" outlineLevel="0" collapsed="false">
      <c r="A2270" s="37" t="n">
        <v>20</v>
      </c>
      <c r="B2270" s="37" t="n">
        <v>5</v>
      </c>
      <c r="C2270" s="37" t="n">
        <v>0</v>
      </c>
      <c r="D2270" s="37" t="n">
        <v>5</v>
      </c>
      <c r="E2270" s="37" t="n">
        <v>0</v>
      </c>
      <c r="F2270" s="37" t="n">
        <v>0</v>
      </c>
      <c r="G2270" s="37" t="s">
        <v>188</v>
      </c>
      <c r="H2270" s="38" t="n">
        <v>199.330352444678</v>
      </c>
      <c r="I2270" s="38" t="n">
        <v>200.635004613558</v>
      </c>
      <c r="J2270" s="38" t="n">
        <v>209.969618938817</v>
      </c>
      <c r="K2270" s="38" t="n">
        <v>246.512392785627</v>
      </c>
      <c r="L2270" s="38" t="n">
        <v>42.6804775060825</v>
      </c>
      <c r="M2270" s="38" t="n">
        <v>106.1092040725</v>
      </c>
      <c r="N2270" s="38" t="n">
        <v>115.081807234671</v>
      </c>
      <c r="O2270" s="38" t="n">
        <v>66.7116440403061</v>
      </c>
      <c r="P2270" s="37" t="n">
        <v>0</v>
      </c>
      <c r="Q2270" s="38" t="n">
        <v>0</v>
      </c>
      <c r="R2270" s="38" t="n">
        <v>72</v>
      </c>
      <c r="S2270" s="37" t="n">
        <v>1</v>
      </c>
    </row>
    <row r="2271" customFormat="false" ht="15" hidden="false" customHeight="false" outlineLevel="0" collapsed="false">
      <c r="A2271" s="37" t="n">
        <v>20</v>
      </c>
      <c r="B2271" s="37" t="n">
        <v>5</v>
      </c>
      <c r="C2271" s="37" t="n">
        <v>0</v>
      </c>
      <c r="D2271" s="37" t="n">
        <v>5</v>
      </c>
      <c r="E2271" s="37" t="n">
        <v>0</v>
      </c>
      <c r="F2271" s="37" t="n">
        <v>0</v>
      </c>
      <c r="G2271" s="37" t="s">
        <v>192</v>
      </c>
      <c r="H2271" s="38" t="n">
        <v>199.330352444678</v>
      </c>
      <c r="I2271" s="38" t="n">
        <v>200.282120232902</v>
      </c>
      <c r="J2271" s="38" t="n">
        <v>202.900159921192</v>
      </c>
      <c r="K2271" s="38" t="n">
        <v>233.939424136258</v>
      </c>
      <c r="L2271" s="38" t="n">
        <v>32.5977031579469</v>
      </c>
      <c r="M2271" s="38" t="n">
        <v>98.8959083449863</v>
      </c>
      <c r="N2271" s="38" t="n">
        <v>94.9293228946647</v>
      </c>
      <c r="O2271" s="38" t="n">
        <v>63.4644457524018</v>
      </c>
      <c r="P2271" s="37" t="n">
        <v>0</v>
      </c>
      <c r="Q2271" s="38" t="n">
        <v>0</v>
      </c>
      <c r="R2271" s="38" t="n">
        <v>72</v>
      </c>
      <c r="S2271" s="37" t="n">
        <v>0</v>
      </c>
    </row>
    <row r="2272" customFormat="false" ht="15" hidden="false" customHeight="false" outlineLevel="0" collapsed="false">
      <c r="A2272" s="37" t="n">
        <v>20</v>
      </c>
      <c r="B2272" s="37" t="n">
        <v>5</v>
      </c>
      <c r="C2272" s="37" t="n">
        <v>0</v>
      </c>
      <c r="D2272" s="37" t="n">
        <v>5</v>
      </c>
      <c r="E2272" s="37" t="n">
        <v>0</v>
      </c>
      <c r="F2272" s="37" t="n">
        <v>0</v>
      </c>
      <c r="G2272" s="37" t="s">
        <v>195</v>
      </c>
      <c r="H2272" s="38" t="n">
        <v>199.330352444678</v>
      </c>
      <c r="I2272" s="38" t="n">
        <v>200.309754854473</v>
      </c>
      <c r="J2272" s="38" t="n">
        <v>200.26872242021</v>
      </c>
      <c r="K2272" s="38" t="n">
        <v>227.582431536201</v>
      </c>
      <c r="L2272" s="38" t="n">
        <v>29.6977346993471</v>
      </c>
      <c r="M2272" s="38" t="n">
        <v>101.446681409204</v>
      </c>
      <c r="N2272" s="38" t="n">
        <v>89.1607858999096</v>
      </c>
      <c r="O2272" s="38" t="n">
        <v>60.6509033203691</v>
      </c>
      <c r="P2272" s="37" t="n">
        <v>0</v>
      </c>
      <c r="Q2272" s="38" t="n">
        <v>0</v>
      </c>
      <c r="R2272" s="38" t="n">
        <v>70.309590948944</v>
      </c>
      <c r="S2272" s="37" t="n">
        <v>0</v>
      </c>
    </row>
    <row r="2273" customFormat="false" ht="15" hidden="false" customHeight="false" outlineLevel="0" collapsed="false">
      <c r="A2273" s="37" t="n">
        <v>20</v>
      </c>
      <c r="B2273" s="37" t="n">
        <v>5</v>
      </c>
      <c r="C2273" s="37" t="n">
        <v>0</v>
      </c>
      <c r="D2273" s="37" t="n">
        <v>5</v>
      </c>
      <c r="E2273" s="37" t="n">
        <v>0</v>
      </c>
      <c r="F2273" s="37" t="n">
        <v>0</v>
      </c>
      <c r="G2273" s="37" t="s">
        <v>197</v>
      </c>
      <c r="H2273" s="38" t="n">
        <v>199.330352444678</v>
      </c>
      <c r="I2273" s="38" t="n">
        <v>200.278820313551</v>
      </c>
      <c r="J2273" s="38" t="n">
        <v>202.132015541694</v>
      </c>
      <c r="K2273" s="38" t="n">
        <v>232.978411884015</v>
      </c>
      <c r="L2273" s="38" t="n">
        <v>30.5142318986102</v>
      </c>
      <c r="M2273" s="38" t="n">
        <v>101.670862662576</v>
      </c>
      <c r="N2273" s="38" t="n">
        <v>90.0775687683559</v>
      </c>
      <c r="O2273" s="38" t="n">
        <v>60.5524525532237</v>
      </c>
      <c r="P2273" s="37" t="n">
        <v>0</v>
      </c>
      <c r="Q2273" s="38" t="n">
        <v>0</v>
      </c>
      <c r="R2273" s="38" t="n">
        <v>72</v>
      </c>
      <c r="S2273" s="37" t="n">
        <v>0</v>
      </c>
    </row>
    <row r="2274" customFormat="false" ht="15" hidden="false" customHeight="false" outlineLevel="0" collapsed="false">
      <c r="A2274" s="37" t="n">
        <v>20</v>
      </c>
      <c r="B2274" s="37" t="n">
        <v>5</v>
      </c>
      <c r="C2274" s="37" t="n">
        <v>0</v>
      </c>
      <c r="D2274" s="37" t="n">
        <v>5</v>
      </c>
      <c r="E2274" s="37" t="n">
        <v>0</v>
      </c>
      <c r="F2274" s="37" t="n">
        <v>0</v>
      </c>
      <c r="G2274" s="37" t="s">
        <v>196</v>
      </c>
      <c r="H2274" s="38" t="n">
        <v>199.330352444678</v>
      </c>
      <c r="I2274" s="38" t="n">
        <v>200.289607992074</v>
      </c>
      <c r="J2274" s="38" t="n">
        <v>203.189307872432</v>
      </c>
      <c r="K2274" s="38" t="n">
        <v>234.43325760255</v>
      </c>
      <c r="L2274" s="38" t="n">
        <v>38.2957795904678</v>
      </c>
      <c r="M2274" s="38" t="n">
        <v>104.73890000143</v>
      </c>
      <c r="N2274" s="38" t="n">
        <v>105.897966272078</v>
      </c>
      <c r="O2274" s="38" t="n">
        <v>64.696592885293</v>
      </c>
      <c r="P2274" s="37" t="n">
        <v>0</v>
      </c>
      <c r="Q2274" s="38" t="n">
        <v>0</v>
      </c>
      <c r="R2274" s="38" t="n">
        <v>71.0803386104336</v>
      </c>
      <c r="S2274" s="37" t="n">
        <v>0</v>
      </c>
    </row>
    <row r="2275" customFormat="false" ht="15" hidden="false" customHeight="false" outlineLevel="0" collapsed="false">
      <c r="A2275" s="37" t="n">
        <v>20</v>
      </c>
      <c r="B2275" s="37" t="n">
        <v>5</v>
      </c>
      <c r="C2275" s="37" t="n">
        <v>5</v>
      </c>
      <c r="D2275" s="37" t="n">
        <v>0</v>
      </c>
      <c r="E2275" s="37" t="n">
        <v>0</v>
      </c>
      <c r="F2275" s="37" t="n">
        <v>0</v>
      </c>
      <c r="G2275" s="37" t="s">
        <v>188</v>
      </c>
      <c r="H2275" s="38" t="n">
        <v>199.243042944448</v>
      </c>
      <c r="I2275" s="38" t="n">
        <v>201.337165260344</v>
      </c>
      <c r="J2275" s="38" t="n">
        <v>222.814205064347</v>
      </c>
      <c r="K2275" s="38" t="n">
        <v>275.277283631365</v>
      </c>
      <c r="L2275" s="38" t="n">
        <v>71.8939167408026</v>
      </c>
      <c r="M2275" s="38" t="n">
        <v>109.894042771931</v>
      </c>
      <c r="N2275" s="38" t="n">
        <v>142.215075719413</v>
      </c>
      <c r="O2275" s="38" t="n">
        <v>74.0627430480039</v>
      </c>
      <c r="P2275" s="37" t="n">
        <v>0</v>
      </c>
      <c r="Q2275" s="38" t="n">
        <v>0</v>
      </c>
      <c r="R2275" s="38" t="n">
        <v>70.5</v>
      </c>
      <c r="S2275" s="37" t="n">
        <v>1</v>
      </c>
    </row>
    <row r="2276" customFormat="false" ht="15" hidden="false" customHeight="false" outlineLevel="0" collapsed="false">
      <c r="A2276" s="37" t="n">
        <v>20</v>
      </c>
      <c r="B2276" s="37" t="n">
        <v>5</v>
      </c>
      <c r="C2276" s="37" t="n">
        <v>5</v>
      </c>
      <c r="D2276" s="37" t="n">
        <v>0</v>
      </c>
      <c r="E2276" s="37" t="n">
        <v>0</v>
      </c>
      <c r="F2276" s="37" t="n">
        <v>0</v>
      </c>
      <c r="G2276" s="37" t="s">
        <v>192</v>
      </c>
      <c r="H2276" s="38" t="n">
        <v>199.243042944448</v>
      </c>
      <c r="I2276" s="38" t="n">
        <v>200.893580101849</v>
      </c>
      <c r="J2276" s="38" t="n">
        <v>213.677882821022</v>
      </c>
      <c r="K2276" s="38" t="n">
        <v>259.407495358414</v>
      </c>
      <c r="L2276" s="38" t="n">
        <v>58.0770260716028</v>
      </c>
      <c r="M2276" s="38" t="n">
        <v>102.547479017131</v>
      </c>
      <c r="N2276" s="38" t="n">
        <v>125.282983142007</v>
      </c>
      <c r="O2276" s="38" t="n">
        <v>69.0297723331932</v>
      </c>
      <c r="P2276" s="37" t="n">
        <v>0</v>
      </c>
      <c r="Q2276" s="38" t="n">
        <v>0</v>
      </c>
      <c r="R2276" s="38" t="n">
        <v>70.5</v>
      </c>
      <c r="S2276" s="37" t="n">
        <v>0</v>
      </c>
    </row>
    <row r="2277" customFormat="false" ht="15" hidden="false" customHeight="false" outlineLevel="0" collapsed="false">
      <c r="A2277" s="37" t="n">
        <v>20</v>
      </c>
      <c r="B2277" s="37" t="n">
        <v>5</v>
      </c>
      <c r="C2277" s="37" t="n">
        <v>5</v>
      </c>
      <c r="D2277" s="37" t="n">
        <v>0</v>
      </c>
      <c r="E2277" s="37" t="n">
        <v>0</v>
      </c>
      <c r="F2277" s="37" t="n">
        <v>0</v>
      </c>
      <c r="G2277" s="37" t="s">
        <v>195</v>
      </c>
      <c r="H2277" s="38" t="n">
        <v>199.243042944448</v>
      </c>
      <c r="I2277" s="38" t="n">
        <v>200.88634738652</v>
      </c>
      <c r="J2277" s="38" t="n">
        <v>208.323818232209</v>
      </c>
      <c r="K2277" s="38" t="n">
        <v>249.023942585492</v>
      </c>
      <c r="L2277" s="38" t="n">
        <v>49.8997934429343</v>
      </c>
      <c r="M2277" s="38" t="n">
        <v>103.578231525889</v>
      </c>
      <c r="N2277" s="38" t="n">
        <v>114.554721566703</v>
      </c>
      <c r="O2277" s="38" t="n">
        <v>61.5925872034221</v>
      </c>
      <c r="P2277" s="37" t="n">
        <v>0</v>
      </c>
      <c r="Q2277" s="38" t="n">
        <v>0</v>
      </c>
      <c r="R2277" s="38" t="n">
        <v>68.4377552572328</v>
      </c>
      <c r="S2277" s="37" t="n">
        <v>0</v>
      </c>
    </row>
    <row r="2278" customFormat="false" ht="15" hidden="false" customHeight="false" outlineLevel="0" collapsed="false">
      <c r="A2278" s="37" t="n">
        <v>20</v>
      </c>
      <c r="B2278" s="37" t="n">
        <v>5</v>
      </c>
      <c r="C2278" s="37" t="n">
        <v>5</v>
      </c>
      <c r="D2278" s="37" t="n">
        <v>0</v>
      </c>
      <c r="E2278" s="37" t="n">
        <v>0</v>
      </c>
      <c r="F2278" s="37" t="n">
        <v>0</v>
      </c>
      <c r="G2278" s="37" t="s">
        <v>197</v>
      </c>
      <c r="H2278" s="38" t="n">
        <v>199.243042944448</v>
      </c>
      <c r="I2278" s="38" t="n">
        <v>200.875505103821</v>
      </c>
      <c r="J2278" s="38" t="n">
        <v>212.321136161171</v>
      </c>
      <c r="K2278" s="38" t="n">
        <v>257.612773158303</v>
      </c>
      <c r="L2278" s="38" t="n">
        <v>55.0208632342489</v>
      </c>
      <c r="M2278" s="38" t="n">
        <v>103.243072605332</v>
      </c>
      <c r="N2278" s="38" t="n">
        <v>116.46269226523</v>
      </c>
      <c r="O2278" s="38" t="n">
        <v>63.5758910786867</v>
      </c>
      <c r="P2278" s="37" t="n">
        <v>0</v>
      </c>
      <c r="Q2278" s="38" t="n">
        <v>0</v>
      </c>
      <c r="R2278" s="38" t="n">
        <v>70.5</v>
      </c>
      <c r="S2278" s="37" t="n">
        <v>0</v>
      </c>
    </row>
    <row r="2279" customFormat="false" ht="15" hidden="false" customHeight="false" outlineLevel="0" collapsed="false">
      <c r="A2279" s="37" t="n">
        <v>20</v>
      </c>
      <c r="B2279" s="37" t="n">
        <v>5</v>
      </c>
      <c r="C2279" s="37" t="n">
        <v>5</v>
      </c>
      <c r="D2279" s="37" t="n">
        <v>0</v>
      </c>
      <c r="E2279" s="37" t="n">
        <v>0</v>
      </c>
      <c r="F2279" s="37" t="n">
        <v>0</v>
      </c>
      <c r="G2279" s="37" t="s">
        <v>196</v>
      </c>
      <c r="H2279" s="38" t="n">
        <v>199.243042944448</v>
      </c>
      <c r="I2279" s="38" t="n">
        <v>200.906807525939</v>
      </c>
      <c r="J2279" s="38" t="n">
        <v>213.26804656984</v>
      </c>
      <c r="K2279" s="38" t="n">
        <v>259.190732187006</v>
      </c>
      <c r="L2279" s="38" t="n">
        <v>62.5062263248575</v>
      </c>
      <c r="M2279" s="38" t="n">
        <v>106.481974071104</v>
      </c>
      <c r="N2279" s="38" t="n">
        <v>125.979577752252</v>
      </c>
      <c r="O2279" s="38" t="n">
        <v>69.9254065812376</v>
      </c>
      <c r="P2279" s="37" t="n">
        <v>0</v>
      </c>
      <c r="Q2279" s="38" t="n">
        <v>0</v>
      </c>
      <c r="R2279" s="38" t="n">
        <v>69.4490519264177</v>
      </c>
      <c r="S2279" s="37" t="n">
        <v>0</v>
      </c>
    </row>
    <row r="2280" customFormat="false" ht="15" hidden="false" customHeight="false" outlineLevel="0" collapsed="false">
      <c r="A2280" s="37" t="n">
        <v>20</v>
      </c>
      <c r="B2280" s="37" t="n">
        <v>10</v>
      </c>
      <c r="C2280" s="37" t="n">
        <v>0</v>
      </c>
      <c r="D2280" s="37" t="n">
        <v>0</v>
      </c>
      <c r="E2280" s="37" t="n">
        <v>0</v>
      </c>
      <c r="F2280" s="37" t="n">
        <v>0</v>
      </c>
      <c r="G2280" s="37" t="s">
        <v>188</v>
      </c>
      <c r="H2280" s="38" t="n">
        <v>199.219749870132</v>
      </c>
      <c r="I2280" s="38" t="n">
        <v>199.859233873853</v>
      </c>
      <c r="J2280" s="38" t="n">
        <v>206.133415212465</v>
      </c>
      <c r="K2280" s="38" t="n">
        <v>246.785548008021</v>
      </c>
      <c r="L2280" s="38" t="n">
        <v>42.3167109994892</v>
      </c>
      <c r="M2280" s="38" t="n">
        <v>105.216231229724</v>
      </c>
      <c r="N2280" s="38" t="n">
        <v>112.726128095004</v>
      </c>
      <c r="O2280" s="38" t="n">
        <v>62.4469305861949</v>
      </c>
      <c r="P2280" s="37" t="n">
        <v>0</v>
      </c>
      <c r="Q2280" s="38" t="n">
        <v>0</v>
      </c>
      <c r="R2280" s="38" t="n">
        <v>70.5</v>
      </c>
      <c r="S2280" s="37" t="n">
        <v>1</v>
      </c>
    </row>
    <row r="2281" customFormat="false" ht="15" hidden="false" customHeight="false" outlineLevel="0" collapsed="false">
      <c r="A2281" s="37" t="n">
        <v>20</v>
      </c>
      <c r="B2281" s="37" t="n">
        <v>10</v>
      </c>
      <c r="C2281" s="37" t="n">
        <v>0</v>
      </c>
      <c r="D2281" s="37" t="n">
        <v>0</v>
      </c>
      <c r="E2281" s="37" t="n">
        <v>0</v>
      </c>
      <c r="F2281" s="37" t="n">
        <v>0</v>
      </c>
      <c r="G2281" s="37" t="s">
        <v>192</v>
      </c>
      <c r="H2281" s="38" t="n">
        <v>199.219749870132</v>
      </c>
      <c r="I2281" s="38" t="n">
        <v>199.5418385081</v>
      </c>
      <c r="J2281" s="38" t="n">
        <v>207.84159496527</v>
      </c>
      <c r="K2281" s="38" t="n">
        <v>239.441616090598</v>
      </c>
      <c r="L2281" s="38" t="n">
        <v>35.9853048864302</v>
      </c>
      <c r="M2281" s="38" t="n">
        <v>99.8234647775538</v>
      </c>
      <c r="N2281" s="38" t="n">
        <v>105.793337062952</v>
      </c>
      <c r="O2281" s="38" t="n">
        <v>60.7495221330256</v>
      </c>
      <c r="P2281" s="37" t="n">
        <v>0</v>
      </c>
      <c r="Q2281" s="38" t="n">
        <v>0</v>
      </c>
      <c r="R2281" s="38" t="n">
        <v>70.5</v>
      </c>
      <c r="S2281" s="37" t="n">
        <v>0</v>
      </c>
    </row>
    <row r="2282" customFormat="false" ht="15" hidden="false" customHeight="false" outlineLevel="0" collapsed="false">
      <c r="A2282" s="37" t="n">
        <v>20</v>
      </c>
      <c r="B2282" s="37" t="n">
        <v>10</v>
      </c>
      <c r="C2282" s="37" t="n">
        <v>0</v>
      </c>
      <c r="D2282" s="37" t="n">
        <v>0</v>
      </c>
      <c r="E2282" s="37" t="n">
        <v>0</v>
      </c>
      <c r="F2282" s="37" t="n">
        <v>0</v>
      </c>
      <c r="G2282" s="37" t="s">
        <v>195</v>
      </c>
      <c r="H2282" s="38" t="n">
        <v>199.219749870132</v>
      </c>
      <c r="I2282" s="38" t="n">
        <v>199.527803357216</v>
      </c>
      <c r="J2282" s="38" t="n">
        <v>195.339559462827</v>
      </c>
      <c r="K2282" s="38" t="n">
        <v>225.554191592121</v>
      </c>
      <c r="L2282" s="38" t="n">
        <v>26.294512524092</v>
      </c>
      <c r="M2282" s="38" t="n">
        <v>99.0891444287374</v>
      </c>
      <c r="N2282" s="38" t="n">
        <v>77.8345997700193</v>
      </c>
      <c r="O2282" s="38" t="n">
        <v>53.9372216685435</v>
      </c>
      <c r="P2282" s="37" t="n">
        <v>0</v>
      </c>
      <c r="Q2282" s="38" t="n">
        <v>0</v>
      </c>
      <c r="R2282" s="38" t="n">
        <v>68.3970962795914</v>
      </c>
      <c r="S2282" s="37" t="n">
        <v>0</v>
      </c>
    </row>
    <row r="2283" customFormat="false" ht="15" hidden="false" customHeight="false" outlineLevel="0" collapsed="false">
      <c r="A2283" s="37" t="n">
        <v>20</v>
      </c>
      <c r="B2283" s="37" t="n">
        <v>10</v>
      </c>
      <c r="C2283" s="37" t="n">
        <v>0</v>
      </c>
      <c r="D2283" s="37" t="n">
        <v>0</v>
      </c>
      <c r="E2283" s="37" t="n">
        <v>0</v>
      </c>
      <c r="F2283" s="37" t="n">
        <v>0</v>
      </c>
      <c r="G2283" s="37" t="s">
        <v>197</v>
      </c>
      <c r="H2283" s="38" t="n">
        <v>199.219749870132</v>
      </c>
      <c r="I2283" s="38" t="n">
        <v>199.530354209744</v>
      </c>
      <c r="J2283" s="38" t="n">
        <v>199.291202347026</v>
      </c>
      <c r="K2283" s="38" t="n">
        <v>234.511168209251</v>
      </c>
      <c r="L2283" s="38" t="n">
        <v>31.8076397604916</v>
      </c>
      <c r="M2283" s="38" t="n">
        <v>100.895952116775</v>
      </c>
      <c r="N2283" s="38" t="n">
        <v>89.7237837291302</v>
      </c>
      <c r="O2283" s="38" t="n">
        <v>56.7202968314082</v>
      </c>
      <c r="P2283" s="37" t="n">
        <v>0</v>
      </c>
      <c r="Q2283" s="38" t="n">
        <v>0</v>
      </c>
      <c r="R2283" s="38" t="n">
        <v>70.5</v>
      </c>
      <c r="S2283" s="37" t="n">
        <v>0</v>
      </c>
    </row>
    <row r="2284" customFormat="false" ht="15" hidden="false" customHeight="false" outlineLevel="0" collapsed="false">
      <c r="A2284" s="37" t="n">
        <v>20</v>
      </c>
      <c r="B2284" s="37" t="n">
        <v>10</v>
      </c>
      <c r="C2284" s="37" t="n">
        <v>0</v>
      </c>
      <c r="D2284" s="37" t="n">
        <v>0</v>
      </c>
      <c r="E2284" s="37" t="n">
        <v>0</v>
      </c>
      <c r="F2284" s="37" t="n">
        <v>0</v>
      </c>
      <c r="G2284" s="37" t="s">
        <v>196</v>
      </c>
      <c r="H2284" s="38" t="n">
        <v>199.219749870132</v>
      </c>
      <c r="I2284" s="38" t="n">
        <v>199.547714897535</v>
      </c>
      <c r="J2284" s="38" t="n">
        <v>200.302140766198</v>
      </c>
      <c r="K2284" s="38" t="n">
        <v>235.99828179066</v>
      </c>
      <c r="L2284" s="38" t="n">
        <v>39.7319163105944</v>
      </c>
      <c r="M2284" s="38" t="n">
        <v>104.016835498674</v>
      </c>
      <c r="N2284" s="38" t="n">
        <v>105.852391266421</v>
      </c>
      <c r="O2284" s="38" t="n">
        <v>61.9688399072672</v>
      </c>
      <c r="P2284" s="37" t="n">
        <v>0</v>
      </c>
      <c r="Q2284" s="38" t="n">
        <v>0</v>
      </c>
      <c r="R2284" s="38" t="n">
        <v>69.5494056181175</v>
      </c>
      <c r="S2284" s="37" t="n">
        <v>0</v>
      </c>
    </row>
    <row r="2285" customFormat="false" ht="15" hidden="false" customHeight="false" outlineLevel="0" collapsed="false">
      <c r="A2285" s="37" t="n">
        <v>25</v>
      </c>
      <c r="B2285" s="37" t="n">
        <v>0</v>
      </c>
      <c r="C2285" s="37" t="n">
        <v>0</v>
      </c>
      <c r="D2285" s="37" t="n">
        <v>0</v>
      </c>
      <c r="E2285" s="37" t="n">
        <v>0</v>
      </c>
      <c r="F2285" s="37" t="n">
        <v>5</v>
      </c>
      <c r="G2285" s="37" t="s">
        <v>188</v>
      </c>
      <c r="H2285" s="38" t="n">
        <v>199.255952567139</v>
      </c>
      <c r="I2285" s="38" t="n">
        <v>200.033401896134</v>
      </c>
      <c r="J2285" s="38" t="n">
        <v>203.184770916337</v>
      </c>
      <c r="K2285" s="38" t="n">
        <v>254.643664525102</v>
      </c>
      <c r="L2285" s="38" t="n">
        <v>91.440886243302</v>
      </c>
      <c r="M2285" s="38" t="n">
        <v>105.979515828881</v>
      </c>
      <c r="N2285" s="38" t="n">
        <v>109.164967915008</v>
      </c>
      <c r="O2285" s="38" t="n">
        <v>62.7891247584982</v>
      </c>
      <c r="P2285" s="37" t="n">
        <v>0</v>
      </c>
      <c r="Q2285" s="38" t="n">
        <v>0</v>
      </c>
      <c r="R2285" s="38" t="n">
        <v>70.5</v>
      </c>
      <c r="S2285" s="37" t="n">
        <v>1</v>
      </c>
    </row>
    <row r="2286" customFormat="false" ht="15" hidden="false" customHeight="false" outlineLevel="0" collapsed="false">
      <c r="A2286" s="37" t="n">
        <v>25</v>
      </c>
      <c r="B2286" s="37" t="n">
        <v>0</v>
      </c>
      <c r="C2286" s="37" t="n">
        <v>0</v>
      </c>
      <c r="D2286" s="37" t="n">
        <v>0</v>
      </c>
      <c r="E2286" s="37" t="n">
        <v>0</v>
      </c>
      <c r="F2286" s="37" t="n">
        <v>5</v>
      </c>
      <c r="G2286" s="37" t="s">
        <v>192</v>
      </c>
      <c r="H2286" s="38" t="n">
        <v>199.255952567139</v>
      </c>
      <c r="I2286" s="38" t="n">
        <v>199.473280577231</v>
      </c>
      <c r="J2286" s="38" t="n">
        <v>196.385743675774</v>
      </c>
      <c r="K2286" s="38" t="n">
        <v>241.109582998193</v>
      </c>
      <c r="L2286" s="38" t="n">
        <v>79.2976345701032</v>
      </c>
      <c r="M2286" s="38" t="n">
        <v>96.1308955695225</v>
      </c>
      <c r="N2286" s="38" t="n">
        <v>90.5848488119885</v>
      </c>
      <c r="O2286" s="38" t="n">
        <v>55.7136342278745</v>
      </c>
      <c r="P2286" s="37" t="n">
        <v>0</v>
      </c>
      <c r="Q2286" s="38" t="n">
        <v>0</v>
      </c>
      <c r="R2286" s="38" t="n">
        <v>70.5</v>
      </c>
      <c r="S2286" s="37" t="n">
        <v>0</v>
      </c>
    </row>
    <row r="2287" customFormat="false" ht="15" hidden="false" customHeight="false" outlineLevel="0" collapsed="false">
      <c r="A2287" s="37" t="n">
        <v>25</v>
      </c>
      <c r="B2287" s="37" t="n">
        <v>0</v>
      </c>
      <c r="C2287" s="37" t="n">
        <v>0</v>
      </c>
      <c r="D2287" s="37" t="n">
        <v>0</v>
      </c>
      <c r="E2287" s="37" t="n">
        <v>0</v>
      </c>
      <c r="F2287" s="37" t="n">
        <v>5</v>
      </c>
      <c r="G2287" s="37" t="s">
        <v>195</v>
      </c>
      <c r="H2287" s="38" t="n">
        <v>199.255952567139</v>
      </c>
      <c r="I2287" s="38" t="n">
        <v>199.473274007632</v>
      </c>
      <c r="J2287" s="38" t="n">
        <v>191.775275863075</v>
      </c>
      <c r="K2287" s="38" t="n">
        <v>231.358977514327</v>
      </c>
      <c r="L2287" s="38" t="n">
        <v>72.1950756957814</v>
      </c>
      <c r="M2287" s="38" t="n">
        <v>99.1308845324465</v>
      </c>
      <c r="N2287" s="38" t="n">
        <v>85.3114614963664</v>
      </c>
      <c r="O2287" s="38" t="n">
        <v>53.9501580960064</v>
      </c>
      <c r="P2287" s="37" t="n">
        <v>0</v>
      </c>
      <c r="Q2287" s="38" t="n">
        <v>0</v>
      </c>
      <c r="R2287" s="38" t="n">
        <v>68.4258294544362</v>
      </c>
      <c r="S2287" s="37" t="n">
        <v>0</v>
      </c>
    </row>
    <row r="2288" customFormat="false" ht="15" hidden="false" customHeight="false" outlineLevel="0" collapsed="false">
      <c r="A2288" s="37" t="n">
        <v>25</v>
      </c>
      <c r="B2288" s="37" t="n">
        <v>0</v>
      </c>
      <c r="C2288" s="37" t="n">
        <v>0</v>
      </c>
      <c r="D2288" s="37" t="n">
        <v>0</v>
      </c>
      <c r="E2288" s="37" t="n">
        <v>0</v>
      </c>
      <c r="F2288" s="37" t="n">
        <v>5</v>
      </c>
      <c r="G2288" s="37" t="s">
        <v>197</v>
      </c>
      <c r="H2288" s="38" t="n">
        <v>199.255952567139</v>
      </c>
      <c r="I2288" s="38" t="n">
        <v>199.473274007632</v>
      </c>
      <c r="J2288" s="38" t="n">
        <v>195.632422055788</v>
      </c>
      <c r="K2288" s="38" t="n">
        <v>240.134764489415</v>
      </c>
      <c r="L2288" s="38" t="n">
        <v>77.4280237890064</v>
      </c>
      <c r="M2288" s="38" t="n">
        <v>100.930884532447</v>
      </c>
      <c r="N2288" s="38" t="n">
        <v>92.4192625970982</v>
      </c>
      <c r="O2288" s="38" t="n">
        <v>56.7608679044576</v>
      </c>
      <c r="P2288" s="37" t="n">
        <v>0</v>
      </c>
      <c r="Q2288" s="38" t="n">
        <v>0</v>
      </c>
      <c r="R2288" s="38" t="n">
        <v>70.5</v>
      </c>
      <c r="S2288" s="37" t="n">
        <v>0</v>
      </c>
    </row>
    <row r="2289" customFormat="false" ht="15" hidden="false" customHeight="false" outlineLevel="0" collapsed="false">
      <c r="A2289" s="37" t="n">
        <v>25</v>
      </c>
      <c r="B2289" s="37" t="n">
        <v>0</v>
      </c>
      <c r="C2289" s="37" t="n">
        <v>0</v>
      </c>
      <c r="D2289" s="37" t="n">
        <v>0</v>
      </c>
      <c r="E2289" s="37" t="n">
        <v>0</v>
      </c>
      <c r="F2289" s="37" t="n">
        <v>5</v>
      </c>
      <c r="G2289" s="37" t="s">
        <v>196</v>
      </c>
      <c r="H2289" s="38" t="n">
        <v>199.255952567139</v>
      </c>
      <c r="I2289" s="38" t="n">
        <v>199.473274007632</v>
      </c>
      <c r="J2289" s="38" t="n">
        <v>196.577078956379</v>
      </c>
      <c r="K2289" s="38" t="n">
        <v>241.458643467048</v>
      </c>
      <c r="L2289" s="38" t="n">
        <v>85.2828145676201</v>
      </c>
      <c r="M2289" s="38" t="n">
        <v>102.610884532447</v>
      </c>
      <c r="N2289" s="38" t="n">
        <v>98.2572232163927</v>
      </c>
      <c r="O2289" s="38" t="n">
        <v>59.2316265173379</v>
      </c>
      <c r="P2289" s="37" t="n">
        <v>0</v>
      </c>
      <c r="Q2289" s="38" t="n">
        <v>0</v>
      </c>
      <c r="R2289" s="38" t="n">
        <v>69.5711343974707</v>
      </c>
      <c r="S2289" s="37" t="n">
        <v>0</v>
      </c>
    </row>
    <row r="2290" customFormat="false" ht="15" hidden="false" customHeight="false" outlineLevel="0" collapsed="false">
      <c r="A2290" s="37" t="n">
        <v>25</v>
      </c>
      <c r="B2290" s="37" t="n">
        <v>0</v>
      </c>
      <c r="C2290" s="37" t="n">
        <v>0</v>
      </c>
      <c r="D2290" s="37" t="n">
        <v>0</v>
      </c>
      <c r="E2290" s="37" t="n">
        <v>5</v>
      </c>
      <c r="F2290" s="37" t="n">
        <v>0</v>
      </c>
      <c r="G2290" s="37" t="s">
        <v>188</v>
      </c>
      <c r="H2290" s="38" t="n">
        <v>199.264513945205</v>
      </c>
      <c r="I2290" s="38" t="n">
        <v>200.188642766791</v>
      </c>
      <c r="J2290" s="38" t="n">
        <v>206.8625735508</v>
      </c>
      <c r="K2290" s="38" t="n">
        <v>260.023768018938</v>
      </c>
      <c r="L2290" s="38" t="n">
        <v>57.071327002224</v>
      </c>
      <c r="M2290" s="38" t="n">
        <v>107.092836899288</v>
      </c>
      <c r="N2290" s="38" t="n">
        <v>117.407087778973</v>
      </c>
      <c r="O2290" s="38" t="n">
        <v>63.0738467482768</v>
      </c>
      <c r="P2290" s="37" t="n">
        <v>0</v>
      </c>
      <c r="Q2290" s="38" t="n">
        <v>0</v>
      </c>
      <c r="R2290" s="38" t="n">
        <v>70.5</v>
      </c>
      <c r="S2290" s="37" t="n">
        <v>1</v>
      </c>
    </row>
    <row r="2291" customFormat="false" ht="15" hidden="false" customHeight="false" outlineLevel="0" collapsed="false">
      <c r="A2291" s="37" t="n">
        <v>25</v>
      </c>
      <c r="B2291" s="37" t="n">
        <v>0</v>
      </c>
      <c r="C2291" s="37" t="n">
        <v>0</v>
      </c>
      <c r="D2291" s="37" t="n">
        <v>0</v>
      </c>
      <c r="E2291" s="37" t="n">
        <v>5</v>
      </c>
      <c r="F2291" s="37" t="n">
        <v>0</v>
      </c>
      <c r="G2291" s="37" t="s">
        <v>192</v>
      </c>
      <c r="H2291" s="38" t="n">
        <v>199.264513945205</v>
      </c>
      <c r="I2291" s="38" t="n">
        <v>199.682007337129</v>
      </c>
      <c r="J2291" s="38" t="n">
        <v>199.360107343421</v>
      </c>
      <c r="K2291" s="38" t="n">
        <v>246.124601351828</v>
      </c>
      <c r="L2291" s="38" t="n">
        <v>44.3098896530026</v>
      </c>
      <c r="M2291" s="38" t="n">
        <v>97.3790697176582</v>
      </c>
      <c r="N2291" s="38" t="n">
        <v>97.7501726367108</v>
      </c>
      <c r="O2291" s="38" t="n">
        <v>55.9060177719728</v>
      </c>
      <c r="P2291" s="37" t="n">
        <v>0</v>
      </c>
      <c r="Q2291" s="38" t="n">
        <v>0</v>
      </c>
      <c r="R2291" s="38" t="n">
        <v>70.5</v>
      </c>
      <c r="S2291" s="37" t="n">
        <v>0</v>
      </c>
    </row>
    <row r="2292" customFormat="false" ht="15" hidden="false" customHeight="false" outlineLevel="0" collapsed="false">
      <c r="A2292" s="37" t="n">
        <v>25</v>
      </c>
      <c r="B2292" s="37" t="n">
        <v>0</v>
      </c>
      <c r="C2292" s="37" t="n">
        <v>0</v>
      </c>
      <c r="D2292" s="37" t="n">
        <v>0</v>
      </c>
      <c r="E2292" s="37" t="n">
        <v>5</v>
      </c>
      <c r="F2292" s="37" t="n">
        <v>0</v>
      </c>
      <c r="G2292" s="37" t="s">
        <v>195</v>
      </c>
      <c r="H2292" s="38" t="n">
        <v>199.264513945205</v>
      </c>
      <c r="I2292" s="38" t="n">
        <v>199.682495292474</v>
      </c>
      <c r="J2292" s="38" t="n">
        <v>194.488344385795</v>
      </c>
      <c r="K2292" s="38" t="n">
        <v>236.099586468026</v>
      </c>
      <c r="L2292" s="38" t="n">
        <v>36.869622291649</v>
      </c>
      <c r="M2292" s="38" t="n">
        <v>100.37983381048</v>
      </c>
      <c r="N2292" s="38" t="n">
        <v>89.4669729968624</v>
      </c>
      <c r="O2292" s="38" t="n">
        <v>54.2307408865421</v>
      </c>
      <c r="P2292" s="37" t="n">
        <v>0</v>
      </c>
      <c r="Q2292" s="38" t="n">
        <v>0</v>
      </c>
      <c r="R2292" s="38" t="n">
        <v>68.406010747087</v>
      </c>
      <c r="S2292" s="37" t="n">
        <v>0</v>
      </c>
    </row>
    <row r="2293" customFormat="false" ht="15" hidden="false" customHeight="false" outlineLevel="0" collapsed="false">
      <c r="A2293" s="37" t="n">
        <v>25</v>
      </c>
      <c r="B2293" s="37" t="n">
        <v>0</v>
      </c>
      <c r="C2293" s="37" t="n">
        <v>0</v>
      </c>
      <c r="D2293" s="37" t="n">
        <v>0</v>
      </c>
      <c r="E2293" s="37" t="n">
        <v>5</v>
      </c>
      <c r="F2293" s="37" t="n">
        <v>0</v>
      </c>
      <c r="G2293" s="37" t="s">
        <v>197</v>
      </c>
      <c r="H2293" s="38" t="n">
        <v>199.264513945205</v>
      </c>
      <c r="I2293" s="38" t="n">
        <v>199.689517715923</v>
      </c>
      <c r="J2293" s="38" t="n">
        <v>199.180832083996</v>
      </c>
      <c r="K2293" s="38" t="n">
        <v>246.049275487617</v>
      </c>
      <c r="L2293" s="38" t="n">
        <v>43.8543414222742</v>
      </c>
      <c r="M2293" s="38" t="n">
        <v>105.400118926913</v>
      </c>
      <c r="N2293" s="38" t="n">
        <v>108.519862405238</v>
      </c>
      <c r="O2293" s="38" t="n">
        <v>60.872428765007</v>
      </c>
      <c r="P2293" s="37" t="n">
        <v>0</v>
      </c>
      <c r="Q2293" s="38" t="n">
        <v>0</v>
      </c>
      <c r="R2293" s="38" t="n">
        <v>70.5</v>
      </c>
      <c r="S2293" s="37" t="n">
        <v>0</v>
      </c>
    </row>
    <row r="2294" customFormat="false" ht="15" hidden="false" customHeight="false" outlineLevel="0" collapsed="false">
      <c r="A2294" s="37" t="n">
        <v>25</v>
      </c>
      <c r="B2294" s="37" t="n">
        <v>0</v>
      </c>
      <c r="C2294" s="37" t="n">
        <v>0</v>
      </c>
      <c r="D2294" s="37" t="n">
        <v>0</v>
      </c>
      <c r="E2294" s="37" t="n">
        <v>5</v>
      </c>
      <c r="F2294" s="37" t="n">
        <v>0</v>
      </c>
      <c r="G2294" s="37" t="s">
        <v>196</v>
      </c>
      <c r="H2294" s="38" t="n">
        <v>199.264513945205</v>
      </c>
      <c r="I2294" s="38" t="n">
        <v>199.682278959809</v>
      </c>
      <c r="J2294" s="38" t="n">
        <v>199.343459037141</v>
      </c>
      <c r="K2294" s="38" t="n">
        <v>246.258434692824</v>
      </c>
      <c r="L2294" s="38" t="n">
        <v>50.0053034337409</v>
      </c>
      <c r="M2294" s="38" t="n">
        <v>104.499215188429</v>
      </c>
      <c r="N2294" s="38" t="n">
        <v>106.640529591231</v>
      </c>
      <c r="O2294" s="38" t="n">
        <v>60.7621932567436</v>
      </c>
      <c r="P2294" s="37" t="n">
        <v>0</v>
      </c>
      <c r="Q2294" s="38" t="n">
        <v>0</v>
      </c>
      <c r="R2294" s="38" t="n">
        <v>69.5525818311535</v>
      </c>
      <c r="S2294" s="37" t="n">
        <v>0</v>
      </c>
    </row>
    <row r="2295" customFormat="false" ht="15" hidden="false" customHeight="false" outlineLevel="0" collapsed="false">
      <c r="A2295" s="37" t="n">
        <v>25</v>
      </c>
      <c r="B2295" s="37" t="n">
        <v>0</v>
      </c>
      <c r="C2295" s="37" t="n">
        <v>0</v>
      </c>
      <c r="D2295" s="37" t="n">
        <v>5</v>
      </c>
      <c r="E2295" s="37" t="n">
        <v>0</v>
      </c>
      <c r="F2295" s="37" t="n">
        <v>0</v>
      </c>
      <c r="G2295" s="37" t="s">
        <v>188</v>
      </c>
      <c r="H2295" s="38" t="n">
        <v>199.403739804944</v>
      </c>
      <c r="I2295" s="38" t="n">
        <v>201.01243567263</v>
      </c>
      <c r="J2295" s="38" t="n">
        <v>208.959295990437</v>
      </c>
      <c r="K2295" s="38" t="n">
        <v>252.125632153661</v>
      </c>
      <c r="L2295" s="38" t="n">
        <v>49.5777142081982</v>
      </c>
      <c r="M2295" s="38" t="n">
        <v>106.949735854999</v>
      </c>
      <c r="N2295" s="38" t="n">
        <v>113.42680542612</v>
      </c>
      <c r="O2295" s="38" t="n">
        <v>66.2873757209309</v>
      </c>
      <c r="P2295" s="37" t="n">
        <v>0</v>
      </c>
      <c r="Q2295" s="38" t="n">
        <v>0</v>
      </c>
      <c r="R2295" s="38" t="n">
        <v>72</v>
      </c>
      <c r="S2295" s="37" t="n">
        <v>1</v>
      </c>
    </row>
    <row r="2296" customFormat="false" ht="15" hidden="false" customHeight="false" outlineLevel="0" collapsed="false">
      <c r="A2296" s="37" t="n">
        <v>25</v>
      </c>
      <c r="B2296" s="37" t="n">
        <v>0</v>
      </c>
      <c r="C2296" s="37" t="n">
        <v>0</v>
      </c>
      <c r="D2296" s="37" t="n">
        <v>5</v>
      </c>
      <c r="E2296" s="37" t="n">
        <v>0</v>
      </c>
      <c r="F2296" s="37" t="n">
        <v>0</v>
      </c>
      <c r="G2296" s="37" t="s">
        <v>192</v>
      </c>
      <c r="H2296" s="38" t="n">
        <v>199.403739804944</v>
      </c>
      <c r="I2296" s="38" t="n">
        <v>200.443276911898</v>
      </c>
      <c r="J2296" s="38" t="n">
        <v>201.039040517848</v>
      </c>
      <c r="K2296" s="38" t="n">
        <v>237.542135043438</v>
      </c>
      <c r="L2296" s="38" t="n">
        <v>36.0105897834743</v>
      </c>
      <c r="M2296" s="38" t="n">
        <v>97.0883817741761</v>
      </c>
      <c r="N2296" s="38" t="n">
        <v>90.2655897507425</v>
      </c>
      <c r="O2296" s="38" t="n">
        <v>58.4030329906993</v>
      </c>
      <c r="P2296" s="37" t="n">
        <v>0</v>
      </c>
      <c r="Q2296" s="38" t="n">
        <v>0</v>
      </c>
      <c r="R2296" s="38" t="n">
        <v>72</v>
      </c>
      <c r="S2296" s="37" t="n">
        <v>0</v>
      </c>
    </row>
    <row r="2297" customFormat="false" ht="15" hidden="false" customHeight="false" outlineLevel="0" collapsed="false">
      <c r="A2297" s="37" t="n">
        <v>25</v>
      </c>
      <c r="B2297" s="37" t="n">
        <v>0</v>
      </c>
      <c r="C2297" s="37" t="n">
        <v>0</v>
      </c>
      <c r="D2297" s="37" t="n">
        <v>5</v>
      </c>
      <c r="E2297" s="37" t="n">
        <v>0</v>
      </c>
      <c r="F2297" s="37" t="n">
        <v>0</v>
      </c>
      <c r="G2297" s="37" t="s">
        <v>195</v>
      </c>
      <c r="H2297" s="38" t="n">
        <v>199.403739804944</v>
      </c>
      <c r="I2297" s="38" t="n">
        <v>200.472154698128</v>
      </c>
      <c r="J2297" s="38" t="n">
        <v>198.565465169357</v>
      </c>
      <c r="K2297" s="38" t="n">
        <v>231.356226251134</v>
      </c>
      <c r="L2297" s="38" t="n">
        <v>33.5281024578065</v>
      </c>
      <c r="M2297" s="38" t="n">
        <v>101.68441673662</v>
      </c>
      <c r="N2297" s="38" t="n">
        <v>90.1200449471234</v>
      </c>
      <c r="O2297" s="38" t="n">
        <v>59.9492626550795</v>
      </c>
      <c r="P2297" s="37" t="n">
        <v>0</v>
      </c>
      <c r="Q2297" s="38" t="n">
        <v>0</v>
      </c>
      <c r="R2297" s="38" t="n">
        <v>70.3265628620019</v>
      </c>
      <c r="S2297" s="37" t="n">
        <v>0</v>
      </c>
    </row>
    <row r="2298" customFormat="false" ht="15" hidden="false" customHeight="false" outlineLevel="0" collapsed="false">
      <c r="A2298" s="37" t="n">
        <v>25</v>
      </c>
      <c r="B2298" s="37" t="n">
        <v>0</v>
      </c>
      <c r="C2298" s="37" t="n">
        <v>0</v>
      </c>
      <c r="D2298" s="37" t="n">
        <v>5</v>
      </c>
      <c r="E2298" s="37" t="n">
        <v>0</v>
      </c>
      <c r="F2298" s="37" t="n">
        <v>0</v>
      </c>
      <c r="G2298" s="37" t="s">
        <v>197</v>
      </c>
      <c r="H2298" s="38" t="n">
        <v>199.403739804944</v>
      </c>
      <c r="I2298" s="38" t="n">
        <v>200.443540694703</v>
      </c>
      <c r="J2298" s="38" t="n">
        <v>200.37705812474</v>
      </c>
      <c r="K2298" s="38" t="n">
        <v>236.677531344571</v>
      </c>
      <c r="L2298" s="38" t="n">
        <v>34.2168430402714</v>
      </c>
      <c r="M2298" s="38" t="n">
        <v>101.88899510613</v>
      </c>
      <c r="N2298" s="38" t="n">
        <v>90.8474762600101</v>
      </c>
      <c r="O2298" s="38" t="n">
        <v>59.8446542790246</v>
      </c>
      <c r="P2298" s="37" t="n">
        <v>0</v>
      </c>
      <c r="Q2298" s="38" t="n">
        <v>0</v>
      </c>
      <c r="R2298" s="38" t="n">
        <v>72</v>
      </c>
      <c r="S2298" s="37" t="n">
        <v>0</v>
      </c>
    </row>
    <row r="2299" customFormat="false" ht="15" hidden="false" customHeight="false" outlineLevel="0" collapsed="false">
      <c r="A2299" s="37" t="n">
        <v>25</v>
      </c>
      <c r="B2299" s="37" t="n">
        <v>0</v>
      </c>
      <c r="C2299" s="37" t="n">
        <v>0</v>
      </c>
      <c r="D2299" s="37" t="n">
        <v>5</v>
      </c>
      <c r="E2299" s="37" t="n">
        <v>0</v>
      </c>
      <c r="F2299" s="37" t="n">
        <v>0</v>
      </c>
      <c r="G2299" s="37" t="s">
        <v>196</v>
      </c>
      <c r="H2299" s="38" t="n">
        <v>199.403739804944</v>
      </c>
      <c r="I2299" s="38" t="n">
        <v>200.444910183319</v>
      </c>
      <c r="J2299" s="38" t="n">
        <v>193.634133048288</v>
      </c>
      <c r="K2299" s="38" t="n">
        <v>238.855094992634</v>
      </c>
      <c r="L2299" s="38" t="n">
        <v>45.2995394370786</v>
      </c>
      <c r="M2299" s="38" t="n">
        <v>104.185223417012</v>
      </c>
      <c r="N2299" s="38" t="n">
        <v>101.161652029828</v>
      </c>
      <c r="O2299" s="38" t="n">
        <v>60.4400876114324</v>
      </c>
      <c r="P2299" s="37" t="n">
        <v>0</v>
      </c>
      <c r="Q2299" s="38" t="n">
        <v>0</v>
      </c>
      <c r="R2299" s="38" t="n">
        <v>70.6125074379339</v>
      </c>
      <c r="S2299" s="37" t="n">
        <v>0</v>
      </c>
    </row>
    <row r="2300" customFormat="false" ht="15" hidden="false" customHeight="false" outlineLevel="0" collapsed="false">
      <c r="A2300" s="37" t="n">
        <v>25</v>
      </c>
      <c r="B2300" s="37" t="n">
        <v>0</v>
      </c>
      <c r="C2300" s="37" t="n">
        <v>5</v>
      </c>
      <c r="D2300" s="37" t="n">
        <v>0</v>
      </c>
      <c r="E2300" s="37" t="n">
        <v>0</v>
      </c>
      <c r="F2300" s="37" t="n">
        <v>0</v>
      </c>
      <c r="G2300" s="37" t="s">
        <v>188</v>
      </c>
      <c r="H2300" s="38" t="n">
        <v>199.327667307749</v>
      </c>
      <c r="I2300" s="38" t="n">
        <v>201.859554970347</v>
      </c>
      <c r="J2300" s="38" t="n">
        <v>223.046451585877</v>
      </c>
      <c r="K2300" s="38" t="n">
        <v>283.729328605896</v>
      </c>
      <c r="L2300" s="38" t="n">
        <v>81.7206262908495</v>
      </c>
      <c r="M2300" s="38" t="n">
        <v>111.304900789945</v>
      </c>
      <c r="N2300" s="38" t="n">
        <v>141.91394669618</v>
      </c>
      <c r="O2300" s="38" t="n">
        <v>74.1006608378408</v>
      </c>
      <c r="P2300" s="37" t="n">
        <v>0</v>
      </c>
      <c r="Q2300" s="38" t="n">
        <v>0</v>
      </c>
      <c r="R2300" s="38" t="n">
        <v>70.5</v>
      </c>
      <c r="S2300" s="37" t="n">
        <v>1</v>
      </c>
    </row>
    <row r="2301" customFormat="false" ht="15" hidden="false" customHeight="false" outlineLevel="0" collapsed="false">
      <c r="A2301" s="37" t="n">
        <v>25</v>
      </c>
      <c r="B2301" s="37" t="n">
        <v>0</v>
      </c>
      <c r="C2301" s="37" t="n">
        <v>5</v>
      </c>
      <c r="D2301" s="37" t="n">
        <v>0</v>
      </c>
      <c r="E2301" s="37" t="n">
        <v>0</v>
      </c>
      <c r="F2301" s="37" t="n">
        <v>0</v>
      </c>
      <c r="G2301" s="37" t="s">
        <v>192</v>
      </c>
      <c r="H2301" s="38" t="n">
        <v>199.327667307749</v>
      </c>
      <c r="I2301" s="38" t="n">
        <v>201.244884677579</v>
      </c>
      <c r="J2301" s="38" t="n">
        <v>212.395108900178</v>
      </c>
      <c r="K2301" s="38" t="n">
        <v>264.610711576399</v>
      </c>
      <c r="L2301" s="38" t="n">
        <v>63.1138751376621</v>
      </c>
      <c r="M2301" s="38" t="n">
        <v>101.286767348881</v>
      </c>
      <c r="N2301" s="38" t="n">
        <v>118.502918131585</v>
      </c>
      <c r="O2301" s="38" t="n">
        <v>63.3464212452213</v>
      </c>
      <c r="P2301" s="37" t="n">
        <v>0</v>
      </c>
      <c r="Q2301" s="38" t="n">
        <v>0</v>
      </c>
      <c r="R2301" s="38" t="n">
        <v>70.5</v>
      </c>
      <c r="S2301" s="37" t="n">
        <v>0</v>
      </c>
    </row>
    <row r="2302" customFormat="false" ht="15" hidden="false" customHeight="false" outlineLevel="0" collapsed="false">
      <c r="A2302" s="37" t="n">
        <v>25</v>
      </c>
      <c r="B2302" s="37" t="n">
        <v>0</v>
      </c>
      <c r="C2302" s="37" t="n">
        <v>5</v>
      </c>
      <c r="D2302" s="37" t="n">
        <v>0</v>
      </c>
      <c r="E2302" s="37" t="n">
        <v>0</v>
      </c>
      <c r="F2302" s="37" t="n">
        <v>0</v>
      </c>
      <c r="G2302" s="37" t="s">
        <v>195</v>
      </c>
      <c r="H2302" s="38" t="n">
        <v>199.327667307749</v>
      </c>
      <c r="I2302" s="38" t="n">
        <v>201.251908331167</v>
      </c>
      <c r="J2302" s="38" t="n">
        <v>207.478751255435</v>
      </c>
      <c r="K2302" s="38" t="n">
        <v>254.87265102388</v>
      </c>
      <c r="L2302" s="38" t="n">
        <v>55.8133619806714</v>
      </c>
      <c r="M2302" s="38" t="n">
        <v>104.298503941975</v>
      </c>
      <c r="N2302" s="38" t="n">
        <v>113.400566034242</v>
      </c>
      <c r="O2302" s="38" t="n">
        <v>61.2730715813369</v>
      </c>
      <c r="P2302" s="37" t="n">
        <v>0</v>
      </c>
      <c r="Q2302" s="38" t="n">
        <v>0</v>
      </c>
      <c r="R2302" s="38" t="n">
        <v>68.4572132870374</v>
      </c>
      <c r="S2302" s="37" t="n">
        <v>0</v>
      </c>
    </row>
    <row r="2303" customFormat="false" ht="15" hidden="false" customHeight="false" outlineLevel="0" collapsed="false">
      <c r="A2303" s="37" t="n">
        <v>25</v>
      </c>
      <c r="B2303" s="37" t="n">
        <v>0</v>
      </c>
      <c r="C2303" s="37" t="n">
        <v>5</v>
      </c>
      <c r="D2303" s="37" t="n">
        <v>0</v>
      </c>
      <c r="E2303" s="37" t="n">
        <v>0</v>
      </c>
      <c r="F2303" s="37" t="n">
        <v>0</v>
      </c>
      <c r="G2303" s="37" t="s">
        <v>197</v>
      </c>
      <c r="H2303" s="38" t="n">
        <v>199.327667307749</v>
      </c>
      <c r="I2303" s="38" t="n">
        <v>201.242759720737</v>
      </c>
      <c r="J2303" s="38" t="n">
        <v>211.462639393403</v>
      </c>
      <c r="K2303" s="38" t="n">
        <v>263.404818648947</v>
      </c>
      <c r="L2303" s="38" t="n">
        <v>60.8165581384816</v>
      </c>
      <c r="M2303" s="38" t="n">
        <v>103.906730995575</v>
      </c>
      <c r="N2303" s="38" t="n">
        <v>115.163899531025</v>
      </c>
      <c r="O2303" s="38" t="n">
        <v>63.288973807762</v>
      </c>
      <c r="P2303" s="37" t="n">
        <v>0</v>
      </c>
      <c r="Q2303" s="38" t="n">
        <v>0</v>
      </c>
      <c r="R2303" s="38" t="n">
        <v>70.5</v>
      </c>
      <c r="S2303" s="37" t="n">
        <v>0</v>
      </c>
    </row>
    <row r="2304" customFormat="false" ht="15" hidden="false" customHeight="false" outlineLevel="0" collapsed="false">
      <c r="A2304" s="37" t="n">
        <v>25</v>
      </c>
      <c r="B2304" s="37" t="n">
        <v>0</v>
      </c>
      <c r="C2304" s="37" t="n">
        <v>5</v>
      </c>
      <c r="D2304" s="37" t="n">
        <v>0</v>
      </c>
      <c r="E2304" s="37" t="n">
        <v>0</v>
      </c>
      <c r="F2304" s="37" t="n">
        <v>0</v>
      </c>
      <c r="G2304" s="37" t="s">
        <v>196</v>
      </c>
      <c r="H2304" s="38" t="n">
        <v>199.327667307749</v>
      </c>
      <c r="I2304" s="38" t="n">
        <v>201.250779116395</v>
      </c>
      <c r="J2304" s="38" t="n">
        <v>212.311527659623</v>
      </c>
      <c r="K2304" s="38" t="n">
        <v>264.742626288646</v>
      </c>
      <c r="L2304" s="38" t="n">
        <v>68.4245909778437</v>
      </c>
      <c r="M2304" s="38" t="n">
        <v>106.479301869327</v>
      </c>
      <c r="N2304" s="38" t="n">
        <v>122.766726750817</v>
      </c>
      <c r="O2304" s="38" t="n">
        <v>66.6860245194057</v>
      </c>
      <c r="P2304" s="37" t="n">
        <v>0</v>
      </c>
      <c r="Q2304" s="38" t="n">
        <v>0</v>
      </c>
      <c r="R2304" s="38" t="n">
        <v>69.5370048587408</v>
      </c>
      <c r="S2304" s="37" t="n">
        <v>0</v>
      </c>
    </row>
    <row r="2305" customFormat="false" ht="15" hidden="false" customHeight="false" outlineLevel="0" collapsed="false">
      <c r="A2305" s="37" t="n">
        <v>25</v>
      </c>
      <c r="B2305" s="37" t="n">
        <v>5</v>
      </c>
      <c r="C2305" s="37" t="n">
        <v>0</v>
      </c>
      <c r="D2305" s="37" t="n">
        <v>0</v>
      </c>
      <c r="E2305" s="37" t="n">
        <v>0</v>
      </c>
      <c r="F2305" s="37" t="n">
        <v>0</v>
      </c>
      <c r="G2305" s="37" t="s">
        <v>188</v>
      </c>
      <c r="H2305" s="38" t="n">
        <v>199.281849541814</v>
      </c>
      <c r="I2305" s="38" t="n">
        <v>200.182266042171</v>
      </c>
      <c r="J2305" s="38" t="n">
        <v>205.318332394044</v>
      </c>
      <c r="K2305" s="38" t="n">
        <v>252.438877918834</v>
      </c>
      <c r="L2305" s="38" t="n">
        <v>49.2448645216704</v>
      </c>
      <c r="M2305" s="38" t="n">
        <v>106.188166405953</v>
      </c>
      <c r="N2305" s="38" t="n">
        <v>111.933164657893</v>
      </c>
      <c r="O2305" s="38" t="n">
        <v>62.3639138918923</v>
      </c>
      <c r="P2305" s="37" t="n">
        <v>0</v>
      </c>
      <c r="Q2305" s="38" t="n">
        <v>0</v>
      </c>
      <c r="R2305" s="38" t="n">
        <v>70.5</v>
      </c>
      <c r="S2305" s="37" t="n">
        <v>1</v>
      </c>
    </row>
    <row r="2306" customFormat="false" ht="15" hidden="false" customHeight="false" outlineLevel="0" collapsed="false">
      <c r="A2306" s="37" t="n">
        <v>25</v>
      </c>
      <c r="B2306" s="37" t="n">
        <v>5</v>
      </c>
      <c r="C2306" s="37" t="n">
        <v>0</v>
      </c>
      <c r="D2306" s="37" t="n">
        <v>0</v>
      </c>
      <c r="E2306" s="37" t="n">
        <v>0</v>
      </c>
      <c r="F2306" s="37" t="n">
        <v>0</v>
      </c>
      <c r="G2306" s="37" t="s">
        <v>192</v>
      </c>
      <c r="H2306" s="38" t="n">
        <v>199.281849541814</v>
      </c>
      <c r="I2306" s="38" t="n">
        <v>199.688029605332</v>
      </c>
      <c r="J2306" s="38" t="n">
        <v>198.674721285531</v>
      </c>
      <c r="K2306" s="38" t="n">
        <v>239.478166845289</v>
      </c>
      <c r="L2306" s="38" t="n">
        <v>37.8552731091564</v>
      </c>
      <c r="M2306" s="38" t="n">
        <v>98.5225246633646</v>
      </c>
      <c r="N2306" s="38" t="n">
        <v>96.6253675098879</v>
      </c>
      <c r="O2306" s="38" t="n">
        <v>59.5026358049453</v>
      </c>
      <c r="P2306" s="37" t="n">
        <v>0</v>
      </c>
      <c r="Q2306" s="38" t="n">
        <v>0</v>
      </c>
      <c r="R2306" s="38" t="n">
        <v>70.5</v>
      </c>
      <c r="S2306" s="37" t="n">
        <v>0</v>
      </c>
    </row>
    <row r="2307" customFormat="false" ht="15" hidden="false" customHeight="false" outlineLevel="0" collapsed="false">
      <c r="A2307" s="37" t="n">
        <v>25</v>
      </c>
      <c r="B2307" s="37" t="n">
        <v>5</v>
      </c>
      <c r="C2307" s="37" t="n">
        <v>0</v>
      </c>
      <c r="D2307" s="37" t="n">
        <v>0</v>
      </c>
      <c r="E2307" s="37" t="n">
        <v>0</v>
      </c>
      <c r="F2307" s="37" t="n">
        <v>0</v>
      </c>
      <c r="G2307" s="37" t="s">
        <v>195</v>
      </c>
      <c r="H2307" s="38" t="n">
        <v>199.281849541814</v>
      </c>
      <c r="I2307" s="38" t="n">
        <v>199.687639603536</v>
      </c>
      <c r="J2307" s="38" t="n">
        <v>193.912299156979</v>
      </c>
      <c r="K2307" s="38" t="n">
        <v>229.522690007276</v>
      </c>
      <c r="L2307" s="38" t="n">
        <v>30.2766934034586</v>
      </c>
      <c r="M2307" s="38" t="n">
        <v>99.5038577014333</v>
      </c>
      <c r="N2307" s="38" t="n">
        <v>79.751881434146</v>
      </c>
      <c r="O2307" s="38" t="n">
        <v>53.5390880675102</v>
      </c>
      <c r="P2307" s="37" t="n">
        <v>0</v>
      </c>
      <c r="Q2307" s="38" t="n">
        <v>0</v>
      </c>
      <c r="R2307" s="38" t="n">
        <v>68.4012010188549</v>
      </c>
      <c r="S2307" s="37" t="n">
        <v>0</v>
      </c>
    </row>
    <row r="2308" customFormat="false" ht="15" hidden="false" customHeight="false" outlineLevel="0" collapsed="false">
      <c r="A2308" s="37" t="n">
        <v>25</v>
      </c>
      <c r="B2308" s="37" t="n">
        <v>5</v>
      </c>
      <c r="C2308" s="37" t="n">
        <v>0</v>
      </c>
      <c r="D2308" s="37" t="n">
        <v>0</v>
      </c>
      <c r="E2308" s="37" t="n">
        <v>0</v>
      </c>
      <c r="F2308" s="37" t="n">
        <v>0</v>
      </c>
      <c r="G2308" s="37" t="s">
        <v>197</v>
      </c>
      <c r="H2308" s="38" t="n">
        <v>199.281849541814</v>
      </c>
      <c r="I2308" s="38" t="n">
        <v>199.687752270543</v>
      </c>
      <c r="J2308" s="38" t="n">
        <v>197.85081760518</v>
      </c>
      <c r="K2308" s="38" t="n">
        <v>238.444193070893</v>
      </c>
      <c r="L2308" s="38" t="n">
        <v>35.7397913715127</v>
      </c>
      <c r="M2308" s="38" t="n">
        <v>101.30432378281</v>
      </c>
      <c r="N2308" s="38" t="n">
        <v>91.625832442957</v>
      </c>
      <c r="O2308" s="38" t="n">
        <v>56.3619697954455</v>
      </c>
      <c r="P2308" s="37" t="n">
        <v>0</v>
      </c>
      <c r="Q2308" s="38" t="n">
        <v>0</v>
      </c>
      <c r="R2308" s="38" t="n">
        <v>70.5</v>
      </c>
      <c r="S2308" s="37" t="n">
        <v>0</v>
      </c>
    </row>
    <row r="2309" customFormat="false" ht="15" hidden="false" customHeight="false" outlineLevel="0" collapsed="false">
      <c r="A2309" s="37" t="n">
        <v>25</v>
      </c>
      <c r="B2309" s="37" t="n">
        <v>5</v>
      </c>
      <c r="C2309" s="37" t="n">
        <v>0</v>
      </c>
      <c r="D2309" s="37" t="n">
        <v>0</v>
      </c>
      <c r="E2309" s="37" t="n">
        <v>0</v>
      </c>
      <c r="F2309" s="37" t="n">
        <v>0</v>
      </c>
      <c r="G2309" s="37" t="s">
        <v>196</v>
      </c>
      <c r="H2309" s="38" t="n">
        <v>199.281849541814</v>
      </c>
      <c r="I2309" s="38" t="n">
        <v>199.688332355402</v>
      </c>
      <c r="J2309" s="38" t="n">
        <v>198.788418678664</v>
      </c>
      <c r="K2309" s="38" t="n">
        <v>239.765403625453</v>
      </c>
      <c r="L2309" s="38" t="n">
        <v>43.4907702313354</v>
      </c>
      <c r="M2309" s="38" t="n">
        <v>103.788093353678</v>
      </c>
      <c r="N2309" s="38" t="n">
        <v>102.997344056704</v>
      </c>
      <c r="O2309" s="38" t="n">
        <v>60.770303688925</v>
      </c>
      <c r="P2309" s="37" t="n">
        <v>0</v>
      </c>
      <c r="Q2309" s="38" t="n">
        <v>0</v>
      </c>
      <c r="R2309" s="38" t="n">
        <v>69.5474213187452</v>
      </c>
      <c r="S2309" s="37" t="n">
        <v>0</v>
      </c>
    </row>
    <row r="2310" customFormat="false" ht="15" hidden="false" customHeight="false" outlineLevel="0" collapsed="false">
      <c r="A2310" s="37" t="n">
        <v>30</v>
      </c>
      <c r="B2310" s="37" t="n">
        <v>0</v>
      </c>
      <c r="C2310" s="37" t="n">
        <v>0</v>
      </c>
      <c r="D2310" s="37" t="n">
        <v>0</v>
      </c>
      <c r="E2310" s="37" t="n">
        <v>0</v>
      </c>
      <c r="F2310" s="37" t="n">
        <v>0</v>
      </c>
      <c r="G2310" s="37" t="s">
        <v>188</v>
      </c>
      <c r="H2310" s="38" t="n">
        <v>199.343454632818</v>
      </c>
      <c r="I2310" s="38" t="n">
        <v>200.499987828783</v>
      </c>
      <c r="J2310" s="38" t="n">
        <v>203.893159816572</v>
      </c>
      <c r="K2310" s="38" t="n">
        <v>257.077331171122</v>
      </c>
      <c r="L2310" s="38" t="n">
        <v>56.3913350461927</v>
      </c>
      <c r="M2310" s="38" t="n">
        <v>106.834104421798</v>
      </c>
      <c r="N2310" s="38" t="n">
        <v>109.882212011446</v>
      </c>
      <c r="O2310" s="38" t="n">
        <v>61.8035853090846</v>
      </c>
      <c r="P2310" s="37" t="n">
        <v>0</v>
      </c>
      <c r="Q2310" s="38" t="n">
        <v>0</v>
      </c>
      <c r="R2310" s="38" t="n">
        <v>70.5</v>
      </c>
      <c r="S2310" s="37" t="n">
        <v>1</v>
      </c>
    </row>
    <row r="2311" customFormat="false" ht="15" hidden="false" customHeight="false" outlineLevel="0" collapsed="false">
      <c r="A2311" s="37" t="n">
        <v>30</v>
      </c>
      <c r="B2311" s="37" t="n">
        <v>0</v>
      </c>
      <c r="C2311" s="37" t="n">
        <v>0</v>
      </c>
      <c r="D2311" s="37" t="n">
        <v>0</v>
      </c>
      <c r="E2311" s="37" t="n">
        <v>0</v>
      </c>
      <c r="F2311" s="37" t="n">
        <v>0</v>
      </c>
      <c r="G2311" s="37" t="s">
        <v>192</v>
      </c>
      <c r="H2311" s="38" t="n">
        <v>199.343454632818</v>
      </c>
      <c r="I2311" s="38" t="n">
        <v>199.766985195547</v>
      </c>
      <c r="J2311" s="38" t="n">
        <v>196.708864531185</v>
      </c>
      <c r="K2311" s="38" t="n">
        <v>242.559848942966</v>
      </c>
      <c r="L2311" s="38" t="n">
        <v>40.7478920568209</v>
      </c>
      <c r="M2311" s="38" t="n">
        <v>96.5494884675912</v>
      </c>
      <c r="N2311" s="38" t="n">
        <v>90.8903748779647</v>
      </c>
      <c r="O2311" s="38" t="n">
        <v>54.5029291299481</v>
      </c>
      <c r="P2311" s="37" t="n">
        <v>0</v>
      </c>
      <c r="Q2311" s="38" t="n">
        <v>0</v>
      </c>
      <c r="R2311" s="38" t="n">
        <v>70.5</v>
      </c>
      <c r="S2311" s="37" t="n">
        <v>0</v>
      </c>
    </row>
    <row r="2312" customFormat="false" ht="15" hidden="false" customHeight="false" outlineLevel="0" collapsed="false">
      <c r="A2312" s="37" t="n">
        <v>30</v>
      </c>
      <c r="B2312" s="37" t="n">
        <v>0</v>
      </c>
      <c r="C2312" s="37" t="n">
        <v>0</v>
      </c>
      <c r="D2312" s="37" t="n">
        <v>0</v>
      </c>
      <c r="E2312" s="37" t="n">
        <v>0</v>
      </c>
      <c r="F2312" s="37" t="n">
        <v>0</v>
      </c>
      <c r="G2312" s="37" t="s">
        <v>195</v>
      </c>
      <c r="H2312" s="38" t="n">
        <v>199.343454632818</v>
      </c>
      <c r="I2312" s="38" t="n">
        <v>199.766978625948</v>
      </c>
      <c r="J2312" s="38" t="n">
        <v>192.038348839005</v>
      </c>
      <c r="K2312" s="38" t="n">
        <v>232.706682588649</v>
      </c>
      <c r="L2312" s="38" t="n">
        <v>33.4880509132553</v>
      </c>
      <c r="M2312" s="38" t="n">
        <v>99.5494774458112</v>
      </c>
      <c r="N2312" s="38" t="n">
        <v>79.898165295771</v>
      </c>
      <c r="O2312" s="38" t="n">
        <v>52.6919870186411</v>
      </c>
      <c r="P2312" s="37" t="n">
        <v>0</v>
      </c>
      <c r="Q2312" s="38" t="n">
        <v>0</v>
      </c>
      <c r="R2312" s="38" t="n">
        <v>68.409410497382</v>
      </c>
      <c r="S2312" s="37" t="n">
        <v>0</v>
      </c>
    </row>
    <row r="2313" customFormat="false" ht="15" hidden="false" customHeight="false" outlineLevel="0" collapsed="false">
      <c r="A2313" s="37" t="n">
        <v>30</v>
      </c>
      <c r="B2313" s="37" t="n">
        <v>0</v>
      </c>
      <c r="C2313" s="37" t="n">
        <v>0</v>
      </c>
      <c r="D2313" s="37" t="n">
        <v>0</v>
      </c>
      <c r="E2313" s="37" t="n">
        <v>0</v>
      </c>
      <c r="F2313" s="37" t="n">
        <v>0</v>
      </c>
      <c r="G2313" s="37" t="s">
        <v>197</v>
      </c>
      <c r="H2313" s="38" t="n">
        <v>199.343454632818</v>
      </c>
      <c r="I2313" s="38" t="n">
        <v>199.766978625948</v>
      </c>
      <c r="J2313" s="38" t="n">
        <v>195.955298650804</v>
      </c>
      <c r="K2313" s="38" t="n">
        <v>241.584902298598</v>
      </c>
      <c r="L2313" s="38" t="n">
        <v>38.8790438877111</v>
      </c>
      <c r="M2313" s="38" t="n">
        <v>101.349477445811</v>
      </c>
      <c r="N2313" s="38" t="n">
        <v>91.7491899823985</v>
      </c>
      <c r="O2313" s="38" t="n">
        <v>55.5491804518973</v>
      </c>
      <c r="P2313" s="37" t="n">
        <v>0</v>
      </c>
      <c r="Q2313" s="38" t="n">
        <v>0</v>
      </c>
      <c r="R2313" s="38" t="n">
        <v>70.5</v>
      </c>
      <c r="S2313" s="37" t="n">
        <v>0</v>
      </c>
    </row>
    <row r="2314" customFormat="false" ht="15" hidden="false" customHeight="false" outlineLevel="0" collapsed="false">
      <c r="A2314" s="37" t="n">
        <v>30</v>
      </c>
      <c r="B2314" s="37" t="n">
        <v>0</v>
      </c>
      <c r="C2314" s="37" t="n">
        <v>0</v>
      </c>
      <c r="D2314" s="37" t="n">
        <v>0</v>
      </c>
      <c r="E2314" s="37" t="n">
        <v>0</v>
      </c>
      <c r="F2314" s="37" t="n">
        <v>0</v>
      </c>
      <c r="G2314" s="37" t="s">
        <v>196</v>
      </c>
      <c r="H2314" s="38" t="n">
        <v>199.343454632818</v>
      </c>
      <c r="I2314" s="38" t="n">
        <v>199.766978625948</v>
      </c>
      <c r="J2314" s="38" t="n">
        <v>196.875435501835</v>
      </c>
      <c r="K2314" s="38" t="n">
        <v>242.87238906528</v>
      </c>
      <c r="L2314" s="38" t="n">
        <v>48.8275659599958</v>
      </c>
      <c r="M2314" s="38" t="n">
        <v>103.029477445811</v>
      </c>
      <c r="N2314" s="38" t="n">
        <v>98.585236824903</v>
      </c>
      <c r="O2314" s="38" t="n">
        <v>58.1035662093748</v>
      </c>
      <c r="P2314" s="37" t="n">
        <v>0</v>
      </c>
      <c r="Q2314" s="38" t="n">
        <v>0</v>
      </c>
      <c r="R2314" s="38" t="n">
        <v>69.5492424547318</v>
      </c>
      <c r="S2314" s="37" t="n">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77A24"/>
    <pageSetUpPr fitToPage="true"/>
  </sheetPr>
  <dimension ref="A1:K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26"/>
    <col collapsed="false" customWidth="true" hidden="false" outlineLevel="0" max="12" min="3" style="0" width="11"/>
  </cols>
  <sheetData>
    <row r="1" customFormat="false" ht="17.35" hidden="false" customHeight="false" outlineLevel="0" collapsed="false">
      <c r="A1" s="1" t="s">
        <v>591</v>
      </c>
    </row>
    <row r="4" customFormat="false" ht="30" hidden="false" customHeight="true" outlineLevel="0" collapsed="false">
      <c r="A4" s="7" t="s">
        <v>157</v>
      </c>
      <c r="B4" s="7" t="s">
        <v>159</v>
      </c>
      <c r="C4" s="7" t="s">
        <v>434</v>
      </c>
      <c r="D4" s="7" t="s">
        <v>436</v>
      </c>
      <c r="E4" s="7" t="s">
        <v>437</v>
      </c>
      <c r="F4" s="7" t="s">
        <v>438</v>
      </c>
      <c r="G4" s="7" t="s">
        <v>439</v>
      </c>
      <c r="H4" s="7" t="s">
        <v>592</v>
      </c>
      <c r="I4" s="7" t="s">
        <v>593</v>
      </c>
      <c r="J4" s="7" t="s">
        <v>182</v>
      </c>
      <c r="K4" s="7" t="s">
        <v>594</v>
      </c>
    </row>
    <row r="5" customFormat="false" ht="15" hidden="false" customHeight="false" outlineLevel="0" collapsed="false">
      <c r="A5" s="8" t="s">
        <v>36</v>
      </c>
      <c r="B5" s="8" t="s">
        <v>188</v>
      </c>
      <c r="C5" s="9" t="n">
        <v>212.370707115408</v>
      </c>
      <c r="D5" s="9" t="n">
        <v>249.952847937679</v>
      </c>
      <c r="E5" s="9" t="n">
        <v>46.64690991472</v>
      </c>
      <c r="F5" s="10" t="n">
        <v>116.216235692558</v>
      </c>
      <c r="G5" s="12" t="n">
        <v>68.0630162501727</v>
      </c>
      <c r="H5" s="12" t="n">
        <v>64.1569370750712</v>
      </c>
      <c r="I5" s="8" t="s">
        <v>191</v>
      </c>
      <c r="J5" s="8" t="s">
        <v>190</v>
      </c>
      <c r="K5" s="8" t="str">
        <f aca="false">IF(F5=_xlfn.MAXIFS($F$5:$F$74,$A$5:$A$74,A5),"best","")</f>
        <v>best</v>
      </c>
    </row>
    <row r="6" customFormat="false" ht="15" hidden="false" customHeight="false" outlineLevel="0" collapsed="false">
      <c r="A6" s="8" t="s">
        <v>36</v>
      </c>
      <c r="B6" s="8" t="s">
        <v>192</v>
      </c>
      <c r="C6" s="9" t="n">
        <v>204.321543113426</v>
      </c>
      <c r="D6" s="9" t="n">
        <v>235.80332447248</v>
      </c>
      <c r="E6" s="9" t="n">
        <v>34.5080014318446</v>
      </c>
      <c r="F6" s="10" t="n">
        <v>91.6137285079993</v>
      </c>
      <c r="G6" s="12" t="n">
        <v>60.0075234728936</v>
      </c>
      <c r="H6" s="12" t="n">
        <v>54.2958698491427</v>
      </c>
      <c r="I6" s="8" t="s">
        <v>191</v>
      </c>
      <c r="J6" s="8" t="s">
        <v>190</v>
      </c>
      <c r="K6" s="8" t="str">
        <f aca="false">IF(F6=_xlfn.MAXIFS($F$5:$F$74,$A$5:$A$74,A6),"best","")</f>
        <v/>
      </c>
    </row>
    <row r="7" customFormat="false" ht="15" hidden="false" customHeight="false" outlineLevel="0" collapsed="false">
      <c r="A7" s="8" t="s">
        <v>36</v>
      </c>
      <c r="B7" s="8" t="s">
        <v>195</v>
      </c>
      <c r="C7" s="9" t="n">
        <v>202.434972329815</v>
      </c>
      <c r="D7" s="9" t="n">
        <v>233.659404676508</v>
      </c>
      <c r="E7" s="9" t="n">
        <v>40.4094046765082</v>
      </c>
      <c r="F7" s="10" t="n">
        <v>103.516638847492</v>
      </c>
      <c r="G7" s="12" t="n">
        <v>63.1465997131126</v>
      </c>
      <c r="H7" s="12" t="n">
        <v>57.8024953567996</v>
      </c>
      <c r="I7" s="8" t="s">
        <v>191</v>
      </c>
      <c r="J7" s="8" t="s">
        <v>190</v>
      </c>
      <c r="K7" s="8" t="str">
        <f aca="false">IF(F7=_xlfn.MAXIFS($F$5:$F$74,$A$5:$A$74,A7),"best","")</f>
        <v/>
      </c>
    </row>
    <row r="8" customFormat="false" ht="15" hidden="false" customHeight="false" outlineLevel="0" collapsed="false">
      <c r="A8" s="8" t="s">
        <v>36</v>
      </c>
      <c r="B8" s="8" t="s">
        <v>197</v>
      </c>
      <c r="C8" s="9" t="n">
        <v>203.708841567681</v>
      </c>
      <c r="D8" s="9" t="n">
        <v>235.022295949276</v>
      </c>
      <c r="E8" s="9" t="n">
        <v>32.767899462702</v>
      </c>
      <c r="F8" s="10" t="n">
        <v>92.4383343233557</v>
      </c>
      <c r="G8" s="12" t="n">
        <v>61.7512729842627</v>
      </c>
      <c r="H8" s="12" t="n">
        <v>54.9453232329291</v>
      </c>
      <c r="I8" s="8" t="s">
        <v>191</v>
      </c>
      <c r="J8" s="8" t="s">
        <v>190</v>
      </c>
      <c r="K8" s="8" t="str">
        <f aca="false">IF(F8=_xlfn.MAXIFS($F$5:$F$74,$A$5:$A$74,A8),"best","")</f>
        <v/>
      </c>
    </row>
    <row r="9" customFormat="false" ht="15" hidden="false" customHeight="false" outlineLevel="0" collapsed="false">
      <c r="A9" s="8" t="s">
        <v>36</v>
      </c>
      <c r="B9" s="8" t="s">
        <v>196</v>
      </c>
      <c r="C9" s="9" t="n">
        <v>196.991950705689</v>
      </c>
      <c r="D9" s="9" t="n">
        <v>237.281626114538</v>
      </c>
      <c r="E9" s="9" t="n">
        <v>43.726070558982</v>
      </c>
      <c r="F9" s="10" t="n">
        <v>104.834479694961</v>
      </c>
      <c r="G9" s="12" t="n">
        <v>62.2934795440491</v>
      </c>
      <c r="H9" s="12" t="n">
        <v>58.7364287493188</v>
      </c>
      <c r="I9" s="8" t="s">
        <v>191</v>
      </c>
      <c r="J9" s="8" t="s">
        <v>190</v>
      </c>
      <c r="K9" s="8" t="str">
        <f aca="false">IF(F9=_xlfn.MAXIFS($F$5:$F$74,$A$5:$A$74,A9),"best","")</f>
        <v/>
      </c>
    </row>
    <row r="10" customFormat="false" ht="15" hidden="false" customHeight="false" outlineLevel="0" collapsed="false">
      <c r="A10" s="8" t="s">
        <v>41</v>
      </c>
      <c r="B10" s="8" t="s">
        <v>188</v>
      </c>
      <c r="C10" s="9" t="n">
        <v>185.349676730359</v>
      </c>
      <c r="D10" s="9" t="n">
        <v>173.506836228462</v>
      </c>
      <c r="E10" s="9" t="n">
        <v>20.7370158583769</v>
      </c>
      <c r="F10" s="10" t="n">
        <v>55.8304262055942</v>
      </c>
      <c r="G10" s="12" t="n">
        <v>50.934266887145</v>
      </c>
      <c r="H10" s="12" t="n">
        <v>39.6804901368162</v>
      </c>
      <c r="I10" s="8" t="s">
        <v>191</v>
      </c>
      <c r="J10" s="8" t="s">
        <v>193</v>
      </c>
      <c r="K10" s="8" t="str">
        <f aca="false">IF(F10=_xlfn.MAXIFS($F$5:$F$74,$A$5:$A$74,A10),"best","")</f>
        <v/>
      </c>
    </row>
    <row r="11" customFormat="false" ht="15" hidden="false" customHeight="false" outlineLevel="0" collapsed="false">
      <c r="A11" s="8" t="s">
        <v>41</v>
      </c>
      <c r="B11" s="8" t="s">
        <v>192</v>
      </c>
      <c r="C11" s="9" t="n">
        <v>197.524078527406</v>
      </c>
      <c r="D11" s="9" t="n">
        <v>199.832100696294</v>
      </c>
      <c r="E11" s="9" t="n">
        <v>24.9341345665839</v>
      </c>
      <c r="F11" s="10" t="n">
        <v>81.785812560389</v>
      </c>
      <c r="G11" s="12" t="n">
        <v>58.631731521967</v>
      </c>
      <c r="H11" s="12" t="n">
        <v>48.8876574280537</v>
      </c>
      <c r="I11" s="8" t="s">
        <v>194</v>
      </c>
      <c r="J11" s="8" t="s">
        <v>193</v>
      </c>
      <c r="K11" s="8" t="str">
        <f aca="false">IF(F11=_xlfn.MAXIFS($F$5:$F$74,$A$5:$A$74,A11),"best","")</f>
        <v/>
      </c>
    </row>
    <row r="12" customFormat="false" ht="15" hidden="false" customHeight="false" outlineLevel="0" collapsed="false">
      <c r="A12" s="8" t="s">
        <v>41</v>
      </c>
      <c r="B12" s="8" t="s">
        <v>195</v>
      </c>
      <c r="C12" s="9" t="n">
        <v>192.736580940336</v>
      </c>
      <c r="D12" s="9" t="n">
        <v>183.625603457974</v>
      </c>
      <c r="E12" s="9" t="n">
        <v>24.9695815411378</v>
      </c>
      <c r="F12" s="10" t="n">
        <v>74.9859587187675</v>
      </c>
      <c r="G12" s="12" t="n">
        <v>56.7659542813294</v>
      </c>
      <c r="H12" s="12" t="n">
        <v>46.6768070987779</v>
      </c>
      <c r="I12" s="8" t="s">
        <v>191</v>
      </c>
      <c r="J12" s="8" t="s">
        <v>193</v>
      </c>
      <c r="K12" s="8" t="str">
        <f aca="false">IF(F12=_xlfn.MAXIFS($F$5:$F$74,$A$5:$A$74,A12),"best","")</f>
        <v/>
      </c>
    </row>
    <row r="13" customFormat="false" ht="15" hidden="false" customHeight="false" outlineLevel="0" collapsed="false">
      <c r="A13" s="8" t="s">
        <v>41</v>
      </c>
      <c r="B13" s="8" t="s">
        <v>197</v>
      </c>
      <c r="C13" s="9" t="n">
        <v>192.086413201215</v>
      </c>
      <c r="D13" s="9" t="n">
        <v>182.364208978306</v>
      </c>
      <c r="E13" s="9" t="n">
        <v>24.9458217231989</v>
      </c>
      <c r="F13" s="10" t="n">
        <v>62.7314436507604</v>
      </c>
      <c r="G13" s="12" t="n">
        <v>53.7567865297667</v>
      </c>
      <c r="H13" s="12" t="n">
        <v>43.1372671442151</v>
      </c>
      <c r="I13" s="8" t="s">
        <v>191</v>
      </c>
      <c r="J13" s="8" t="s">
        <v>193</v>
      </c>
      <c r="K13" s="8" t="str">
        <f aca="false">IF(F13=_xlfn.MAXIFS($F$5:$F$74,$A$5:$A$74,A13),"best","")</f>
        <v/>
      </c>
    </row>
    <row r="14" customFormat="false" ht="15" hidden="false" customHeight="false" outlineLevel="0" collapsed="false">
      <c r="A14" s="8" t="s">
        <v>41</v>
      </c>
      <c r="B14" s="8" t="s">
        <v>196</v>
      </c>
      <c r="C14" s="9" t="n">
        <v>198.191178134636</v>
      </c>
      <c r="D14" s="9" t="n">
        <v>210.096657068174</v>
      </c>
      <c r="E14" s="9" t="n">
        <v>24.9882663195548</v>
      </c>
      <c r="F14" s="10" t="n">
        <v>91.0097478122781</v>
      </c>
      <c r="G14" s="12" t="n">
        <v>55.2489075317583</v>
      </c>
      <c r="H14" s="12" t="n">
        <v>51.423831568525</v>
      </c>
      <c r="I14" s="8" t="s">
        <v>194</v>
      </c>
      <c r="J14" s="8" t="s">
        <v>193</v>
      </c>
      <c r="K14" s="8" t="str">
        <f aca="false">IF(F14=_xlfn.MAXIFS($F$5:$F$74,$A$5:$A$74,A14),"best","")</f>
        <v>best</v>
      </c>
    </row>
    <row r="15" customFormat="false" ht="15" hidden="false" customHeight="false" outlineLevel="0" collapsed="false">
      <c r="A15" s="8" t="s">
        <v>46</v>
      </c>
      <c r="B15" s="8" t="s">
        <v>188</v>
      </c>
      <c r="C15" s="9" t="n">
        <v>231.68081092551</v>
      </c>
      <c r="D15" s="9" t="n">
        <v>272.486616463397</v>
      </c>
      <c r="E15" s="9" t="n">
        <v>71.8070183788851</v>
      </c>
      <c r="F15" s="10" t="n">
        <v>138.447222637132</v>
      </c>
      <c r="G15" s="12" t="n">
        <v>77.0623521549994</v>
      </c>
      <c r="H15" s="12" t="n">
        <v>72.9432335634817</v>
      </c>
      <c r="I15" s="8" t="s">
        <v>191</v>
      </c>
      <c r="J15" s="8" t="s">
        <v>190</v>
      </c>
      <c r="K15" s="8" t="str">
        <f aca="false">IF(F15=_xlfn.MAXIFS($F$5:$F$74,$A$5:$A$74,A15),"best","")</f>
        <v/>
      </c>
    </row>
    <row r="16" customFormat="false" ht="15" hidden="false" customHeight="false" outlineLevel="0" collapsed="false">
      <c r="A16" s="8" t="s">
        <v>46</v>
      </c>
      <c r="B16" s="8" t="s">
        <v>192</v>
      </c>
      <c r="C16" s="9" t="n">
        <v>239.264691992073</v>
      </c>
      <c r="D16" s="9" t="n">
        <v>276.272395293054</v>
      </c>
      <c r="E16" s="9" t="n">
        <v>66.3830844100119</v>
      </c>
      <c r="F16" s="10" t="n">
        <v>139.453272150702</v>
      </c>
      <c r="G16" s="12" t="n">
        <v>75.8484172672511</v>
      </c>
      <c r="H16" s="12" t="n">
        <v>73.5396501737578</v>
      </c>
      <c r="I16" s="8" t="s">
        <v>194</v>
      </c>
      <c r="J16" s="8" t="s">
        <v>190</v>
      </c>
      <c r="K16" s="8" t="str">
        <f aca="false">IF(F16=_xlfn.MAXIFS($F$5:$F$74,$A$5:$A$74,A16),"best","")</f>
        <v/>
      </c>
    </row>
    <row r="17" customFormat="false" ht="15" hidden="false" customHeight="false" outlineLevel="0" collapsed="false">
      <c r="A17" s="8" t="s">
        <v>46</v>
      </c>
      <c r="B17" s="8" t="s">
        <v>195</v>
      </c>
      <c r="C17" s="9" t="n">
        <v>234.700094015825</v>
      </c>
      <c r="D17" s="9" t="n">
        <v>277.757568723759</v>
      </c>
      <c r="E17" s="9" t="n">
        <v>84.5075687237593</v>
      </c>
      <c r="F17" s="10" t="n">
        <v>148.513018511566</v>
      </c>
      <c r="G17" s="12" t="n">
        <v>80.4911097263577</v>
      </c>
      <c r="H17" s="12" t="n">
        <v>73.5024762163575</v>
      </c>
      <c r="I17" s="8" t="s">
        <v>191</v>
      </c>
      <c r="J17" s="8" t="s">
        <v>190</v>
      </c>
      <c r="K17" s="8" t="str">
        <f aca="false">IF(F17=_xlfn.MAXIFS($F$5:$F$74,$A$5:$A$74,A17),"best","")</f>
        <v>best</v>
      </c>
    </row>
    <row r="18" customFormat="false" ht="15" hidden="false" customHeight="false" outlineLevel="0" collapsed="false">
      <c r="A18" s="8" t="s">
        <v>46</v>
      </c>
      <c r="B18" s="8" t="s">
        <v>197</v>
      </c>
      <c r="C18" s="9" t="n">
        <v>231.623827232338</v>
      </c>
      <c r="D18" s="9" t="n">
        <v>271.989849047727</v>
      </c>
      <c r="E18" s="9" t="n">
        <v>70.0500259014288</v>
      </c>
      <c r="F18" s="10" t="n">
        <v>127.210935631174</v>
      </c>
      <c r="G18" s="12" t="n">
        <v>74.5758778443442</v>
      </c>
      <c r="H18" s="12" t="n">
        <v>68.1074903801646</v>
      </c>
      <c r="I18" s="8" t="s">
        <v>191</v>
      </c>
      <c r="J18" s="8" t="s">
        <v>190</v>
      </c>
      <c r="K18" s="8" t="str">
        <f aca="false">IF(F18=_xlfn.MAXIFS($F$5:$F$74,$A$5:$A$74,A18),"best","")</f>
        <v/>
      </c>
    </row>
    <row r="19" customFormat="false" ht="15" hidden="false" customHeight="false" outlineLevel="0" collapsed="false">
      <c r="A19" s="8" t="s">
        <v>46</v>
      </c>
      <c r="B19" s="8" t="s">
        <v>196</v>
      </c>
      <c r="C19" s="9" t="n">
        <v>224.53298353787</v>
      </c>
      <c r="D19" s="9" t="n">
        <v>274.241280017454</v>
      </c>
      <c r="E19" s="9" t="n">
        <v>80.6857244618988</v>
      </c>
      <c r="F19" s="10" t="n">
        <v>135.285939241519</v>
      </c>
      <c r="G19" s="12" t="n">
        <v>73.8965950509054</v>
      </c>
      <c r="H19" s="12" t="n">
        <v>72.1850351319103</v>
      </c>
      <c r="I19" s="8" t="s">
        <v>191</v>
      </c>
      <c r="J19" s="8" t="s">
        <v>190</v>
      </c>
      <c r="K19" s="8" t="str">
        <f aca="false">IF(F19=_xlfn.MAXIFS($F$5:$F$74,$A$5:$A$74,A19),"best","")</f>
        <v/>
      </c>
    </row>
    <row r="20" customFormat="false" ht="15" hidden="false" customHeight="false" outlineLevel="0" collapsed="false">
      <c r="A20" s="8" t="s">
        <v>51</v>
      </c>
      <c r="B20" s="8" t="s">
        <v>188</v>
      </c>
      <c r="C20" s="9" t="n">
        <v>231.650889498454</v>
      </c>
      <c r="D20" s="9" t="n">
        <v>281.705652282863</v>
      </c>
      <c r="E20" s="9" t="n">
        <v>79.4279111392869</v>
      </c>
      <c r="F20" s="10" t="n">
        <v>155.776068825271</v>
      </c>
      <c r="G20" s="12" t="n">
        <v>78.8967388697995</v>
      </c>
      <c r="H20" s="12" t="n">
        <v>76.1285453044978</v>
      </c>
      <c r="I20" s="8" t="s">
        <v>191</v>
      </c>
      <c r="J20" s="8" t="s">
        <v>190</v>
      </c>
      <c r="K20" s="8" t="str">
        <f aca="false">IF(F20=_xlfn.MAXIFS($F$5:$F$74,$A$5:$A$74,A20),"best","")</f>
        <v>best</v>
      </c>
    </row>
    <row r="21" customFormat="false" ht="15" hidden="false" customHeight="false" outlineLevel="0" collapsed="false">
      <c r="A21" s="8" t="s">
        <v>51</v>
      </c>
      <c r="B21" s="8" t="s">
        <v>192</v>
      </c>
      <c r="C21" s="9" t="n">
        <v>235.944318149447</v>
      </c>
      <c r="D21" s="9" t="n">
        <v>278.617958372621</v>
      </c>
      <c r="E21" s="9" t="n">
        <v>67.5095363334557</v>
      </c>
      <c r="F21" s="10" t="n">
        <v>155.051394793176</v>
      </c>
      <c r="G21" s="12" t="n">
        <v>78.364239494965</v>
      </c>
      <c r="H21" s="12" t="n">
        <v>75.8922953934815</v>
      </c>
      <c r="I21" s="8" t="s">
        <v>194</v>
      </c>
      <c r="J21" s="8" t="s">
        <v>190</v>
      </c>
      <c r="K21" s="8" t="str">
        <f aca="false">IF(F21=_xlfn.MAXIFS($F$5:$F$74,$A$5:$A$74,A21),"best","")</f>
        <v/>
      </c>
    </row>
    <row r="22" customFormat="false" ht="15" hidden="false" customHeight="false" outlineLevel="0" collapsed="false">
      <c r="A22" s="8" t="s">
        <v>51</v>
      </c>
      <c r="B22" s="8" t="s">
        <v>195</v>
      </c>
      <c r="C22" s="9" t="n">
        <v>221.654008610689</v>
      </c>
      <c r="D22" s="9" t="n">
        <v>263.664329756627</v>
      </c>
      <c r="E22" s="9" t="n">
        <v>64.914897644006</v>
      </c>
      <c r="F22" s="10" t="n">
        <v>134.412192508491</v>
      </c>
      <c r="G22" s="12" t="n">
        <v>69.590385216069</v>
      </c>
      <c r="H22" s="12" t="n">
        <v>66.6320236649278</v>
      </c>
      <c r="I22" s="8" t="s">
        <v>191</v>
      </c>
      <c r="J22" s="8" t="s">
        <v>190</v>
      </c>
      <c r="K22" s="8" t="str">
        <f aca="false">IF(F22=_xlfn.MAXIFS($F$5:$F$74,$A$5:$A$74,A22),"best","")</f>
        <v/>
      </c>
    </row>
    <row r="23" customFormat="false" ht="15" hidden="false" customHeight="false" outlineLevel="0" collapsed="false">
      <c r="A23" s="8" t="s">
        <v>51</v>
      </c>
      <c r="B23" s="8" t="s">
        <v>197</v>
      </c>
      <c r="C23" s="9" t="n">
        <v>224.972940367777</v>
      </c>
      <c r="D23" s="9" t="n">
        <v>270.929414479327</v>
      </c>
      <c r="E23" s="9" t="n">
        <v>68.4458310426652</v>
      </c>
      <c r="F23" s="10" t="n">
        <v>130.954103829846</v>
      </c>
      <c r="G23" s="12" t="n">
        <v>69.9175873112751</v>
      </c>
      <c r="H23" s="12" t="n">
        <v>66.115793321251</v>
      </c>
      <c r="I23" s="8" t="s">
        <v>191</v>
      </c>
      <c r="J23" s="8" t="s">
        <v>190</v>
      </c>
      <c r="K23" s="8" t="str">
        <f aca="false">IF(F23=_xlfn.MAXIFS($F$5:$F$74,$A$5:$A$74,A23),"best","")</f>
        <v/>
      </c>
    </row>
    <row r="24" customFormat="false" ht="15" hidden="false" customHeight="false" outlineLevel="0" collapsed="false">
      <c r="A24" s="8" t="s">
        <v>51</v>
      </c>
      <c r="B24" s="8" t="s">
        <v>196</v>
      </c>
      <c r="C24" s="9" t="n">
        <v>226.219991539104</v>
      </c>
      <c r="D24" s="9" t="n">
        <v>273.093995484319</v>
      </c>
      <c r="E24" s="9" t="n">
        <v>76.4202948494421</v>
      </c>
      <c r="F24" s="10" t="n">
        <v>143.753308710913</v>
      </c>
      <c r="G24" s="12" t="n">
        <v>76.7158581337386</v>
      </c>
      <c r="H24" s="12" t="n">
        <v>72.3100933040847</v>
      </c>
      <c r="I24" s="8" t="s">
        <v>191</v>
      </c>
      <c r="J24" s="8" t="s">
        <v>190</v>
      </c>
      <c r="K24" s="8" t="str">
        <f aca="false">IF(F24=_xlfn.MAXIFS($F$5:$F$74,$A$5:$A$74,A24),"best","")</f>
        <v/>
      </c>
    </row>
    <row r="25" customFormat="false" ht="15" hidden="false" customHeight="false" outlineLevel="0" collapsed="false">
      <c r="A25" s="8" t="s">
        <v>55</v>
      </c>
      <c r="B25" s="8" t="s">
        <v>188</v>
      </c>
      <c r="C25" s="9" t="n">
        <v>203.893159816572</v>
      </c>
      <c r="D25" s="9" t="n">
        <v>257.077331171122</v>
      </c>
      <c r="E25" s="9" t="n">
        <v>56.3913350461927</v>
      </c>
      <c r="F25" s="10" t="n">
        <v>109.882212011446</v>
      </c>
      <c r="G25" s="12" t="n">
        <v>61.8035853090846</v>
      </c>
      <c r="H25" s="12" t="n">
        <v>58.5631559561693</v>
      </c>
      <c r="I25" s="8" t="s">
        <v>191</v>
      </c>
      <c r="J25" s="8" t="s">
        <v>190</v>
      </c>
      <c r="K25" s="8" t="str">
        <f aca="false">IF(F25=_xlfn.MAXIFS($F$5:$F$74,$A$5:$A$74,A25),"best","")</f>
        <v>best</v>
      </c>
    </row>
    <row r="26" customFormat="false" ht="15" hidden="false" customHeight="false" outlineLevel="0" collapsed="false">
      <c r="A26" s="8" t="s">
        <v>55</v>
      </c>
      <c r="B26" s="8" t="s">
        <v>192</v>
      </c>
      <c r="C26" s="9" t="n">
        <v>196.708864531185</v>
      </c>
      <c r="D26" s="9" t="n">
        <v>242.559848942966</v>
      </c>
      <c r="E26" s="9" t="n">
        <v>40.7478920568209</v>
      </c>
      <c r="F26" s="10" t="n">
        <v>90.8903748779647</v>
      </c>
      <c r="G26" s="12" t="n">
        <v>54.5029291299481</v>
      </c>
      <c r="H26" s="12" t="n">
        <v>50.6564585857972</v>
      </c>
      <c r="I26" s="8" t="s">
        <v>191</v>
      </c>
      <c r="J26" s="8" t="s">
        <v>190</v>
      </c>
      <c r="K26" s="8" t="str">
        <f aca="false">IF(F26=_xlfn.MAXIFS($F$5:$F$74,$A$5:$A$74,A26),"best","")</f>
        <v/>
      </c>
    </row>
    <row r="27" customFormat="false" ht="15" hidden="false" customHeight="false" outlineLevel="0" collapsed="false">
      <c r="A27" s="8" t="s">
        <v>55</v>
      </c>
      <c r="B27" s="8" t="s">
        <v>195</v>
      </c>
      <c r="C27" s="9" t="n">
        <v>192.038348839005</v>
      </c>
      <c r="D27" s="9" t="n">
        <v>232.706682588649</v>
      </c>
      <c r="E27" s="9" t="n">
        <v>33.4880509132553</v>
      </c>
      <c r="F27" s="10" t="n">
        <v>79.898165295771</v>
      </c>
      <c r="G27" s="12" t="n">
        <v>52.6919870186411</v>
      </c>
      <c r="H27" s="12" t="n">
        <v>45.5610867743779</v>
      </c>
      <c r="I27" s="8" t="s">
        <v>191</v>
      </c>
      <c r="J27" s="8" t="s">
        <v>190</v>
      </c>
      <c r="K27" s="8" t="str">
        <f aca="false">IF(F27=_xlfn.MAXIFS($F$5:$F$74,$A$5:$A$74,A27),"best","")</f>
        <v/>
      </c>
    </row>
    <row r="28" customFormat="false" ht="15" hidden="false" customHeight="false" outlineLevel="0" collapsed="false">
      <c r="A28" s="8" t="s">
        <v>55</v>
      </c>
      <c r="B28" s="8" t="s">
        <v>197</v>
      </c>
      <c r="C28" s="9" t="n">
        <v>195.955298650804</v>
      </c>
      <c r="D28" s="9" t="n">
        <v>241.584902298598</v>
      </c>
      <c r="E28" s="9" t="n">
        <v>38.8790438877111</v>
      </c>
      <c r="F28" s="10" t="n">
        <v>91.7491899823985</v>
      </c>
      <c r="G28" s="12" t="n">
        <v>55.5491804518973</v>
      </c>
      <c r="H28" s="12" t="n">
        <v>50.5384888532751</v>
      </c>
      <c r="I28" s="8" t="s">
        <v>191</v>
      </c>
      <c r="J28" s="8" t="s">
        <v>190</v>
      </c>
      <c r="K28" s="8" t="str">
        <f aca="false">IF(F28=_xlfn.MAXIFS($F$5:$F$74,$A$5:$A$74,A28),"best","")</f>
        <v/>
      </c>
    </row>
    <row r="29" customFormat="false" ht="15" hidden="false" customHeight="false" outlineLevel="0" collapsed="false">
      <c r="A29" s="8" t="s">
        <v>55</v>
      </c>
      <c r="B29" s="8" t="s">
        <v>196</v>
      </c>
      <c r="C29" s="9" t="n">
        <v>196.875435501835</v>
      </c>
      <c r="D29" s="9" t="n">
        <v>242.87238906528</v>
      </c>
      <c r="E29" s="9" t="n">
        <v>48.8275659599958</v>
      </c>
      <c r="F29" s="10" t="n">
        <v>98.585236824903</v>
      </c>
      <c r="G29" s="12" t="n">
        <v>58.1035662093748</v>
      </c>
      <c r="H29" s="12" t="n">
        <v>54.051806133645</v>
      </c>
      <c r="I29" s="8" t="s">
        <v>191</v>
      </c>
      <c r="J29" s="8" t="s">
        <v>190</v>
      </c>
      <c r="K29" s="8" t="str">
        <f aca="false">IF(F29=_xlfn.MAXIFS($F$5:$F$74,$A$5:$A$74,A29),"best","")</f>
        <v/>
      </c>
    </row>
    <row r="30" customFormat="false" ht="15" hidden="false" customHeight="false" outlineLevel="0" collapsed="false">
      <c r="A30" s="8" t="s">
        <v>59</v>
      </c>
      <c r="B30" s="8" t="s">
        <v>188</v>
      </c>
      <c r="C30" s="9" t="n">
        <v>178.995198270142</v>
      </c>
      <c r="D30" s="9" t="n">
        <v>185.625755390614</v>
      </c>
      <c r="E30" s="9" t="n">
        <v>24.6227506295812</v>
      </c>
      <c r="F30" s="10" t="n">
        <v>55.8584972087209</v>
      </c>
      <c r="G30" s="12" t="n">
        <v>42.4103562984961</v>
      </c>
      <c r="H30" s="12" t="n">
        <v>33.4994851176033</v>
      </c>
      <c r="I30" s="8" t="s">
        <v>191</v>
      </c>
      <c r="J30" s="8" t="s">
        <v>193</v>
      </c>
      <c r="K30" s="8" t="str">
        <f aca="false">IF(F30=_xlfn.MAXIFS($F$5:$F$74,$A$5:$A$74,A30),"best","")</f>
        <v/>
      </c>
    </row>
    <row r="31" customFormat="false" ht="15" hidden="false" customHeight="false" outlineLevel="0" collapsed="false">
      <c r="A31" s="8" t="s">
        <v>59</v>
      </c>
      <c r="B31" s="8" t="s">
        <v>192</v>
      </c>
      <c r="C31" s="9" t="n">
        <v>193.278429750093</v>
      </c>
      <c r="D31" s="9" t="n">
        <v>196.935099803728</v>
      </c>
      <c r="E31" s="9" t="n">
        <v>-1.68165802514184</v>
      </c>
      <c r="F31" s="10" t="n">
        <v>74.7460254168548</v>
      </c>
      <c r="G31" s="12" t="n">
        <v>51.7174939108118</v>
      </c>
      <c r="H31" s="12" t="n">
        <v>43.0224013575707</v>
      </c>
      <c r="I31" s="8" t="s">
        <v>194</v>
      </c>
      <c r="J31" s="8" t="s">
        <v>193</v>
      </c>
      <c r="K31" s="8" t="str">
        <f aca="false">IF(F31=_xlfn.MAXIFS($F$5:$F$74,$A$5:$A$74,A31),"best","")</f>
        <v/>
      </c>
    </row>
    <row r="32" customFormat="false" ht="15" hidden="false" customHeight="false" outlineLevel="0" collapsed="false">
      <c r="A32" s="8" t="s">
        <v>59</v>
      </c>
      <c r="B32" s="8" t="s">
        <v>195</v>
      </c>
      <c r="C32" s="9" t="n">
        <v>183.413677255184</v>
      </c>
      <c r="D32" s="9" t="n">
        <v>188.025837848755</v>
      </c>
      <c r="E32" s="9" t="n">
        <v>24.7149375636275</v>
      </c>
      <c r="F32" s="10" t="n">
        <v>59.0969203833819</v>
      </c>
      <c r="G32" s="12" t="n">
        <v>43.3800196904778</v>
      </c>
      <c r="H32" s="12" t="n">
        <v>35.0904489402602</v>
      </c>
      <c r="I32" s="8" t="s">
        <v>191</v>
      </c>
      <c r="J32" s="8" t="s">
        <v>193</v>
      </c>
      <c r="K32" s="8" t="str">
        <f aca="false">IF(F32=_xlfn.MAXIFS($F$5:$F$74,$A$5:$A$74,A32),"best","")</f>
        <v/>
      </c>
    </row>
    <row r="33" customFormat="false" ht="15" hidden="false" customHeight="false" outlineLevel="0" collapsed="false">
      <c r="A33" s="8" t="s">
        <v>59</v>
      </c>
      <c r="B33" s="8" t="s">
        <v>197</v>
      </c>
      <c r="C33" s="9" t="n">
        <v>187.431178498446</v>
      </c>
      <c r="D33" s="9" t="n">
        <v>197.137606906002</v>
      </c>
      <c r="E33" s="9" t="n">
        <v>24.9873617721892</v>
      </c>
      <c r="F33" s="10" t="n">
        <v>67.6039293628429</v>
      </c>
      <c r="G33" s="12" t="n">
        <v>46.5296482085257</v>
      </c>
      <c r="H33" s="12" t="n">
        <v>39.0570194334667</v>
      </c>
      <c r="I33" s="8" t="s">
        <v>191</v>
      </c>
      <c r="J33" s="8" t="s">
        <v>193</v>
      </c>
      <c r="K33" s="8" t="str">
        <f aca="false">IF(F33=_xlfn.MAXIFS($F$5:$F$74,$A$5:$A$74,A33),"best","")</f>
        <v/>
      </c>
    </row>
    <row r="34" customFormat="false" ht="15" hidden="false" customHeight="false" outlineLevel="0" collapsed="false">
      <c r="A34" s="8" t="s">
        <v>59</v>
      </c>
      <c r="B34" s="8" t="s">
        <v>196</v>
      </c>
      <c r="C34" s="9" t="n">
        <v>193.059167611395</v>
      </c>
      <c r="D34" s="9" t="n">
        <v>208.089293611554</v>
      </c>
      <c r="E34" s="9" t="n">
        <v>24.9943238198609</v>
      </c>
      <c r="F34" s="10" t="n">
        <v>84.207730224794</v>
      </c>
      <c r="G34" s="12" t="n">
        <v>48.5609022649801</v>
      </c>
      <c r="H34" s="12" t="n">
        <v>45.5197998801252</v>
      </c>
      <c r="I34" s="8" t="s">
        <v>194</v>
      </c>
      <c r="J34" s="8" t="s">
        <v>193</v>
      </c>
      <c r="K34" s="8" t="str">
        <f aca="false">IF(F34=_xlfn.MAXIFS($F$5:$F$74,$A$5:$A$74,A34),"best","")</f>
        <v>best</v>
      </c>
    </row>
    <row r="35" customFormat="false" ht="15" hidden="false" customHeight="false" outlineLevel="0" collapsed="false">
      <c r="A35" s="8" t="s">
        <v>63</v>
      </c>
      <c r="B35" s="8" t="s">
        <v>188</v>
      </c>
      <c r="C35" s="9" t="n">
        <v>220.943888387599</v>
      </c>
      <c r="D35" s="9" t="n">
        <v>258.249273648956</v>
      </c>
      <c r="E35" s="9" t="n">
        <v>60.2694259405635</v>
      </c>
      <c r="F35" s="10" t="n">
        <v>127.259220008078</v>
      </c>
      <c r="G35" s="12" t="n">
        <v>69.2609583126287</v>
      </c>
      <c r="H35" s="12" t="n">
        <v>65.8006333236125</v>
      </c>
      <c r="I35" s="8" t="s">
        <v>191</v>
      </c>
      <c r="J35" s="8" t="s">
        <v>190</v>
      </c>
      <c r="K35" s="8" t="str">
        <f aca="false">IF(F35=_xlfn.MAXIFS($F$5:$F$74,$A$5:$A$74,A35),"best","")</f>
        <v>best</v>
      </c>
    </row>
    <row r="36" customFormat="false" ht="15" hidden="false" customHeight="false" outlineLevel="0" collapsed="false">
      <c r="A36" s="8" t="s">
        <v>63</v>
      </c>
      <c r="B36" s="8" t="s">
        <v>192</v>
      </c>
      <c r="C36" s="9" t="n">
        <v>222.569886474575</v>
      </c>
      <c r="D36" s="9" t="n">
        <v>260.090337539338</v>
      </c>
      <c r="E36" s="9" t="n">
        <v>63.2723516500989</v>
      </c>
      <c r="F36" s="10" t="n">
        <v>125.785956766935</v>
      </c>
      <c r="G36" s="12" t="n">
        <v>67.7121501606315</v>
      </c>
      <c r="H36" s="12" t="n">
        <v>65.5767651607648</v>
      </c>
      <c r="I36" s="8" t="s">
        <v>191</v>
      </c>
      <c r="J36" s="8" t="s">
        <v>190</v>
      </c>
      <c r="K36" s="8" t="str">
        <f aca="false">IF(F36=_xlfn.MAXIFS($F$5:$F$74,$A$5:$A$74,A36),"best","")</f>
        <v/>
      </c>
    </row>
    <row r="37" customFormat="false" ht="15" hidden="false" customHeight="false" outlineLevel="0" collapsed="false">
      <c r="A37" s="8" t="s">
        <v>63</v>
      </c>
      <c r="B37" s="8" t="s">
        <v>195</v>
      </c>
      <c r="C37" s="9" t="n">
        <v>219.074359566419</v>
      </c>
      <c r="D37" s="9" t="n">
        <v>252.785316721534</v>
      </c>
      <c r="E37" s="9" t="n">
        <v>58.0979642425238</v>
      </c>
      <c r="F37" s="10" t="n">
        <v>123.096308580032</v>
      </c>
      <c r="G37" s="12" t="n">
        <v>67.5477344393443</v>
      </c>
      <c r="H37" s="12" t="n">
        <v>61.5894759991854</v>
      </c>
      <c r="I37" s="8" t="s">
        <v>191</v>
      </c>
      <c r="J37" s="8" t="s">
        <v>190</v>
      </c>
      <c r="K37" s="8" t="str">
        <f aca="false">IF(F37=_xlfn.MAXIFS($F$5:$F$74,$A$5:$A$74,A37),"best","")</f>
        <v/>
      </c>
    </row>
    <row r="38" customFormat="false" ht="15" hidden="false" customHeight="false" outlineLevel="0" collapsed="false">
      <c r="A38" s="8" t="s">
        <v>63</v>
      </c>
      <c r="B38" s="8" t="s">
        <v>197</v>
      </c>
      <c r="C38" s="9" t="n">
        <v>221.269375807625</v>
      </c>
      <c r="D38" s="9" t="n">
        <v>258.275744027124</v>
      </c>
      <c r="E38" s="9" t="n">
        <v>56.0113086530264</v>
      </c>
      <c r="F38" s="10" t="n">
        <v>116.362992654233</v>
      </c>
      <c r="G38" s="12" t="n">
        <v>66.7093822176741</v>
      </c>
      <c r="H38" s="12" t="n">
        <v>61.1441717588513</v>
      </c>
      <c r="I38" s="8" t="s">
        <v>191</v>
      </c>
      <c r="J38" s="8" t="s">
        <v>190</v>
      </c>
      <c r="K38" s="8" t="str">
        <f aca="false">IF(F38=_xlfn.MAXIFS($F$5:$F$74,$A$5:$A$74,A38),"best","")</f>
        <v/>
      </c>
    </row>
    <row r="39" customFormat="false" ht="15" hidden="false" customHeight="false" outlineLevel="0" collapsed="false">
      <c r="A39" s="8" t="s">
        <v>63</v>
      </c>
      <c r="B39" s="8" t="s">
        <v>196</v>
      </c>
      <c r="C39" s="9" t="n">
        <v>221.630520954715</v>
      </c>
      <c r="D39" s="9" t="n">
        <v>258.840263329362</v>
      </c>
      <c r="E39" s="9" t="n">
        <v>64.7042237959994</v>
      </c>
      <c r="F39" s="10" t="n">
        <v>123.436676567917</v>
      </c>
      <c r="G39" s="12" t="n">
        <v>67.7272327261258</v>
      </c>
      <c r="H39" s="12" t="n">
        <v>65.1511146575997</v>
      </c>
      <c r="I39" s="8" t="s">
        <v>191</v>
      </c>
      <c r="J39" s="8" t="s">
        <v>190</v>
      </c>
      <c r="K39" s="8" t="str">
        <f aca="false">IF(F39=_xlfn.MAXIFS($F$5:$F$74,$A$5:$A$74,A39),"best","")</f>
        <v/>
      </c>
    </row>
    <row r="40" customFormat="false" ht="15" hidden="false" customHeight="false" outlineLevel="0" collapsed="false">
      <c r="A40" s="8" t="s">
        <v>67</v>
      </c>
      <c r="B40" s="8" t="s">
        <v>188</v>
      </c>
      <c r="C40" s="9" t="n">
        <v>193.819773528707</v>
      </c>
      <c r="D40" s="9" t="n">
        <v>207.818333157063</v>
      </c>
      <c r="E40" s="9" t="n">
        <v>24.980370150583</v>
      </c>
      <c r="F40" s="10" t="n">
        <v>82.3294124143607</v>
      </c>
      <c r="G40" s="12" t="n">
        <v>55.5491332052192</v>
      </c>
      <c r="H40" s="12" t="n">
        <v>51.1276454693125</v>
      </c>
      <c r="I40" s="8" t="s">
        <v>191</v>
      </c>
      <c r="J40" s="8" t="s">
        <v>193</v>
      </c>
      <c r="K40" s="8" t="str">
        <f aca="false">IF(F40=_xlfn.MAXIFS($F$5:$F$74,$A$5:$A$74,A40),"best","")</f>
        <v/>
      </c>
    </row>
    <row r="41" customFormat="false" ht="15" hidden="false" customHeight="false" outlineLevel="0" collapsed="false">
      <c r="A41" s="8" t="s">
        <v>67</v>
      </c>
      <c r="B41" s="8" t="s">
        <v>192</v>
      </c>
      <c r="C41" s="9" t="n">
        <v>197.421032417348</v>
      </c>
      <c r="D41" s="9" t="n">
        <v>212.457104623873</v>
      </c>
      <c r="E41" s="9" t="n">
        <v>24.99440241408</v>
      </c>
      <c r="F41" s="10" t="n">
        <v>84.4595036637047</v>
      </c>
      <c r="G41" s="12" t="n">
        <v>55.9437695160119</v>
      </c>
      <c r="H41" s="12" t="n">
        <v>52.0453565328932</v>
      </c>
      <c r="I41" s="8" t="s">
        <v>191</v>
      </c>
      <c r="J41" s="8" t="s">
        <v>193</v>
      </c>
      <c r="K41" s="8" t="str">
        <f aca="false">IF(F41=_xlfn.MAXIFS($F$5:$F$74,$A$5:$A$74,A41),"best","")</f>
        <v/>
      </c>
    </row>
    <row r="42" customFormat="false" ht="15" hidden="false" customHeight="false" outlineLevel="0" collapsed="false">
      <c r="A42" s="8" t="s">
        <v>67</v>
      </c>
      <c r="B42" s="8" t="s">
        <v>195</v>
      </c>
      <c r="C42" s="9" t="n">
        <v>196.306072745094</v>
      </c>
      <c r="D42" s="9" t="n">
        <v>211.885970435093</v>
      </c>
      <c r="E42" s="9" t="n">
        <v>29.8859704350928</v>
      </c>
      <c r="F42" s="10" t="n">
        <v>97.1961829283426</v>
      </c>
      <c r="G42" s="12" t="n">
        <v>60.2288235365935</v>
      </c>
      <c r="H42" s="12" t="n">
        <v>55.2650039059574</v>
      </c>
      <c r="I42" s="8" t="s">
        <v>191</v>
      </c>
      <c r="J42" s="8" t="s">
        <v>193</v>
      </c>
      <c r="K42" s="8" t="str">
        <f aca="false">IF(F42=_xlfn.MAXIFS($F$5:$F$74,$A$5:$A$74,A42),"best","")</f>
        <v/>
      </c>
    </row>
    <row r="43" customFormat="false" ht="15" hidden="false" customHeight="false" outlineLevel="0" collapsed="false">
      <c r="A43" s="8" t="s">
        <v>67</v>
      </c>
      <c r="B43" s="8" t="s">
        <v>197</v>
      </c>
      <c r="C43" s="9" t="n">
        <v>198.164187821147</v>
      </c>
      <c r="D43" s="9" t="n">
        <v>214.012726287484</v>
      </c>
      <c r="E43" s="9" t="n">
        <v>32.5127262874841</v>
      </c>
      <c r="F43" s="10" t="n">
        <v>110.903443154202</v>
      </c>
      <c r="G43" s="12" t="n">
        <v>63.6532932047838</v>
      </c>
      <c r="H43" s="12" t="n">
        <v>59.6811526623173</v>
      </c>
      <c r="I43" s="8" t="s">
        <v>191</v>
      </c>
      <c r="J43" s="8" t="s">
        <v>193</v>
      </c>
      <c r="K43" s="8" t="str">
        <f aca="false">IF(F43=_xlfn.MAXIFS($F$5:$F$74,$A$5:$A$74,A43),"best","")</f>
        <v>best</v>
      </c>
    </row>
    <row r="44" customFormat="false" ht="15" hidden="false" customHeight="false" outlineLevel="0" collapsed="false">
      <c r="A44" s="8" t="s">
        <v>67</v>
      </c>
      <c r="B44" s="8" t="s">
        <v>196</v>
      </c>
      <c r="C44" s="9" t="n">
        <v>190.10477212623</v>
      </c>
      <c r="D44" s="9" t="n">
        <v>214.057184155413</v>
      </c>
      <c r="E44" s="9" t="n">
        <v>31.0571841554132</v>
      </c>
      <c r="F44" s="10" t="n">
        <v>98.7365279255423</v>
      </c>
      <c r="G44" s="12" t="n">
        <v>56.591595396273</v>
      </c>
      <c r="H44" s="12" t="n">
        <v>55.776693584695</v>
      </c>
      <c r="I44" s="8" t="s">
        <v>191</v>
      </c>
      <c r="J44" s="8" t="s">
        <v>193</v>
      </c>
      <c r="K44" s="8" t="str">
        <f aca="false">IF(F44=_xlfn.MAXIFS($F$5:$F$74,$A$5:$A$74,A44),"best","")</f>
        <v/>
      </c>
    </row>
    <row r="45" customFormat="false" ht="15" hidden="false" customHeight="false" outlineLevel="0" collapsed="false">
      <c r="A45" s="8" t="s">
        <v>72</v>
      </c>
      <c r="B45" s="8" t="s">
        <v>188</v>
      </c>
      <c r="C45" s="9" t="n">
        <v>194.431341018092</v>
      </c>
      <c r="D45" s="9" t="n">
        <v>220.743510142081</v>
      </c>
      <c r="E45" s="9" t="n">
        <v>175.73568516476</v>
      </c>
      <c r="F45" s="10" t="n">
        <v>101.632563743063</v>
      </c>
      <c r="G45" s="12" t="n">
        <v>64.885825101326</v>
      </c>
      <c r="H45" s="12" t="n">
        <v>54.2838129125139</v>
      </c>
      <c r="I45" s="8" t="s">
        <v>191</v>
      </c>
      <c r="J45" s="8" t="s">
        <v>190</v>
      </c>
      <c r="K45" s="8" t="str">
        <f aca="false">IF(F45=_xlfn.MAXIFS($F$5:$F$74,$A$5:$A$74,A45),"best","")</f>
        <v/>
      </c>
    </row>
    <row r="46" customFormat="false" ht="15" hidden="false" customHeight="false" outlineLevel="0" collapsed="false">
      <c r="A46" s="8" t="s">
        <v>72</v>
      </c>
      <c r="B46" s="8" t="s">
        <v>192</v>
      </c>
      <c r="C46" s="9" t="n">
        <v>196.528665077848</v>
      </c>
      <c r="D46" s="9" t="n">
        <v>223.226006205429</v>
      </c>
      <c r="E46" s="9" t="n">
        <v>181.617484132954</v>
      </c>
      <c r="F46" s="10" t="n">
        <v>100.572954111667</v>
      </c>
      <c r="G46" s="12" t="n">
        <v>63.4014363974728</v>
      </c>
      <c r="H46" s="12" t="n">
        <v>54.6550872218753</v>
      </c>
      <c r="I46" s="8" t="s">
        <v>191</v>
      </c>
      <c r="J46" s="8" t="s">
        <v>190</v>
      </c>
      <c r="K46" s="8" t="str">
        <f aca="false">IF(F46=_xlfn.MAXIFS($F$5:$F$74,$A$5:$A$74,A46),"best","")</f>
        <v/>
      </c>
    </row>
    <row r="47" customFormat="false" ht="15" hidden="false" customHeight="false" outlineLevel="0" collapsed="false">
      <c r="A47" s="8" t="s">
        <v>72</v>
      </c>
      <c r="B47" s="8" t="s">
        <v>195</v>
      </c>
      <c r="C47" s="9" t="n">
        <v>191.882563118632</v>
      </c>
      <c r="D47" s="9" t="n">
        <v>213.560094729988</v>
      </c>
      <c r="E47" s="9" t="n">
        <v>174.529809015702</v>
      </c>
      <c r="F47" s="10" t="n">
        <v>91.7881196126393</v>
      </c>
      <c r="G47" s="12" t="n">
        <v>59.1483058596256</v>
      </c>
      <c r="H47" s="12" t="n">
        <v>49.3307425906356</v>
      </c>
      <c r="I47" s="8" t="s">
        <v>191</v>
      </c>
      <c r="J47" s="8" t="s">
        <v>190</v>
      </c>
      <c r="K47" s="8" t="str">
        <f aca="false">IF(F47=_xlfn.MAXIFS($F$5:$F$74,$A$5:$A$74,A47),"best","")</f>
        <v/>
      </c>
    </row>
    <row r="48" customFormat="false" ht="15" hidden="false" customHeight="false" outlineLevel="0" collapsed="false">
      <c r="A48" s="8" t="s">
        <v>72</v>
      </c>
      <c r="B48" s="8" t="s">
        <v>197</v>
      </c>
      <c r="C48" s="9" t="n">
        <v>195.565168440896</v>
      </c>
      <c r="D48" s="9" t="n">
        <v>222.025237125424</v>
      </c>
      <c r="E48" s="9" t="n">
        <v>179.37697085907</v>
      </c>
      <c r="F48" s="10" t="n">
        <v>95.3519592405502</v>
      </c>
      <c r="G48" s="12" t="n">
        <v>61.1093544027753</v>
      </c>
      <c r="H48" s="12" t="n">
        <v>51.6776566254696</v>
      </c>
      <c r="I48" s="8" t="s">
        <v>191</v>
      </c>
      <c r="J48" s="8" t="s">
        <v>190</v>
      </c>
      <c r="K48" s="8" t="str">
        <f aca="false">IF(F48=_xlfn.MAXIFS($F$5:$F$74,$A$5:$A$74,A48),"best","")</f>
        <v/>
      </c>
    </row>
    <row r="49" customFormat="false" ht="15" hidden="false" customHeight="false" outlineLevel="0" collapsed="false">
      <c r="A49" s="8" t="s">
        <v>72</v>
      </c>
      <c r="B49" s="8" t="s">
        <v>196</v>
      </c>
      <c r="C49" s="9" t="n">
        <v>196.351794110749</v>
      </c>
      <c r="D49" s="9" t="n">
        <v>223.165781054338</v>
      </c>
      <c r="E49" s="9" t="n">
        <v>186.793796927354</v>
      </c>
      <c r="F49" s="10" t="n">
        <v>102.814591851321</v>
      </c>
      <c r="G49" s="12" t="n">
        <v>64.4334498341436</v>
      </c>
      <c r="H49" s="12" t="n">
        <v>55.2704796867667</v>
      </c>
      <c r="I49" s="8" t="s">
        <v>191</v>
      </c>
      <c r="J49" s="8" t="s">
        <v>190</v>
      </c>
      <c r="K49" s="8" t="str">
        <f aca="false">IF(F49=_xlfn.MAXIFS($F$5:$F$74,$A$5:$A$74,A49),"best","")</f>
        <v>best</v>
      </c>
    </row>
    <row r="50" customFormat="false" ht="15" hidden="false" customHeight="false" outlineLevel="0" collapsed="false">
      <c r="A50" s="8" t="s">
        <v>77</v>
      </c>
      <c r="B50" s="8" t="s">
        <v>188</v>
      </c>
      <c r="C50" s="9" t="n">
        <v>225.647981600595</v>
      </c>
      <c r="D50" s="9" t="n">
        <v>259.62948648195</v>
      </c>
      <c r="E50" s="9" t="n">
        <v>87.45975712283</v>
      </c>
      <c r="F50" s="10" t="n">
        <v>145.561697896968</v>
      </c>
      <c r="G50" s="12" t="n">
        <v>79.6831200105163</v>
      </c>
      <c r="H50" s="12" t="n">
        <v>74.7363813565878</v>
      </c>
      <c r="I50" s="8" t="s">
        <v>191</v>
      </c>
      <c r="J50" s="8" t="s">
        <v>190</v>
      </c>
      <c r="K50" s="8" t="str">
        <f aca="false">IF(F50=_xlfn.MAXIFS($F$5:$F$74,$A$5:$A$74,A50),"best","")</f>
        <v/>
      </c>
    </row>
    <row r="51" customFormat="false" ht="15" hidden="false" customHeight="false" outlineLevel="0" collapsed="false">
      <c r="A51" s="8" t="s">
        <v>77</v>
      </c>
      <c r="B51" s="8" t="s">
        <v>192</v>
      </c>
      <c r="C51" s="9" t="n">
        <v>233.349231609353</v>
      </c>
      <c r="D51" s="9" t="n">
        <v>262.124995596988</v>
      </c>
      <c r="E51" s="9" t="n">
        <v>80.9044195188667</v>
      </c>
      <c r="F51" s="10" t="n">
        <v>148.821126742347</v>
      </c>
      <c r="G51" s="12" t="n">
        <v>80.3311388707526</v>
      </c>
      <c r="H51" s="12" t="n">
        <v>76.1393359829545</v>
      </c>
      <c r="I51" s="8" t="s">
        <v>194</v>
      </c>
      <c r="J51" s="8" t="s">
        <v>190</v>
      </c>
      <c r="K51" s="8" t="str">
        <f aca="false">IF(F51=_xlfn.MAXIFS($F$5:$F$74,$A$5:$A$74,A51),"best","")</f>
        <v>best</v>
      </c>
    </row>
    <row r="52" customFormat="false" ht="15" hidden="false" customHeight="false" outlineLevel="0" collapsed="false">
      <c r="A52" s="8" t="s">
        <v>77</v>
      </c>
      <c r="B52" s="8" t="s">
        <v>195</v>
      </c>
      <c r="C52" s="9" t="n">
        <v>223.165457690213</v>
      </c>
      <c r="D52" s="9" t="n">
        <v>253.468246493293</v>
      </c>
      <c r="E52" s="9" t="n">
        <v>86.0975973150062</v>
      </c>
      <c r="F52" s="10" t="n">
        <v>139.739466263552</v>
      </c>
      <c r="G52" s="12" t="n">
        <v>76.1499156131924</v>
      </c>
      <c r="H52" s="12" t="n">
        <v>71.2855135682979</v>
      </c>
      <c r="I52" s="8" t="s">
        <v>191</v>
      </c>
      <c r="J52" s="8" t="s">
        <v>190</v>
      </c>
      <c r="K52" s="8" t="str">
        <f aca="false">IF(F52=_xlfn.MAXIFS($F$5:$F$74,$A$5:$A$74,A52),"best","")</f>
        <v/>
      </c>
    </row>
    <row r="53" customFormat="false" ht="15" hidden="false" customHeight="false" outlineLevel="0" collapsed="false">
      <c r="A53" s="8" t="s">
        <v>77</v>
      </c>
      <c r="B53" s="8" t="s">
        <v>197</v>
      </c>
      <c r="C53" s="9" t="n">
        <v>223.244771132845</v>
      </c>
      <c r="D53" s="9" t="n">
        <v>255.732562535977</v>
      </c>
      <c r="E53" s="9" t="n">
        <v>83.5504196519091</v>
      </c>
      <c r="F53" s="10" t="n">
        <v>136.080638079791</v>
      </c>
      <c r="G53" s="12" t="n">
        <v>76.1159688409765</v>
      </c>
      <c r="H53" s="12" t="n">
        <v>70.940786385382</v>
      </c>
      <c r="I53" s="8" t="s">
        <v>191</v>
      </c>
      <c r="J53" s="8" t="s">
        <v>190</v>
      </c>
      <c r="K53" s="8" t="str">
        <f aca="false">IF(F53=_xlfn.MAXIFS($F$5:$F$74,$A$5:$A$74,A53),"best","")</f>
        <v/>
      </c>
    </row>
    <row r="54" customFormat="false" ht="15" hidden="false" customHeight="false" outlineLevel="0" collapsed="false">
      <c r="A54" s="8" t="s">
        <v>77</v>
      </c>
      <c r="B54" s="8" t="s">
        <v>196</v>
      </c>
      <c r="C54" s="9" t="n">
        <v>223.698425953438</v>
      </c>
      <c r="D54" s="9" t="n">
        <v>256.57000669615</v>
      </c>
      <c r="E54" s="9" t="n">
        <v>89.7142105990213</v>
      </c>
      <c r="F54" s="10" t="n">
        <v>142.402208564858</v>
      </c>
      <c r="G54" s="12" t="n">
        <v>78.7532154988844</v>
      </c>
      <c r="H54" s="12" t="n">
        <v>73.8761562933884</v>
      </c>
      <c r="I54" s="8" t="s">
        <v>191</v>
      </c>
      <c r="J54" s="8" t="s">
        <v>190</v>
      </c>
      <c r="K54" s="8" t="str">
        <f aca="false">IF(F54=_xlfn.MAXIFS($F$5:$F$74,$A$5:$A$74,A54),"best","")</f>
        <v/>
      </c>
    </row>
    <row r="55" customFormat="false" ht="15" hidden="false" customHeight="false" outlineLevel="0" collapsed="false">
      <c r="A55" s="8" t="s">
        <v>82</v>
      </c>
      <c r="B55" s="8" t="s">
        <v>188</v>
      </c>
      <c r="C55" s="9" t="n">
        <v>186.149475947264</v>
      </c>
      <c r="D55" s="9" t="n">
        <v>212.168341136543</v>
      </c>
      <c r="E55" s="9" t="n">
        <v>24.9980459058435</v>
      </c>
      <c r="F55" s="10" t="n">
        <v>77.4843609293925</v>
      </c>
      <c r="G55" s="12" t="n">
        <v>49.5572979159905</v>
      </c>
      <c r="H55" s="12" t="n">
        <v>44.8529213175738</v>
      </c>
      <c r="I55" s="8" t="s">
        <v>191</v>
      </c>
      <c r="J55" s="8" t="s">
        <v>193</v>
      </c>
      <c r="K55" s="8" t="str">
        <f aca="false">IF(F55=_xlfn.MAXIFS($F$5:$F$74,$A$5:$A$74,A55),"best","")</f>
        <v/>
      </c>
    </row>
    <row r="56" customFormat="false" ht="15" hidden="false" customHeight="false" outlineLevel="0" collapsed="false">
      <c r="A56" s="8" t="s">
        <v>82</v>
      </c>
      <c r="B56" s="8" t="s">
        <v>192</v>
      </c>
      <c r="C56" s="9" t="n">
        <v>189.893837987391</v>
      </c>
      <c r="D56" s="9" t="n">
        <v>217.04246861488</v>
      </c>
      <c r="E56" s="9" t="n">
        <v>26.4662457521231</v>
      </c>
      <c r="F56" s="10" t="n">
        <v>81.2514878909194</v>
      </c>
      <c r="G56" s="12" t="n">
        <v>50.8351567376293</v>
      </c>
      <c r="H56" s="12" t="n">
        <v>47.5245897513849</v>
      </c>
      <c r="I56" s="8" t="s">
        <v>191</v>
      </c>
      <c r="J56" s="8" t="s">
        <v>193</v>
      </c>
      <c r="K56" s="8" t="str">
        <f aca="false">IF(F56=_xlfn.MAXIFS($F$5:$F$74,$A$5:$A$74,A56),"best","")</f>
        <v/>
      </c>
    </row>
    <row r="57" customFormat="false" ht="15" hidden="false" customHeight="false" outlineLevel="0" collapsed="false">
      <c r="A57" s="8" t="s">
        <v>82</v>
      </c>
      <c r="B57" s="8" t="s">
        <v>195</v>
      </c>
      <c r="C57" s="9" t="n">
        <v>186.114732768708</v>
      </c>
      <c r="D57" s="9" t="n">
        <v>208.504400642413</v>
      </c>
      <c r="E57" s="9" t="n">
        <v>24.9982274848899</v>
      </c>
      <c r="F57" s="10" t="n">
        <v>75.8689703620275</v>
      </c>
      <c r="G57" s="12" t="n">
        <v>49.8771049335753</v>
      </c>
      <c r="H57" s="12" t="n">
        <v>44.5471695552209</v>
      </c>
      <c r="I57" s="8" t="s">
        <v>191</v>
      </c>
      <c r="J57" s="8" t="s">
        <v>193</v>
      </c>
      <c r="K57" s="8" t="str">
        <f aca="false">IF(F57=_xlfn.MAXIFS($F$5:$F$74,$A$5:$A$74,A57),"best","")</f>
        <v/>
      </c>
    </row>
    <row r="58" customFormat="false" ht="15" hidden="false" customHeight="false" outlineLevel="0" collapsed="false">
      <c r="A58" s="8" t="s">
        <v>82</v>
      </c>
      <c r="B58" s="8" t="s">
        <v>197</v>
      </c>
      <c r="C58" s="9" t="n">
        <v>190.773505347924</v>
      </c>
      <c r="D58" s="9" t="n">
        <v>218.922041116199</v>
      </c>
      <c r="E58" s="9" t="n">
        <v>37.4220411161986</v>
      </c>
      <c r="F58" s="10" t="n">
        <v>111.107861581178</v>
      </c>
      <c r="G58" s="12" t="n">
        <v>60.8841187793358</v>
      </c>
      <c r="H58" s="12" t="n">
        <v>55.9043342278721</v>
      </c>
      <c r="I58" s="8" t="s">
        <v>191</v>
      </c>
      <c r="J58" s="8" t="s">
        <v>190</v>
      </c>
      <c r="K58" s="8" t="str">
        <f aca="false">IF(F58=_xlfn.MAXIFS($F$5:$F$74,$A$5:$A$74,A58),"best","")</f>
        <v>best</v>
      </c>
    </row>
    <row r="59" customFormat="false" ht="15" hidden="false" customHeight="false" outlineLevel="0" collapsed="false">
      <c r="A59" s="8" t="s">
        <v>82</v>
      </c>
      <c r="B59" s="8" t="s">
        <v>196</v>
      </c>
      <c r="C59" s="9" t="n">
        <v>190.022171965086</v>
      </c>
      <c r="D59" s="9" t="n">
        <v>217.364108725023</v>
      </c>
      <c r="E59" s="9" t="n">
        <v>31.7894435951904</v>
      </c>
      <c r="F59" s="10" t="n">
        <v>94.4216115538633</v>
      </c>
      <c r="G59" s="12" t="n">
        <v>52.4771350864187</v>
      </c>
      <c r="H59" s="12" t="n">
        <v>51.6196741064305</v>
      </c>
      <c r="I59" s="8" t="s">
        <v>191</v>
      </c>
      <c r="J59" s="8" t="s">
        <v>193</v>
      </c>
      <c r="K59" s="8" t="str">
        <f aca="false">IF(F59=_xlfn.MAXIFS($F$5:$F$74,$A$5:$A$74,A59),"best","")</f>
        <v/>
      </c>
    </row>
    <row r="60" customFormat="false" ht="15" hidden="false" customHeight="false" outlineLevel="0" collapsed="false">
      <c r="A60" s="8" t="s">
        <v>86</v>
      </c>
      <c r="B60" s="8" t="s">
        <v>188</v>
      </c>
      <c r="C60" s="9" t="n">
        <v>241.530319216222</v>
      </c>
      <c r="D60" s="9" t="n">
        <v>312.17063986321</v>
      </c>
      <c r="E60" s="9" t="n">
        <v>110.771547245254</v>
      </c>
      <c r="F60" s="10" t="n">
        <v>164.53243513427</v>
      </c>
      <c r="G60" s="12" t="n">
        <v>81.5932251285584</v>
      </c>
      <c r="H60" s="12" t="n">
        <v>79.7271884979626</v>
      </c>
      <c r="I60" s="8" t="s">
        <v>191</v>
      </c>
      <c r="J60" s="8" t="s">
        <v>190</v>
      </c>
      <c r="K60" s="8" t="str">
        <f aca="false">IF(F60=_xlfn.MAXIFS($F$5:$F$74,$A$5:$A$74,A60),"best","")</f>
        <v>best</v>
      </c>
    </row>
    <row r="61" customFormat="false" ht="15" hidden="false" customHeight="false" outlineLevel="0" collapsed="false">
      <c r="A61" s="8" t="s">
        <v>86</v>
      </c>
      <c r="B61" s="8" t="s">
        <v>192</v>
      </c>
      <c r="C61" s="9" t="n">
        <v>231.925319546849</v>
      </c>
      <c r="D61" s="9" t="n">
        <v>295.713552602694</v>
      </c>
      <c r="E61" s="9" t="n">
        <v>94.9471427901551</v>
      </c>
      <c r="F61" s="10" t="n">
        <v>143.743050215515</v>
      </c>
      <c r="G61" s="12" t="n">
        <v>72.8714578087621</v>
      </c>
      <c r="H61" s="12" t="n">
        <v>72.6119900269793</v>
      </c>
      <c r="I61" s="8" t="s">
        <v>191</v>
      </c>
      <c r="J61" s="8" t="s">
        <v>190</v>
      </c>
      <c r="K61" s="8" t="str">
        <f aca="false">IF(F61=_xlfn.MAXIFS($F$5:$F$74,$A$5:$A$74,A61),"best","")</f>
        <v/>
      </c>
    </row>
    <row r="62" customFormat="false" ht="15" hidden="false" customHeight="false" outlineLevel="0" collapsed="false">
      <c r="A62" s="8" t="s">
        <v>86</v>
      </c>
      <c r="B62" s="8" t="s">
        <v>195</v>
      </c>
      <c r="C62" s="9" t="n">
        <v>227.992097586039</v>
      </c>
      <c r="D62" s="9" t="n">
        <v>287.745273679945</v>
      </c>
      <c r="E62" s="9" t="n">
        <v>89.2206916683574</v>
      </c>
      <c r="F62" s="10" t="n">
        <v>140.808701613689</v>
      </c>
      <c r="G62" s="12" t="n">
        <v>72.1807461666667</v>
      </c>
      <c r="H62" s="12" t="n">
        <v>69.0929239328312</v>
      </c>
      <c r="I62" s="8" t="s">
        <v>191</v>
      </c>
      <c r="J62" s="8" t="s">
        <v>190</v>
      </c>
      <c r="K62" s="8" t="str">
        <f aca="false">IF(F62=_xlfn.MAXIFS($F$5:$F$74,$A$5:$A$74,A62),"best","")</f>
        <v/>
      </c>
    </row>
    <row r="63" customFormat="false" ht="15" hidden="false" customHeight="false" outlineLevel="0" collapsed="false">
      <c r="A63" s="8" t="s">
        <v>86</v>
      </c>
      <c r="B63" s="8" t="s">
        <v>197</v>
      </c>
      <c r="C63" s="9" t="n">
        <v>230.569972716804</v>
      </c>
      <c r="D63" s="9" t="n">
        <v>293.752812313971</v>
      </c>
      <c r="E63" s="9" t="n">
        <v>91.3460635080153</v>
      </c>
      <c r="F63" s="10" t="n">
        <v>134.322101888465</v>
      </c>
      <c r="G63" s="12" t="n">
        <v>71.7386156802326</v>
      </c>
      <c r="H63" s="12" t="n">
        <v>67.5528175803749</v>
      </c>
      <c r="I63" s="8" t="s">
        <v>191</v>
      </c>
      <c r="J63" s="8" t="s">
        <v>190</v>
      </c>
      <c r="K63" s="8" t="str">
        <f aca="false">IF(F63=_xlfn.MAXIFS($F$5:$F$74,$A$5:$A$74,A63),"best","")</f>
        <v/>
      </c>
    </row>
    <row r="64" customFormat="false" ht="15" hidden="false" customHeight="false" outlineLevel="0" collapsed="false">
      <c r="A64" s="8" t="s">
        <v>86</v>
      </c>
      <c r="B64" s="8" t="s">
        <v>196</v>
      </c>
      <c r="C64" s="9" t="n">
        <v>231.446524033109</v>
      </c>
      <c r="D64" s="9" t="n">
        <v>295.350105145375</v>
      </c>
      <c r="E64" s="9" t="n">
        <v>99.0203485235643</v>
      </c>
      <c r="F64" s="10" t="n">
        <v>144.020731104732</v>
      </c>
      <c r="G64" s="12" t="n">
        <v>76.1305006804319</v>
      </c>
      <c r="H64" s="12" t="n">
        <v>73.3060896381403</v>
      </c>
      <c r="I64" s="8" t="s">
        <v>191</v>
      </c>
      <c r="J64" s="8" t="s">
        <v>190</v>
      </c>
      <c r="K64" s="8" t="str">
        <f aca="false">IF(F64=_xlfn.MAXIFS($F$5:$F$74,$A$5:$A$74,A64),"best","")</f>
        <v/>
      </c>
    </row>
    <row r="65" customFormat="false" ht="15" hidden="false" customHeight="false" outlineLevel="0" collapsed="false">
      <c r="A65" s="8" t="s">
        <v>89</v>
      </c>
      <c r="B65" s="8" t="s">
        <v>188</v>
      </c>
      <c r="C65" s="9" t="n">
        <v>217.158656211934</v>
      </c>
      <c r="D65" s="9" t="n">
        <v>245.277968247304</v>
      </c>
      <c r="E65" s="9" t="n">
        <v>42.6626527529651</v>
      </c>
      <c r="F65" s="10" t="n">
        <v>128.091189040811</v>
      </c>
      <c r="G65" s="12" t="n">
        <v>68.5348165211581</v>
      </c>
      <c r="H65" s="12" t="n">
        <v>65.4011225602814</v>
      </c>
      <c r="I65" s="8" t="s">
        <v>191</v>
      </c>
      <c r="J65" s="8" t="s">
        <v>190</v>
      </c>
      <c r="K65" s="8" t="str">
        <f aca="false">IF(F65=_xlfn.MAXIFS($F$5:$F$74,$A$5:$A$74,A65),"best","")</f>
        <v/>
      </c>
    </row>
    <row r="66" customFormat="false" ht="15" hidden="false" customHeight="false" outlineLevel="0" collapsed="false">
      <c r="A66" s="8" t="s">
        <v>89</v>
      </c>
      <c r="B66" s="8" t="s">
        <v>192</v>
      </c>
      <c r="C66" s="9" t="n">
        <v>229.379120444057</v>
      </c>
      <c r="D66" s="9" t="n">
        <v>254.01797609038</v>
      </c>
      <c r="E66" s="9" t="n">
        <v>44.3398719664078</v>
      </c>
      <c r="F66" s="10" t="n">
        <v>145.254317899383</v>
      </c>
      <c r="G66" s="12" t="n">
        <v>75.0132054987736</v>
      </c>
      <c r="H66" s="12" t="n">
        <v>71.2972646650045</v>
      </c>
      <c r="I66" s="8" t="s">
        <v>194</v>
      </c>
      <c r="J66" s="8" t="s">
        <v>190</v>
      </c>
      <c r="K66" s="8" t="str">
        <f aca="false">IF(F66=_xlfn.MAXIFS($F$5:$F$74,$A$5:$A$74,A66),"best","")</f>
        <v>best</v>
      </c>
    </row>
    <row r="67" customFormat="false" ht="15" hidden="false" customHeight="false" outlineLevel="0" collapsed="false">
      <c r="A67" s="8" t="s">
        <v>89</v>
      </c>
      <c r="B67" s="8" t="s">
        <v>195</v>
      </c>
      <c r="C67" s="9" t="n">
        <v>215.23910533589</v>
      </c>
      <c r="D67" s="9" t="n">
        <v>239.775786286619</v>
      </c>
      <c r="E67" s="9" t="n">
        <v>41.2836576362813</v>
      </c>
      <c r="F67" s="10" t="n">
        <v>123.723289517256</v>
      </c>
      <c r="G67" s="12" t="n">
        <v>66.7710449598487</v>
      </c>
      <c r="H67" s="12" t="n">
        <v>61.7399229635327</v>
      </c>
      <c r="I67" s="8" t="s">
        <v>191</v>
      </c>
      <c r="J67" s="8" t="s">
        <v>190</v>
      </c>
      <c r="K67" s="8" t="str">
        <f aca="false">IF(F67=_xlfn.MAXIFS($F$5:$F$74,$A$5:$A$74,A67),"best","")</f>
        <v/>
      </c>
    </row>
    <row r="68" customFormat="false" ht="15" hidden="false" customHeight="false" outlineLevel="0" collapsed="false">
      <c r="A68" s="8" t="s">
        <v>89</v>
      </c>
      <c r="B68" s="8" t="s">
        <v>197</v>
      </c>
      <c r="C68" s="9" t="n">
        <v>217.790371767783</v>
      </c>
      <c r="D68" s="9" t="n">
        <v>245.808382001036</v>
      </c>
      <c r="E68" s="9" t="n">
        <v>43.3867110342398</v>
      </c>
      <c r="F68" s="10" t="n">
        <v>117.551094697365</v>
      </c>
      <c r="G68" s="12" t="n">
        <v>66.3035536978151</v>
      </c>
      <c r="H68" s="12" t="n">
        <v>61.1095226138547</v>
      </c>
      <c r="I68" s="8" t="s">
        <v>191</v>
      </c>
      <c r="J68" s="8" t="s">
        <v>190</v>
      </c>
      <c r="K68" s="8" t="str">
        <f aca="false">IF(F68=_xlfn.MAXIFS($F$5:$F$74,$A$5:$A$74,A68),"best","")</f>
        <v/>
      </c>
    </row>
    <row r="69" customFormat="false" ht="15" hidden="false" customHeight="false" outlineLevel="0" collapsed="false">
      <c r="A69" s="8" t="s">
        <v>89</v>
      </c>
      <c r="B69" s="8" t="s">
        <v>196</v>
      </c>
      <c r="C69" s="9" t="n">
        <v>229.605497030704</v>
      </c>
      <c r="D69" s="9" t="n">
        <v>253.689574350822</v>
      </c>
      <c r="E69" s="9" t="n">
        <v>49.4445990466079</v>
      </c>
      <c r="F69" s="10" t="n">
        <v>137.172700984868</v>
      </c>
      <c r="G69" s="12" t="n">
        <v>71.3908600221952</v>
      </c>
      <c r="H69" s="12" t="n">
        <v>69.2229326333099</v>
      </c>
      <c r="I69" s="8" t="s">
        <v>194</v>
      </c>
      <c r="J69" s="8" t="s">
        <v>190</v>
      </c>
      <c r="K69" s="8" t="str">
        <f aca="false">IF(F69=_xlfn.MAXIFS($F$5:$F$74,$A$5:$A$74,A69),"best","")</f>
        <v/>
      </c>
    </row>
    <row r="70" customFormat="false" ht="15" hidden="false" customHeight="false" outlineLevel="0" collapsed="false">
      <c r="A70" s="8" t="s">
        <v>92</v>
      </c>
      <c r="B70" s="8" t="s">
        <v>188</v>
      </c>
      <c r="C70" s="9" t="n">
        <v>221.166987603646</v>
      </c>
      <c r="D70" s="9" t="n">
        <v>243.764344468866</v>
      </c>
      <c r="E70" s="9" t="n">
        <v>41.6841657863554</v>
      </c>
      <c r="F70" s="10" t="n">
        <v>131.082769045844</v>
      </c>
      <c r="G70" s="12" t="n">
        <v>72.8817731922099</v>
      </c>
      <c r="H70" s="12" t="n">
        <v>69.2607890979778</v>
      </c>
      <c r="I70" s="8" t="s">
        <v>191</v>
      </c>
      <c r="J70" s="8" t="s">
        <v>190</v>
      </c>
      <c r="K70" s="8" t="str">
        <f aca="false">IF(F70=_xlfn.MAXIFS($F$5:$F$74,$A$5:$A$74,A70),"best","")</f>
        <v/>
      </c>
    </row>
    <row r="71" customFormat="false" ht="15" hidden="false" customHeight="false" outlineLevel="0" collapsed="false">
      <c r="A71" s="8" t="s">
        <v>92</v>
      </c>
      <c r="B71" s="8" t="s">
        <v>192</v>
      </c>
      <c r="C71" s="9" t="n">
        <v>233.409852496534</v>
      </c>
      <c r="D71" s="9" t="n">
        <v>252.583512399621</v>
      </c>
      <c r="E71" s="9" t="n">
        <v>43.0968978307691</v>
      </c>
      <c r="F71" s="10" t="n">
        <v>148.269271778725</v>
      </c>
      <c r="G71" s="12" t="n">
        <v>79.1459125848699</v>
      </c>
      <c r="H71" s="12" t="n">
        <v>74.9220135718491</v>
      </c>
      <c r="I71" s="8" t="s">
        <v>194</v>
      </c>
      <c r="J71" s="8" t="s">
        <v>190</v>
      </c>
      <c r="K71" s="8" t="str">
        <f aca="false">IF(F71=_xlfn.MAXIFS($F$5:$F$74,$A$5:$A$74,A71),"best","")</f>
        <v>best</v>
      </c>
    </row>
    <row r="72" customFormat="false" ht="15" hidden="false" customHeight="false" outlineLevel="0" collapsed="false">
      <c r="A72" s="8" t="s">
        <v>92</v>
      </c>
      <c r="B72" s="8" t="s">
        <v>195</v>
      </c>
      <c r="C72" s="9" t="n">
        <v>222.524519499652</v>
      </c>
      <c r="D72" s="9" t="n">
        <v>243.567792589012</v>
      </c>
      <c r="E72" s="9" t="n">
        <v>46.4505959329269</v>
      </c>
      <c r="F72" s="10" t="n">
        <v>135.204524604434</v>
      </c>
      <c r="G72" s="12" t="n">
        <v>74.3441322585027</v>
      </c>
      <c r="H72" s="12" t="n">
        <v>68.7089052801901</v>
      </c>
      <c r="I72" s="8" t="s">
        <v>191</v>
      </c>
      <c r="J72" s="8" t="s">
        <v>190</v>
      </c>
      <c r="K72" s="8" t="str">
        <f aca="false">IF(F72=_xlfn.MAXIFS($F$5:$F$74,$A$5:$A$74,A72),"best","")</f>
        <v/>
      </c>
    </row>
    <row r="73" customFormat="false" ht="15" hidden="false" customHeight="false" outlineLevel="0" collapsed="false">
      <c r="A73" s="8" t="s">
        <v>92</v>
      </c>
      <c r="B73" s="8" t="s">
        <v>197</v>
      </c>
      <c r="C73" s="9" t="n">
        <v>221.968772767803</v>
      </c>
      <c r="D73" s="9" t="n">
        <v>244.61387638496</v>
      </c>
      <c r="E73" s="9" t="n">
        <v>42.3731335900276</v>
      </c>
      <c r="F73" s="10" t="n">
        <v>121.945432988181</v>
      </c>
      <c r="G73" s="12" t="n">
        <v>70.8597349465371</v>
      </c>
      <c r="H73" s="12" t="n">
        <v>65.5661266837686</v>
      </c>
      <c r="I73" s="8" t="s">
        <v>191</v>
      </c>
      <c r="J73" s="8" t="s">
        <v>190</v>
      </c>
      <c r="K73" s="8" t="str">
        <f aca="false">IF(F73=_xlfn.MAXIFS($F$5:$F$74,$A$5:$A$74,A73),"best","")</f>
        <v/>
      </c>
    </row>
    <row r="74" customFormat="false" ht="15" hidden="false" customHeight="false" outlineLevel="0" collapsed="false">
      <c r="A74" s="8" t="s">
        <v>92</v>
      </c>
      <c r="B74" s="8" t="s">
        <v>196</v>
      </c>
      <c r="C74" s="9" t="n">
        <v>233.989558771482</v>
      </c>
      <c r="D74" s="9" t="n">
        <v>252.673290863066</v>
      </c>
      <c r="E74" s="9" t="n">
        <v>48.5358109568408</v>
      </c>
      <c r="F74" s="10" t="n">
        <v>142.158519436545</v>
      </c>
      <c r="G74" s="12" t="n">
        <v>75.391657648025</v>
      </c>
      <c r="H74" s="12" t="n">
        <v>73.7437861866089</v>
      </c>
      <c r="I74" s="8" t="s">
        <v>194</v>
      </c>
      <c r="J74" s="8" t="s">
        <v>190</v>
      </c>
      <c r="K74" s="8" t="str">
        <f aca="false">IF(F74=_xlfn.MAXIFS($F$5:$F$74,$A$5:$A$74,A74),"best","")</f>
        <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77A24"/>
    <pageSetUpPr fitToPage="true"/>
  </sheetPr>
  <dimension ref="A1:N7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24"/>
    <col collapsed="false" customWidth="true" hidden="false" outlineLevel="0" max="15" min="4" style="0" width="11"/>
  </cols>
  <sheetData>
    <row r="1" customFormat="false" ht="17.35" hidden="false" customHeight="false" outlineLevel="0" collapsed="false">
      <c r="A1" s="1" t="s">
        <v>595</v>
      </c>
    </row>
    <row r="2" customFormat="false" ht="15" hidden="false" customHeight="false" outlineLevel="0" collapsed="false">
      <c r="A2" s="2" t="s">
        <v>596</v>
      </c>
    </row>
    <row r="4" customFormat="false" ht="30" hidden="false" customHeight="true" outlineLevel="0" collapsed="false">
      <c r="A4" s="7" t="s">
        <v>536</v>
      </c>
      <c r="B4" s="7" t="s">
        <v>538</v>
      </c>
      <c r="C4" s="7" t="s">
        <v>157</v>
      </c>
      <c r="D4" s="7" t="s">
        <v>32</v>
      </c>
      <c r="E4" s="7" t="s">
        <v>434</v>
      </c>
      <c r="F4" s="7" t="s">
        <v>435</v>
      </c>
      <c r="G4" s="7" t="s">
        <v>597</v>
      </c>
      <c r="H4" s="7" t="s">
        <v>598</v>
      </c>
      <c r="I4" s="7" t="s">
        <v>436</v>
      </c>
      <c r="J4" s="7" t="s">
        <v>437</v>
      </c>
      <c r="K4" s="7" t="s">
        <v>438</v>
      </c>
      <c r="L4" s="7" t="s">
        <v>439</v>
      </c>
      <c r="M4" s="7" t="s">
        <v>592</v>
      </c>
      <c r="N4" s="7" t="s">
        <v>441</v>
      </c>
    </row>
    <row r="5" customFormat="false" ht="15" hidden="false" customHeight="false" outlineLevel="0" collapsed="false">
      <c r="A5" s="37" t="s">
        <v>548</v>
      </c>
      <c r="B5" s="37" t="s">
        <v>97</v>
      </c>
      <c r="C5" s="37" t="s">
        <v>36</v>
      </c>
      <c r="D5" s="37" t="s">
        <v>37</v>
      </c>
      <c r="E5" s="38" t="n">
        <v>212.370707115408</v>
      </c>
      <c r="F5" s="38" t="n">
        <v>39.5421810417664</v>
      </c>
      <c r="G5" s="38" t="n">
        <v>15.9058606326434</v>
      </c>
      <c r="H5" s="38" t="n">
        <v>5.03770740845352</v>
      </c>
      <c r="I5" s="38" t="n">
        <v>249.952847937679</v>
      </c>
      <c r="J5" s="38" t="n">
        <v>46.64690991472</v>
      </c>
      <c r="K5" s="38" t="n">
        <v>116.216235692558</v>
      </c>
      <c r="L5" s="38" t="n">
        <v>68.0630162501727</v>
      </c>
      <c r="M5" s="38" t="n">
        <v>64.1569370750712</v>
      </c>
      <c r="N5" s="38" t="n">
        <v>0</v>
      </c>
    </row>
    <row r="6" customFormat="false" ht="15" hidden="false" customHeight="false" outlineLevel="0" collapsed="false">
      <c r="A6" s="37" t="s">
        <v>548</v>
      </c>
      <c r="B6" s="37" t="s">
        <v>97</v>
      </c>
      <c r="C6" s="37" t="s">
        <v>41</v>
      </c>
      <c r="D6" s="37" t="s">
        <v>42</v>
      </c>
      <c r="E6" s="38" t="n">
        <v>197.524078527406</v>
      </c>
      <c r="F6" s="38" t="n">
        <v>50.1021650036316</v>
      </c>
      <c r="G6" s="38" t="n">
        <v>15.8894021171473</v>
      </c>
      <c r="H6" s="38" t="n">
        <v>4.91816257006477</v>
      </c>
      <c r="I6" s="38" t="n">
        <v>199.832100696294</v>
      </c>
      <c r="J6" s="38" t="n">
        <v>24.9341345665839</v>
      </c>
      <c r="K6" s="38" t="n">
        <v>81.785812560389</v>
      </c>
      <c r="L6" s="38" t="n">
        <v>58.631731521967</v>
      </c>
      <c r="M6" s="38" t="n">
        <v>48.8876574280537</v>
      </c>
      <c r="N6" s="38" t="n">
        <v>0</v>
      </c>
    </row>
    <row r="7" customFormat="false" ht="15" hidden="false" customHeight="false" outlineLevel="0" collapsed="false">
      <c r="A7" s="37" t="s">
        <v>548</v>
      </c>
      <c r="B7" s="37" t="s">
        <v>97</v>
      </c>
      <c r="C7" s="37" t="s">
        <v>46</v>
      </c>
      <c r="D7" s="37" t="s">
        <v>47</v>
      </c>
      <c r="E7" s="38" t="n">
        <v>234.700094015825</v>
      </c>
      <c r="F7" s="38" t="n">
        <v>39.3709787908919</v>
      </c>
      <c r="G7" s="38" t="n">
        <v>15.9221667710777</v>
      </c>
      <c r="H7" s="38" t="n">
        <v>39.2538560628545</v>
      </c>
      <c r="I7" s="38" t="n">
        <v>277.757568723759</v>
      </c>
      <c r="J7" s="38" t="n">
        <v>84.5075687237593</v>
      </c>
      <c r="K7" s="38" t="n">
        <v>148.513018511566</v>
      </c>
      <c r="L7" s="38" t="n">
        <v>80.4911097263577</v>
      </c>
      <c r="M7" s="38" t="n">
        <v>73.5024762163575</v>
      </c>
      <c r="N7" s="38" t="n">
        <v>0</v>
      </c>
    </row>
    <row r="8" customFormat="false" ht="15" hidden="false" customHeight="false" outlineLevel="0" collapsed="false">
      <c r="A8" s="37" t="s">
        <v>548</v>
      </c>
      <c r="B8" s="37" t="s">
        <v>97</v>
      </c>
      <c r="C8" s="37" t="s">
        <v>51</v>
      </c>
      <c r="D8" s="37" t="s">
        <v>51</v>
      </c>
      <c r="E8" s="38" t="n">
        <v>226.219991539104</v>
      </c>
      <c r="F8" s="38" t="n">
        <v>43.7973263962411</v>
      </c>
      <c r="G8" s="38" t="n">
        <v>15.9221667710777</v>
      </c>
      <c r="H8" s="38" t="n">
        <v>24.6229816723716</v>
      </c>
      <c r="I8" s="38" t="n">
        <v>273.093995484319</v>
      </c>
      <c r="J8" s="38" t="n">
        <v>76.4202948494421</v>
      </c>
      <c r="K8" s="38" t="n">
        <v>143.753308710913</v>
      </c>
      <c r="L8" s="38" t="n">
        <v>76.7158581337386</v>
      </c>
      <c r="M8" s="38" t="n">
        <v>72.3100933040847</v>
      </c>
      <c r="N8" s="38" t="n">
        <v>0</v>
      </c>
    </row>
    <row r="9" customFormat="false" ht="15" hidden="false" customHeight="false" outlineLevel="0" collapsed="false">
      <c r="A9" s="37" t="s">
        <v>548</v>
      </c>
      <c r="B9" s="37" t="s">
        <v>97</v>
      </c>
      <c r="C9" s="37" t="s">
        <v>55</v>
      </c>
      <c r="D9" s="37" t="s">
        <v>37</v>
      </c>
      <c r="E9" s="38" t="n">
        <v>203.893159816572</v>
      </c>
      <c r="F9" s="38" t="n">
        <v>39.2463786901263</v>
      </c>
      <c r="G9" s="38" t="n">
        <v>15.9041943769392</v>
      </c>
      <c r="H9" s="38" t="n">
        <v>4.78960818182069</v>
      </c>
      <c r="I9" s="38" t="n">
        <v>257.077331171122</v>
      </c>
      <c r="J9" s="38" t="n">
        <v>56.3913350461927</v>
      </c>
      <c r="K9" s="38" t="n">
        <v>109.882212011446</v>
      </c>
      <c r="L9" s="38" t="n">
        <v>61.8035853090846</v>
      </c>
      <c r="M9" s="38" t="n">
        <v>58.5631559561693</v>
      </c>
      <c r="N9" s="38" t="n">
        <v>0</v>
      </c>
    </row>
    <row r="10" customFormat="false" ht="15" hidden="false" customHeight="false" outlineLevel="0" collapsed="false">
      <c r="A10" s="37" t="s">
        <v>548</v>
      </c>
      <c r="B10" s="37" t="s">
        <v>97</v>
      </c>
      <c r="C10" s="37" t="s">
        <v>59</v>
      </c>
      <c r="D10" s="37" t="s">
        <v>42</v>
      </c>
      <c r="E10" s="38" t="n">
        <v>193.278429750093</v>
      </c>
      <c r="F10" s="38" t="n">
        <v>51.9852683851449</v>
      </c>
      <c r="G10" s="38" t="n">
        <v>15.8883317838861</v>
      </c>
      <c r="H10" s="38" t="n">
        <v>4.71774603816191</v>
      </c>
      <c r="I10" s="38" t="n">
        <v>196.935099803728</v>
      </c>
      <c r="J10" s="38" t="n">
        <v>-1.68165802514184</v>
      </c>
      <c r="K10" s="38" t="n">
        <v>74.7460254168548</v>
      </c>
      <c r="L10" s="38" t="n">
        <v>51.7174939108118</v>
      </c>
      <c r="M10" s="38" t="n">
        <v>43.0224013575707</v>
      </c>
      <c r="N10" s="38" t="n">
        <v>0</v>
      </c>
    </row>
    <row r="11" customFormat="false" ht="15" hidden="false" customHeight="false" outlineLevel="0" collapsed="false">
      <c r="A11" s="37" t="s">
        <v>548</v>
      </c>
      <c r="B11" s="37" t="s">
        <v>97</v>
      </c>
      <c r="C11" s="37" t="s">
        <v>63</v>
      </c>
      <c r="D11" s="37" t="s">
        <v>47</v>
      </c>
      <c r="E11" s="38" t="n">
        <v>220.943888387599</v>
      </c>
      <c r="F11" s="38" t="n">
        <v>39.712694412157</v>
      </c>
      <c r="G11" s="38" t="n">
        <v>15.9081846931993</v>
      </c>
      <c r="H11" s="38" t="n">
        <v>38.7510974202793</v>
      </c>
      <c r="I11" s="38" t="n">
        <v>258.249273648956</v>
      </c>
      <c r="J11" s="38" t="n">
        <v>60.2694259405635</v>
      </c>
      <c r="K11" s="38" t="n">
        <v>127.259220008078</v>
      </c>
      <c r="L11" s="38" t="n">
        <v>69.2609583126287</v>
      </c>
      <c r="M11" s="38" t="n">
        <v>65.8006333236125</v>
      </c>
      <c r="N11" s="38" t="n">
        <v>0</v>
      </c>
    </row>
    <row r="12" customFormat="false" ht="15" hidden="false" customHeight="false" outlineLevel="0" collapsed="false">
      <c r="A12" s="37" t="s">
        <v>548</v>
      </c>
      <c r="B12" s="37" t="s">
        <v>97</v>
      </c>
      <c r="C12" s="37" t="s">
        <v>67</v>
      </c>
      <c r="D12" s="37" t="s">
        <v>68</v>
      </c>
      <c r="E12" s="38" t="n">
        <v>198.164187821147</v>
      </c>
      <c r="F12" s="38" t="n">
        <v>40.652857342268</v>
      </c>
      <c r="G12" s="38" t="n">
        <v>15.1216882833063</v>
      </c>
      <c r="H12" s="38" t="n">
        <v>4.99119857494195</v>
      </c>
      <c r="I12" s="38" t="n">
        <v>214.012726287484</v>
      </c>
      <c r="J12" s="38" t="n">
        <v>32.5127262874841</v>
      </c>
      <c r="K12" s="38" t="n">
        <v>110.903443154202</v>
      </c>
      <c r="L12" s="38" t="n">
        <v>63.6532932047838</v>
      </c>
      <c r="M12" s="38" t="n">
        <v>59.6811526623173</v>
      </c>
      <c r="N12" s="38" t="n">
        <v>0</v>
      </c>
    </row>
    <row r="13" customFormat="false" ht="15" hidden="false" customHeight="false" outlineLevel="0" collapsed="false">
      <c r="A13" s="37" t="s">
        <v>548</v>
      </c>
      <c r="B13" s="37" t="s">
        <v>97</v>
      </c>
      <c r="C13" s="37" t="s">
        <v>72</v>
      </c>
      <c r="D13" s="37" t="s">
        <v>73</v>
      </c>
      <c r="E13" s="38" t="n">
        <v>196.351794110749</v>
      </c>
      <c r="F13" s="38" t="n">
        <v>40.775677806062</v>
      </c>
      <c r="G13" s="38" t="n">
        <v>15.9221667710777</v>
      </c>
      <c r="H13" s="38" t="n">
        <v>10.6457555394483</v>
      </c>
      <c r="I13" s="38" t="n">
        <v>223.165781054338</v>
      </c>
      <c r="J13" s="38" t="n">
        <v>186.793796927354</v>
      </c>
      <c r="K13" s="38" t="n">
        <v>102.814591851321</v>
      </c>
      <c r="L13" s="38" t="n">
        <v>64.4334498341436</v>
      </c>
      <c r="M13" s="38" t="n">
        <v>55.2704796867667</v>
      </c>
      <c r="N13" s="38" t="n">
        <v>0</v>
      </c>
    </row>
    <row r="14" customFormat="false" ht="15" hidden="false" customHeight="false" outlineLevel="0" collapsed="false">
      <c r="A14" s="37" t="s">
        <v>548</v>
      </c>
      <c r="B14" s="37" t="s">
        <v>97</v>
      </c>
      <c r="C14" s="37" t="s">
        <v>77</v>
      </c>
      <c r="D14" s="37" t="s">
        <v>78</v>
      </c>
      <c r="E14" s="38" t="n">
        <v>233.349231609353</v>
      </c>
      <c r="F14" s="38" t="n">
        <v>51.6606518328984</v>
      </c>
      <c r="G14" s="38" t="n">
        <v>16.0401527282242</v>
      </c>
      <c r="H14" s="38" t="n">
        <v>23.6310096401959</v>
      </c>
      <c r="I14" s="38" t="n">
        <v>262.124995596988</v>
      </c>
      <c r="J14" s="38" t="n">
        <v>80.9044195188667</v>
      </c>
      <c r="K14" s="38" t="n">
        <v>148.821126742347</v>
      </c>
      <c r="L14" s="38" t="n">
        <v>80.3311388707526</v>
      </c>
      <c r="M14" s="38" t="n">
        <v>76.1393359829545</v>
      </c>
      <c r="N14" s="38" t="n">
        <v>0</v>
      </c>
    </row>
    <row r="15" customFormat="false" ht="15" hidden="false" customHeight="false" outlineLevel="0" collapsed="false">
      <c r="A15" s="37" t="s">
        <v>548</v>
      </c>
      <c r="B15" s="37" t="s">
        <v>100</v>
      </c>
      <c r="C15" s="37" t="s">
        <v>36</v>
      </c>
      <c r="D15" s="37" t="s">
        <v>37</v>
      </c>
      <c r="E15" s="38" t="n">
        <v>202.950145937118</v>
      </c>
      <c r="F15" s="38" t="n">
        <v>39.5249458138505</v>
      </c>
      <c r="G15" s="38" t="n">
        <v>15.9056160606976</v>
      </c>
      <c r="H15" s="38" t="n">
        <v>5.01869644449263</v>
      </c>
      <c r="I15" s="38" t="n">
        <v>229.508766299505</v>
      </c>
      <c r="J15" s="38" t="n">
        <v>37.2869625367352</v>
      </c>
      <c r="K15" s="38" t="n">
        <v>103.928290903108</v>
      </c>
      <c r="L15" s="38" t="n">
        <v>63.0982195793117</v>
      </c>
      <c r="M15" s="38" t="n">
        <v>59.0253835543121</v>
      </c>
      <c r="N15" s="38" t="n">
        <v>0</v>
      </c>
    </row>
    <row r="16" customFormat="false" ht="15" hidden="false" customHeight="false" outlineLevel="0" collapsed="false">
      <c r="A16" s="37" t="s">
        <v>548</v>
      </c>
      <c r="B16" s="37" t="s">
        <v>100</v>
      </c>
      <c r="C16" s="37" t="s">
        <v>41</v>
      </c>
      <c r="D16" s="37" t="s">
        <v>42</v>
      </c>
      <c r="E16" s="38" t="n">
        <v>190.078740375448</v>
      </c>
      <c r="F16" s="38" t="n">
        <v>50.0742214826534</v>
      </c>
      <c r="G16" s="38" t="n">
        <v>15.8893718035808</v>
      </c>
      <c r="H16" s="38" t="n">
        <v>4.91105759022253</v>
      </c>
      <c r="I16" s="38" t="n">
        <v>181.554633365507</v>
      </c>
      <c r="J16" s="38" t="n">
        <v>13.7606241530431</v>
      </c>
      <c r="K16" s="38" t="n">
        <v>71.5753020320829</v>
      </c>
      <c r="L16" s="38" t="n">
        <v>56.3728872821593</v>
      </c>
      <c r="M16" s="38" t="n">
        <v>44.5825478495417</v>
      </c>
      <c r="N16" s="38" t="n">
        <v>0</v>
      </c>
    </row>
    <row r="17" customFormat="false" ht="15" hidden="false" customHeight="false" outlineLevel="0" collapsed="false">
      <c r="A17" s="37" t="s">
        <v>548</v>
      </c>
      <c r="B17" s="37" t="s">
        <v>100</v>
      </c>
      <c r="C17" s="37" t="s">
        <v>46</v>
      </c>
      <c r="D17" s="37" t="s">
        <v>47</v>
      </c>
      <c r="E17" s="38" t="n">
        <v>227.868907187356</v>
      </c>
      <c r="F17" s="38" t="n">
        <v>39.3556261278555</v>
      </c>
      <c r="G17" s="38" t="n">
        <v>15.9221667710777</v>
      </c>
      <c r="H17" s="38" t="n">
        <v>39.2538560628545</v>
      </c>
      <c r="I17" s="38" t="n">
        <v>263.038892916748</v>
      </c>
      <c r="J17" s="38" t="n">
        <v>69.7888929167484</v>
      </c>
      <c r="K17" s="38" t="n">
        <v>142.522391223537</v>
      </c>
      <c r="L17" s="38" t="n">
        <v>78.5344611179534</v>
      </c>
      <c r="M17" s="38" t="n">
        <v>70.8401073386788</v>
      </c>
      <c r="N17" s="38" t="n">
        <v>0</v>
      </c>
    </row>
    <row r="18" customFormat="false" ht="15" hidden="false" customHeight="false" outlineLevel="0" collapsed="false">
      <c r="A18" s="37" t="s">
        <v>548</v>
      </c>
      <c r="B18" s="37" t="s">
        <v>100</v>
      </c>
      <c r="C18" s="37" t="s">
        <v>51</v>
      </c>
      <c r="D18" s="37" t="s">
        <v>51</v>
      </c>
      <c r="E18" s="38" t="n">
        <v>218.474648890562</v>
      </c>
      <c r="F18" s="38" t="n">
        <v>43.7730564105364</v>
      </c>
      <c r="G18" s="38" t="n">
        <v>15.9221667710777</v>
      </c>
      <c r="H18" s="38" t="n">
        <v>24.6229816723716</v>
      </c>
      <c r="I18" s="38" t="n">
        <v>255.453819435294</v>
      </c>
      <c r="J18" s="38" t="n">
        <v>58.7801188004165</v>
      </c>
      <c r="K18" s="38" t="n">
        <v>136.530234188364</v>
      </c>
      <c r="L18" s="38" t="n">
        <v>74.6450416365023</v>
      </c>
      <c r="M18" s="38" t="n">
        <v>69.0718638906456</v>
      </c>
      <c r="N18" s="38" t="n">
        <v>0</v>
      </c>
    </row>
    <row r="19" customFormat="false" ht="15" hidden="false" customHeight="false" outlineLevel="0" collapsed="false">
      <c r="A19" s="37" t="s">
        <v>548</v>
      </c>
      <c r="B19" s="37" t="s">
        <v>100</v>
      </c>
      <c r="C19" s="37" t="s">
        <v>55</v>
      </c>
      <c r="D19" s="37" t="s">
        <v>37</v>
      </c>
      <c r="E19" s="38" t="n">
        <v>194.867857398629</v>
      </c>
      <c r="F19" s="38" t="n">
        <v>39.2284913252066</v>
      </c>
      <c r="G19" s="38" t="n">
        <v>15.9039319267884</v>
      </c>
      <c r="H19" s="38" t="n">
        <v>4.78960818182069</v>
      </c>
      <c r="I19" s="38" t="n">
        <v>235.874137837083</v>
      </c>
      <c r="J19" s="38" t="n">
        <v>35.0101424263789</v>
      </c>
      <c r="K19" s="38" t="n">
        <v>95.5586654226419</v>
      </c>
      <c r="L19" s="38" t="n">
        <v>59.2678402670938</v>
      </c>
      <c r="M19" s="38" t="n">
        <v>53.1185849026026</v>
      </c>
      <c r="N19" s="38" t="n">
        <v>0</v>
      </c>
    </row>
    <row r="20" customFormat="false" ht="15" hidden="false" customHeight="false" outlineLevel="0" collapsed="false">
      <c r="A20" s="37" t="s">
        <v>548</v>
      </c>
      <c r="B20" s="37" t="s">
        <v>100</v>
      </c>
      <c r="C20" s="37" t="s">
        <v>59</v>
      </c>
      <c r="D20" s="37" t="s">
        <v>42</v>
      </c>
      <c r="E20" s="38" t="n">
        <v>186.130449586425</v>
      </c>
      <c r="F20" s="38" t="n">
        <v>51.953852951744</v>
      </c>
      <c r="G20" s="38" t="n">
        <v>15.8883305001523</v>
      </c>
      <c r="H20" s="38" t="n">
        <v>4.71774603816191</v>
      </c>
      <c r="I20" s="38" t="n">
        <v>178.615236810712</v>
      </c>
      <c r="J20" s="38" t="n">
        <v>-20.0015527509312</v>
      </c>
      <c r="K20" s="38" t="n">
        <v>63.7172046991819</v>
      </c>
      <c r="L20" s="38" t="n">
        <v>49.7278760676774</v>
      </c>
      <c r="M20" s="38" t="n">
        <v>38.9805701072034</v>
      </c>
      <c r="N20" s="38" t="n">
        <v>0</v>
      </c>
    </row>
    <row r="21" customFormat="false" ht="15" hidden="false" customHeight="false" outlineLevel="0" collapsed="false">
      <c r="A21" s="37" t="s">
        <v>548</v>
      </c>
      <c r="B21" s="37" t="s">
        <v>100</v>
      </c>
      <c r="C21" s="37" t="s">
        <v>63</v>
      </c>
      <c r="D21" s="37" t="s">
        <v>47</v>
      </c>
      <c r="E21" s="38" t="n">
        <v>214.317719673752</v>
      </c>
      <c r="F21" s="38" t="n">
        <v>39.6948303608211</v>
      </c>
      <c r="G21" s="38" t="n">
        <v>15.9080133865028</v>
      </c>
      <c r="H21" s="38" t="n">
        <v>38.7510974202793</v>
      </c>
      <c r="I21" s="38" t="n">
        <v>243.368389773763</v>
      </c>
      <c r="J21" s="38" t="n">
        <v>45.2723719919813</v>
      </c>
      <c r="K21" s="38" t="n">
        <v>120.91943393123</v>
      </c>
      <c r="L21" s="38" t="n">
        <v>67.3986946198383</v>
      </c>
      <c r="M21" s="38" t="n">
        <v>62.9379819464325</v>
      </c>
      <c r="N21" s="38" t="n">
        <v>0</v>
      </c>
    </row>
    <row r="22" customFormat="false" ht="15" hidden="false" customHeight="false" outlineLevel="0" collapsed="false">
      <c r="A22" s="37" t="s">
        <v>548</v>
      </c>
      <c r="B22" s="37" t="s">
        <v>100</v>
      </c>
      <c r="C22" s="37" t="s">
        <v>67</v>
      </c>
      <c r="D22" s="37" t="s">
        <v>68</v>
      </c>
      <c r="E22" s="38" t="n">
        <v>190.226847409267</v>
      </c>
      <c r="F22" s="38" t="n">
        <v>40.6366582197403</v>
      </c>
      <c r="G22" s="38" t="n">
        <v>15.1154131366612</v>
      </c>
      <c r="H22" s="38" t="n">
        <v>4.9853863148386</v>
      </c>
      <c r="I22" s="38" t="n">
        <v>195.10628327223</v>
      </c>
      <c r="J22" s="38" t="n">
        <v>24.4408269101123</v>
      </c>
      <c r="K22" s="38" t="n">
        <v>94.9707821822824</v>
      </c>
      <c r="L22" s="38" t="n">
        <v>61.7346447275285</v>
      </c>
      <c r="M22" s="38" t="n">
        <v>53.6342685768191</v>
      </c>
      <c r="N22" s="38" t="n">
        <v>0</v>
      </c>
    </row>
    <row r="23" customFormat="false" ht="15" hidden="false" customHeight="false" outlineLevel="0" collapsed="false">
      <c r="A23" s="37" t="s">
        <v>548</v>
      </c>
      <c r="B23" s="37" t="s">
        <v>100</v>
      </c>
      <c r="C23" s="37" t="s">
        <v>72</v>
      </c>
      <c r="D23" s="37" t="s">
        <v>73</v>
      </c>
      <c r="E23" s="38" t="n">
        <v>188.815425864912</v>
      </c>
      <c r="F23" s="38" t="n">
        <v>40.7565261267345</v>
      </c>
      <c r="G23" s="38" t="n">
        <v>15.9221667710777</v>
      </c>
      <c r="H23" s="38" t="n">
        <v>10.6457555394483</v>
      </c>
      <c r="I23" s="38" t="n">
        <v>204.579515588857</v>
      </c>
      <c r="J23" s="38" t="n">
        <v>168.207531461873</v>
      </c>
      <c r="K23" s="38" t="n">
        <v>94.1061878235855</v>
      </c>
      <c r="L23" s="38" t="n">
        <v>62.8539373157046</v>
      </c>
      <c r="M23" s="38" t="n">
        <v>51.5563121168706</v>
      </c>
      <c r="N23" s="38" t="n">
        <v>0</v>
      </c>
    </row>
    <row r="24" customFormat="false" ht="15" hidden="false" customHeight="false" outlineLevel="0" collapsed="false">
      <c r="A24" s="37" t="s">
        <v>548</v>
      </c>
      <c r="B24" s="37" t="s">
        <v>100</v>
      </c>
      <c r="C24" s="37" t="s">
        <v>77</v>
      </c>
      <c r="D24" s="37" t="s">
        <v>78</v>
      </c>
      <c r="E24" s="38" t="n">
        <v>225.724133677638</v>
      </c>
      <c r="F24" s="38" t="n">
        <v>51.6376315675158</v>
      </c>
      <c r="G24" s="38" t="n">
        <v>16.0401520029203</v>
      </c>
      <c r="H24" s="38" t="n">
        <v>23.6310096401959</v>
      </c>
      <c r="I24" s="38" t="n">
        <v>245.024770145065</v>
      </c>
      <c r="J24" s="38" t="n">
        <v>63.8038604227004</v>
      </c>
      <c r="K24" s="38" t="n">
        <v>141.941461490593</v>
      </c>
      <c r="L24" s="38" t="n">
        <v>78.1777093584608</v>
      </c>
      <c r="M24" s="38" t="n">
        <v>73.0989107385619</v>
      </c>
      <c r="N24" s="38" t="n">
        <v>0</v>
      </c>
    </row>
    <row r="25" customFormat="false" ht="15" hidden="false" customHeight="false" outlineLevel="0" collapsed="false">
      <c r="A25" s="37" t="s">
        <v>548</v>
      </c>
      <c r="B25" s="37" t="s">
        <v>106</v>
      </c>
      <c r="C25" s="37" t="s">
        <v>36</v>
      </c>
      <c r="D25" s="37" t="s">
        <v>37</v>
      </c>
      <c r="E25" s="38" t="n">
        <v>213.363638940925</v>
      </c>
      <c r="F25" s="38" t="n">
        <v>40.5305429523825</v>
      </c>
      <c r="G25" s="38" t="n">
        <v>15.9058712307534</v>
      </c>
      <c r="H25" s="38" t="n">
        <v>5.03770740845352</v>
      </c>
      <c r="I25" s="38" t="n">
        <v>251.265760454025</v>
      </c>
      <c r="J25" s="38" t="n">
        <v>47.967009914323</v>
      </c>
      <c r="K25" s="38" t="n">
        <v>117.736772456626</v>
      </c>
      <c r="L25" s="38" t="n">
        <v>69.726003373693</v>
      </c>
      <c r="M25" s="38" t="n">
        <v>64.7894285187431</v>
      </c>
      <c r="N25" s="38" t="n">
        <v>0</v>
      </c>
    </row>
    <row r="26" customFormat="false" ht="15" hidden="false" customHeight="false" outlineLevel="0" collapsed="false">
      <c r="A26" s="37" t="s">
        <v>548</v>
      </c>
      <c r="B26" s="37" t="s">
        <v>106</v>
      </c>
      <c r="C26" s="37" t="s">
        <v>41</v>
      </c>
      <c r="D26" s="37" t="s">
        <v>42</v>
      </c>
      <c r="E26" s="38" t="n">
        <v>199.40706728234</v>
      </c>
      <c r="F26" s="38" t="n">
        <v>51.9464254308998</v>
      </c>
      <c r="G26" s="38" t="n">
        <v>15.889489180681</v>
      </c>
      <c r="H26" s="38" t="n">
        <v>4.92033572219715</v>
      </c>
      <c r="I26" s="38" t="n">
        <v>202.128721099823</v>
      </c>
      <c r="J26" s="38" t="n">
        <v>24.9482452088025</v>
      </c>
      <c r="K26" s="38" t="n">
        <v>84.9326139905197</v>
      </c>
      <c r="L26" s="38" t="n">
        <v>59.4008433085104</v>
      </c>
      <c r="M26" s="38" t="n">
        <v>50.22099298396</v>
      </c>
      <c r="N26" s="38" t="n">
        <v>0</v>
      </c>
    </row>
    <row r="27" customFormat="false" ht="15" hidden="false" customHeight="false" outlineLevel="0" collapsed="false">
      <c r="A27" s="37" t="s">
        <v>548</v>
      </c>
      <c r="B27" s="37" t="s">
        <v>106</v>
      </c>
      <c r="C27" s="37" t="s">
        <v>46</v>
      </c>
      <c r="D27" s="37" t="s">
        <v>47</v>
      </c>
      <c r="E27" s="38" t="n">
        <v>235.88189727323</v>
      </c>
      <c r="F27" s="38" t="n">
        <v>40.5527820482971</v>
      </c>
      <c r="G27" s="38" t="n">
        <v>15.9221667710777</v>
      </c>
      <c r="H27" s="38" t="n">
        <v>39.2538560628545</v>
      </c>
      <c r="I27" s="38" t="n">
        <v>279.274354433948</v>
      </c>
      <c r="J27" s="38" t="n">
        <v>86.0243544339484</v>
      </c>
      <c r="K27" s="38" t="n">
        <v>150.248520200989</v>
      </c>
      <c r="L27" s="38" t="n">
        <v>80.875316749652</v>
      </c>
      <c r="M27" s="38" t="n">
        <v>74.2648575990183</v>
      </c>
      <c r="N27" s="38" t="n">
        <v>0</v>
      </c>
    </row>
    <row r="28" customFormat="false" ht="15" hidden="false" customHeight="false" outlineLevel="0" collapsed="false">
      <c r="A28" s="37" t="s">
        <v>548</v>
      </c>
      <c r="B28" s="37" t="s">
        <v>106</v>
      </c>
      <c r="C28" s="37" t="s">
        <v>51</v>
      </c>
      <c r="D28" s="37" t="s">
        <v>51</v>
      </c>
      <c r="E28" s="38" t="n">
        <v>227.830786615246</v>
      </c>
      <c r="F28" s="38" t="n">
        <v>45.4081214723827</v>
      </c>
      <c r="G28" s="38" t="n">
        <v>15.9221667710777</v>
      </c>
      <c r="H28" s="38" t="n">
        <v>24.6229816723716</v>
      </c>
      <c r="I28" s="38" t="n">
        <v>275.044476412838</v>
      </c>
      <c r="J28" s="38" t="n">
        <v>78.3707757779612</v>
      </c>
      <c r="K28" s="38" t="n">
        <v>146.226156105372</v>
      </c>
      <c r="L28" s="38" t="n">
        <v>77.2939840915416</v>
      </c>
      <c r="M28" s="38" t="n">
        <v>73.3797450437737</v>
      </c>
      <c r="N28" s="38" t="n">
        <v>0</v>
      </c>
    </row>
    <row r="29" customFormat="false" ht="15" hidden="false" customHeight="false" outlineLevel="0" collapsed="false">
      <c r="A29" s="37" t="s">
        <v>548</v>
      </c>
      <c r="B29" s="37" t="s">
        <v>106</v>
      </c>
      <c r="C29" s="37" t="s">
        <v>55</v>
      </c>
      <c r="D29" s="37" t="s">
        <v>37</v>
      </c>
      <c r="E29" s="38" t="n">
        <v>204.847832855894</v>
      </c>
      <c r="F29" s="38" t="n">
        <v>40.1970988241999</v>
      </c>
      <c r="G29" s="38" t="n">
        <v>15.90420485001</v>
      </c>
      <c r="H29" s="38" t="n">
        <v>4.78960818182069</v>
      </c>
      <c r="I29" s="38" t="n">
        <v>258.374121162751</v>
      </c>
      <c r="J29" s="38" t="n">
        <v>57.6952280691762</v>
      </c>
      <c r="K29" s="38" t="n">
        <v>111.385717544233</v>
      </c>
      <c r="L29" s="38" t="n">
        <v>62.1419291015761</v>
      </c>
      <c r="M29" s="38" t="n">
        <v>59.2081002110734</v>
      </c>
      <c r="N29" s="38" t="n">
        <v>0</v>
      </c>
    </row>
    <row r="30" customFormat="false" ht="15" hidden="false" customHeight="false" outlineLevel="0" collapsed="false">
      <c r="A30" s="37" t="s">
        <v>548</v>
      </c>
      <c r="B30" s="37" t="s">
        <v>106</v>
      </c>
      <c r="C30" s="37" t="s">
        <v>59</v>
      </c>
      <c r="D30" s="37" t="s">
        <v>42</v>
      </c>
      <c r="E30" s="38" t="n">
        <v>195.251547067355</v>
      </c>
      <c r="F30" s="38" t="n">
        <v>53.9573017287729</v>
      </c>
      <c r="G30" s="38" t="n">
        <v>15.8884117407786</v>
      </c>
      <c r="H30" s="38" t="n">
        <v>4.71774603816191</v>
      </c>
      <c r="I30" s="38" t="n">
        <v>199.448429187542</v>
      </c>
      <c r="J30" s="38" t="n">
        <v>0.833658122609528</v>
      </c>
      <c r="K30" s="38" t="n">
        <v>78.4230170542657</v>
      </c>
      <c r="L30" s="38" t="n">
        <v>52.4713798292206</v>
      </c>
      <c r="M30" s="38" t="n">
        <v>44.3726118010413</v>
      </c>
      <c r="N30" s="38" t="n">
        <v>0</v>
      </c>
    </row>
    <row r="31" customFormat="false" ht="15" hidden="false" customHeight="false" outlineLevel="0" collapsed="false">
      <c r="A31" s="37" t="s">
        <v>548</v>
      </c>
      <c r="B31" s="37" t="s">
        <v>106</v>
      </c>
      <c r="C31" s="37" t="s">
        <v>63</v>
      </c>
      <c r="D31" s="37" t="s">
        <v>47</v>
      </c>
      <c r="E31" s="38" t="n">
        <v>222.078287634459</v>
      </c>
      <c r="F31" s="38" t="n">
        <v>40.8440038492281</v>
      </c>
      <c r="G31" s="38" t="n">
        <v>15.9081949382506</v>
      </c>
      <c r="H31" s="38" t="n">
        <v>38.7510974202793</v>
      </c>
      <c r="I31" s="38" t="n">
        <v>259.761147969346</v>
      </c>
      <c r="J31" s="38" t="n">
        <v>61.7882478305437</v>
      </c>
      <c r="K31" s="38" t="n">
        <v>129.005723571735</v>
      </c>
      <c r="L31" s="38" t="n">
        <v>69.6331455178802</v>
      </c>
      <c r="M31" s="38" t="n">
        <v>66.5200266748581</v>
      </c>
      <c r="N31" s="38" t="n">
        <v>0</v>
      </c>
    </row>
    <row r="32" customFormat="false" ht="15" hidden="false" customHeight="false" outlineLevel="0" collapsed="false">
      <c r="A32" s="37" t="s">
        <v>548</v>
      </c>
      <c r="B32" s="37" t="s">
        <v>106</v>
      </c>
      <c r="C32" s="37" t="s">
        <v>67</v>
      </c>
      <c r="D32" s="37" t="s">
        <v>68</v>
      </c>
      <c r="E32" s="38" t="n">
        <v>199.230621608548</v>
      </c>
      <c r="F32" s="38" t="n">
        <v>41.7183815699539</v>
      </c>
      <c r="G32" s="38" t="n">
        <v>15.1221830078397</v>
      </c>
      <c r="H32" s="38" t="n">
        <v>4.99119857494195</v>
      </c>
      <c r="I32" s="38" t="n">
        <v>215.493885950038</v>
      </c>
      <c r="J32" s="38" t="n">
        <v>33.9938859500379</v>
      </c>
      <c r="K32" s="38" t="n">
        <v>113.982206931249</v>
      </c>
      <c r="L32" s="38" t="n">
        <v>64.0559097651232</v>
      </c>
      <c r="M32" s="38" t="n">
        <v>60.8008290647047</v>
      </c>
      <c r="N32" s="38" t="n">
        <v>0</v>
      </c>
    </row>
    <row r="33" customFormat="false" ht="15" hidden="false" customHeight="false" outlineLevel="0" collapsed="false">
      <c r="A33" s="37" t="s">
        <v>548</v>
      </c>
      <c r="B33" s="37" t="s">
        <v>106</v>
      </c>
      <c r="C33" s="37" t="s">
        <v>72</v>
      </c>
      <c r="D33" s="37" t="s">
        <v>73</v>
      </c>
      <c r="E33" s="38" t="n">
        <v>197.512499548908</v>
      </c>
      <c r="F33" s="38" t="n">
        <v>41.936383244221</v>
      </c>
      <c r="G33" s="38" t="n">
        <v>15.9221667710777</v>
      </c>
      <c r="H33" s="38" t="n">
        <v>10.6457555394483</v>
      </c>
      <c r="I33" s="38" t="n">
        <v>224.76074662959</v>
      </c>
      <c r="J33" s="38" t="n">
        <v>188.388762502606</v>
      </c>
      <c r="K33" s="38" t="n">
        <v>104.830721098633</v>
      </c>
      <c r="L33" s="38" t="n">
        <v>64.8231824769055</v>
      </c>
      <c r="M33" s="38" t="n">
        <v>56.1269832937837</v>
      </c>
      <c r="N33" s="38" t="n">
        <v>0</v>
      </c>
    </row>
    <row r="34" customFormat="false" ht="15" hidden="false" customHeight="false" outlineLevel="0" collapsed="false">
      <c r="A34" s="37" t="s">
        <v>548</v>
      </c>
      <c r="B34" s="37" t="s">
        <v>106</v>
      </c>
      <c r="C34" s="37" t="s">
        <v>77</v>
      </c>
      <c r="D34" s="37" t="s">
        <v>78</v>
      </c>
      <c r="E34" s="38" t="n">
        <v>234.931116020749</v>
      </c>
      <c r="F34" s="38" t="n">
        <v>53.2406932995625</v>
      </c>
      <c r="G34" s="38" t="n">
        <v>16.0401985558421</v>
      </c>
      <c r="H34" s="38" t="n">
        <v>23.6310096401959</v>
      </c>
      <c r="I34" s="38" t="n">
        <v>263.985120463453</v>
      </c>
      <c r="J34" s="38" t="n">
        <v>82.7856405341309</v>
      </c>
      <c r="K34" s="38" t="n">
        <v>151.319988340492</v>
      </c>
      <c r="L34" s="38" t="n">
        <v>80.9324641237198</v>
      </c>
      <c r="M34" s="38" t="n">
        <v>77.2226894346211</v>
      </c>
      <c r="N34" s="38" t="n">
        <v>0</v>
      </c>
    </row>
    <row r="35" customFormat="false" ht="15" hidden="false" customHeight="false" outlineLevel="0" collapsed="false">
      <c r="A35" s="37" t="s">
        <v>548</v>
      </c>
      <c r="B35" s="37" t="s">
        <v>112</v>
      </c>
      <c r="C35" s="37" t="s">
        <v>36</v>
      </c>
      <c r="D35" s="37" t="s">
        <v>37</v>
      </c>
      <c r="E35" s="38" t="n">
        <v>213.309286489797</v>
      </c>
      <c r="F35" s="38" t="n">
        <v>39.5422805649425</v>
      </c>
      <c r="G35" s="38" t="n">
        <v>15.9058779500925</v>
      </c>
      <c r="H35" s="38" t="n">
        <v>5.96872004502589</v>
      </c>
      <c r="I35" s="38" t="n">
        <v>253.268471013396</v>
      </c>
      <c r="J35" s="38" t="n">
        <v>49.9742774300582</v>
      </c>
      <c r="K35" s="38" t="n">
        <v>117.145318810739</v>
      </c>
      <c r="L35" s="38" t="n">
        <v>69.7165482303915</v>
      </c>
      <c r="M35" s="38" t="n">
        <v>64.6388956719026</v>
      </c>
      <c r="N35" s="38" t="n">
        <v>0</v>
      </c>
    </row>
    <row r="36" customFormat="false" ht="15" hidden="false" customHeight="false" outlineLevel="0" collapsed="false">
      <c r="A36" s="37" t="s">
        <v>548</v>
      </c>
      <c r="B36" s="37" t="s">
        <v>112</v>
      </c>
      <c r="C36" s="37" t="s">
        <v>41</v>
      </c>
      <c r="D36" s="37" t="s">
        <v>42</v>
      </c>
      <c r="E36" s="38" t="n">
        <v>198.477424003857</v>
      </c>
      <c r="F36" s="38" t="n">
        <v>50.1020143657943</v>
      </c>
      <c r="G36" s="38" t="n">
        <v>15.8894195513068</v>
      </c>
      <c r="H36" s="38" t="n">
        <v>5.81148718529775</v>
      </c>
      <c r="I36" s="38" t="n">
        <v>203.237459867311</v>
      </c>
      <c r="J36" s="38" t="n">
        <v>24.9519054144955</v>
      </c>
      <c r="K36" s="38" t="n">
        <v>82.7969712973782</v>
      </c>
      <c r="L36" s="38" t="n">
        <v>59.0925354525913</v>
      </c>
      <c r="M36" s="38" t="n">
        <v>49.445829454376</v>
      </c>
      <c r="N36" s="38" t="n">
        <v>0</v>
      </c>
    </row>
    <row r="37" customFormat="false" ht="15" hidden="false" customHeight="false" outlineLevel="0" collapsed="false">
      <c r="A37" s="37" t="s">
        <v>548</v>
      </c>
      <c r="B37" s="37" t="s">
        <v>112</v>
      </c>
      <c r="C37" s="37" t="s">
        <v>46</v>
      </c>
      <c r="D37" s="37" t="s">
        <v>47</v>
      </c>
      <c r="E37" s="38" t="n">
        <v>252.522762223376</v>
      </c>
      <c r="F37" s="38" t="n">
        <v>39.4419588705632</v>
      </c>
      <c r="G37" s="38" t="n">
        <v>15.9221667710777</v>
      </c>
      <c r="H37" s="38" t="n">
        <v>57.0055441907341</v>
      </c>
      <c r="I37" s="38" t="n">
        <v>328.843902120726</v>
      </c>
      <c r="J37" s="38" t="n">
        <v>135.593902120726</v>
      </c>
      <c r="K37" s="38" t="n">
        <v>164.088487624852</v>
      </c>
      <c r="L37" s="38" t="n">
        <v>85.4303808895075</v>
      </c>
      <c r="M37" s="38" t="n">
        <v>79.0402611223356</v>
      </c>
      <c r="N37" s="38" t="n">
        <v>0</v>
      </c>
    </row>
    <row r="38" customFormat="false" ht="15" hidden="false" customHeight="false" outlineLevel="0" collapsed="false">
      <c r="A38" s="37" t="s">
        <v>548</v>
      </c>
      <c r="B38" s="37" t="s">
        <v>112</v>
      </c>
      <c r="C38" s="37" t="s">
        <v>51</v>
      </c>
      <c r="D38" s="37" t="s">
        <v>51</v>
      </c>
      <c r="E38" s="38" t="n">
        <v>238.715110496552</v>
      </c>
      <c r="F38" s="38" t="n">
        <v>43.849679270114</v>
      </c>
      <c r="G38" s="38" t="n">
        <v>15.9221667710777</v>
      </c>
      <c r="H38" s="38" t="n">
        <v>37.0657477559462</v>
      </c>
      <c r="I38" s="38" t="n">
        <v>304.016802758693</v>
      </c>
      <c r="J38" s="38" t="n">
        <v>107.343102123816</v>
      </c>
      <c r="K38" s="38" t="n">
        <v>156.046064781828</v>
      </c>
      <c r="L38" s="38" t="n">
        <v>80.9205604049363</v>
      </c>
      <c r="M38" s="38" t="n">
        <v>76.9391116995412</v>
      </c>
      <c r="N38" s="38" t="n">
        <v>0</v>
      </c>
    </row>
    <row r="39" customFormat="false" ht="15" hidden="false" customHeight="false" outlineLevel="0" collapsed="false">
      <c r="A39" s="37" t="s">
        <v>548</v>
      </c>
      <c r="B39" s="37" t="s">
        <v>112</v>
      </c>
      <c r="C39" s="37" t="s">
        <v>55</v>
      </c>
      <c r="D39" s="37" t="s">
        <v>37</v>
      </c>
      <c r="E39" s="38" t="n">
        <v>204.751989201875</v>
      </c>
      <c r="F39" s="38" t="n">
        <v>39.2464716086814</v>
      </c>
      <c r="G39" s="38" t="n">
        <v>15.9042109404651</v>
      </c>
      <c r="H39" s="38" t="n">
        <v>5.64209299144803</v>
      </c>
      <c r="I39" s="38" t="n">
        <v>260.268433766936</v>
      </c>
      <c r="J39" s="38" t="n">
        <v>59.5936713322498</v>
      </c>
      <c r="K39" s="38" t="n">
        <v>110.746166773557</v>
      </c>
      <c r="L39" s="38" t="n">
        <v>62.1210375707442</v>
      </c>
      <c r="M39" s="38" t="n">
        <v>59.0147212477369</v>
      </c>
      <c r="N39" s="38" t="n">
        <v>0</v>
      </c>
    </row>
    <row r="40" customFormat="false" ht="15" hidden="false" customHeight="false" outlineLevel="0" collapsed="false">
      <c r="A40" s="37" t="s">
        <v>548</v>
      </c>
      <c r="B40" s="37" t="s">
        <v>112</v>
      </c>
      <c r="C40" s="37" t="s">
        <v>59</v>
      </c>
      <c r="D40" s="37" t="s">
        <v>42</v>
      </c>
      <c r="E40" s="38" t="n">
        <v>194.109020526033</v>
      </c>
      <c r="F40" s="38" t="n">
        <v>51.9852683851449</v>
      </c>
      <c r="G40" s="38" t="n">
        <v>15.8883317838861</v>
      </c>
      <c r="H40" s="38" t="n">
        <v>5.54833681410179</v>
      </c>
      <c r="I40" s="38" t="n">
        <v>200.35546701038</v>
      </c>
      <c r="J40" s="38" t="n">
        <v>1.73870918151033</v>
      </c>
      <c r="K40" s="38" t="n">
        <v>76.1656605581922</v>
      </c>
      <c r="L40" s="38" t="n">
        <v>52.0594765101634</v>
      </c>
      <c r="M40" s="38" t="n">
        <v>43.6346340096295</v>
      </c>
      <c r="N40" s="38" t="n">
        <v>0</v>
      </c>
    </row>
    <row r="41" customFormat="false" ht="15" hidden="false" customHeight="false" outlineLevel="0" collapsed="false">
      <c r="A41" s="37" t="s">
        <v>548</v>
      </c>
      <c r="B41" s="37" t="s">
        <v>112</v>
      </c>
      <c r="C41" s="37" t="s">
        <v>63</v>
      </c>
      <c r="D41" s="37" t="s">
        <v>47</v>
      </c>
      <c r="E41" s="38" t="n">
        <v>239.354829042832</v>
      </c>
      <c r="F41" s="38" t="n">
        <v>39.7863830857874</v>
      </c>
      <c r="G41" s="38" t="n">
        <v>15.9084313827736</v>
      </c>
      <c r="H41" s="38" t="n">
        <v>57.0139594948565</v>
      </c>
      <c r="I41" s="38" t="n">
        <v>311.22026140232</v>
      </c>
      <c r="J41" s="38" t="n">
        <v>113.407702950919</v>
      </c>
      <c r="K41" s="38" t="n">
        <v>144.501626669295</v>
      </c>
      <c r="L41" s="38" t="n">
        <v>75.6411702019165</v>
      </c>
      <c r="M41" s="38" t="n">
        <v>72.6897836607552</v>
      </c>
      <c r="N41" s="38" t="n">
        <v>0</v>
      </c>
    </row>
    <row r="42" customFormat="false" ht="15" hidden="false" customHeight="false" outlineLevel="0" collapsed="false">
      <c r="A42" s="37" t="s">
        <v>548</v>
      </c>
      <c r="B42" s="37" t="s">
        <v>112</v>
      </c>
      <c r="C42" s="37" t="s">
        <v>67</v>
      </c>
      <c r="D42" s="37" t="s">
        <v>68</v>
      </c>
      <c r="E42" s="38" t="n">
        <v>199.081191008911</v>
      </c>
      <c r="F42" s="38" t="n">
        <v>40.6544214190847</v>
      </c>
      <c r="G42" s="38" t="n">
        <v>15.1226614668613</v>
      </c>
      <c r="H42" s="38" t="n">
        <v>5.90016312269727</v>
      </c>
      <c r="I42" s="38" t="n">
        <v>217.558695685963</v>
      </c>
      <c r="J42" s="38" t="n">
        <v>26.0586956859633</v>
      </c>
      <c r="K42" s="38" t="n">
        <v>106.408923008225</v>
      </c>
      <c r="L42" s="38" t="n">
        <v>66.4267908395264</v>
      </c>
      <c r="M42" s="38" t="n">
        <v>58.8329700925522</v>
      </c>
      <c r="N42" s="38" t="n">
        <v>0</v>
      </c>
    </row>
    <row r="43" customFormat="false" ht="15" hidden="false" customHeight="false" outlineLevel="0" collapsed="false">
      <c r="A43" s="37" t="s">
        <v>548</v>
      </c>
      <c r="B43" s="37" t="s">
        <v>112</v>
      </c>
      <c r="C43" s="37" t="s">
        <v>72</v>
      </c>
      <c r="D43" s="37" t="s">
        <v>73</v>
      </c>
      <c r="E43" s="38" t="n">
        <v>200.899498415729</v>
      </c>
      <c r="F43" s="38" t="n">
        <v>40.7822258765813</v>
      </c>
      <c r="G43" s="38" t="n">
        <v>15.9221667710777</v>
      </c>
      <c r="H43" s="38" t="n">
        <v>15.186911773909</v>
      </c>
      <c r="I43" s="38" t="n">
        <v>234.158840757375</v>
      </c>
      <c r="J43" s="38" t="n">
        <v>197.786856630391</v>
      </c>
      <c r="K43" s="38" t="n">
        <v>109.133462524307</v>
      </c>
      <c r="L43" s="38" t="n">
        <v>65.7702344466279</v>
      </c>
      <c r="M43" s="38" t="n">
        <v>57.8284487526255</v>
      </c>
      <c r="N43" s="38" t="n">
        <v>0</v>
      </c>
    </row>
    <row r="44" customFormat="false" ht="15" hidden="false" customHeight="false" outlineLevel="0" collapsed="false">
      <c r="A44" s="37" t="s">
        <v>548</v>
      </c>
      <c r="B44" s="37" t="s">
        <v>112</v>
      </c>
      <c r="C44" s="37" t="s">
        <v>77</v>
      </c>
      <c r="D44" s="37" t="s">
        <v>78</v>
      </c>
      <c r="E44" s="38" t="n">
        <v>245.442814152419</v>
      </c>
      <c r="F44" s="38" t="n">
        <v>51.7032407247691</v>
      </c>
      <c r="G44" s="38" t="n">
        <v>16.04015352205</v>
      </c>
      <c r="H44" s="38" t="n">
        <v>35.6819713564499</v>
      </c>
      <c r="I44" s="38" t="n">
        <v>289.63271601675</v>
      </c>
      <c r="J44" s="38" t="n">
        <v>108.412505111947</v>
      </c>
      <c r="K44" s="38" t="n">
        <v>159.896766288236</v>
      </c>
      <c r="L44" s="38" t="n">
        <v>83.2231279759816</v>
      </c>
      <c r="M44" s="38" t="n">
        <v>80.0766633385038</v>
      </c>
      <c r="N44" s="38" t="n">
        <v>0</v>
      </c>
    </row>
    <row r="45" customFormat="false" ht="15" hidden="false" customHeight="false" outlineLevel="0" collapsed="false">
      <c r="A45" s="37" t="s">
        <v>548</v>
      </c>
      <c r="B45" s="37" t="s">
        <v>118</v>
      </c>
      <c r="C45" s="37" t="s">
        <v>36</v>
      </c>
      <c r="D45" s="37" t="s">
        <v>37</v>
      </c>
      <c r="E45" s="38" t="n">
        <v>228.702788594578</v>
      </c>
      <c r="F45" s="38" t="n">
        <v>39.5834348361254</v>
      </c>
      <c r="G45" s="38" t="n">
        <v>15.9058544912055</v>
      </c>
      <c r="H45" s="38" t="n">
        <v>4.11995796165717</v>
      </c>
      <c r="I45" s="38" t="n">
        <v>287.529868239455</v>
      </c>
      <c r="J45" s="38" t="n">
        <v>84.2197651820853</v>
      </c>
      <c r="K45" s="38" t="n">
        <v>132.3135348537</v>
      </c>
      <c r="L45" s="38" t="n">
        <v>73.8968828815811</v>
      </c>
      <c r="M45" s="38" t="n">
        <v>70.948199817163</v>
      </c>
      <c r="N45" s="38" t="n">
        <v>0</v>
      </c>
    </row>
    <row r="46" customFormat="false" ht="15" hidden="false" customHeight="false" outlineLevel="0" collapsed="false">
      <c r="A46" s="37" t="s">
        <v>548</v>
      </c>
      <c r="B46" s="37" t="s">
        <v>118</v>
      </c>
      <c r="C46" s="37" t="s">
        <v>41</v>
      </c>
      <c r="D46" s="37" t="s">
        <v>42</v>
      </c>
      <c r="E46" s="38" t="n">
        <v>216.362673324495</v>
      </c>
      <c r="F46" s="38" t="n">
        <v>55.7718219511116</v>
      </c>
      <c r="G46" s="38" t="n">
        <v>15.9049308882645</v>
      </c>
      <c r="H46" s="38" t="n">
        <v>4.12788443742063</v>
      </c>
      <c r="I46" s="38" t="n">
        <v>222.265411908368</v>
      </c>
      <c r="J46" s="38" t="n">
        <v>64.8934243400367</v>
      </c>
      <c r="K46" s="38" t="n">
        <v>111.092055491729</v>
      </c>
      <c r="L46" s="38" t="n">
        <v>68.6940006987701</v>
      </c>
      <c r="M46" s="38" t="n">
        <v>62.116924935555</v>
      </c>
      <c r="N46" s="38" t="n">
        <v>0</v>
      </c>
    </row>
    <row r="47" customFormat="false" ht="15" hidden="false" customHeight="false" outlineLevel="0" collapsed="false">
      <c r="A47" s="37" t="s">
        <v>548</v>
      </c>
      <c r="B47" s="37" t="s">
        <v>118</v>
      </c>
      <c r="C47" s="37" t="s">
        <v>46</v>
      </c>
      <c r="D47" s="37" t="s">
        <v>47</v>
      </c>
      <c r="E47" s="38" t="n">
        <v>229.382357744341</v>
      </c>
      <c r="F47" s="38" t="n">
        <v>39.1994944938971</v>
      </c>
      <c r="G47" s="38" t="n">
        <v>15.9221667710777</v>
      </c>
      <c r="H47" s="38" t="n">
        <v>23.3494886150677</v>
      </c>
      <c r="I47" s="38" t="n">
        <v>262.407397191764</v>
      </c>
      <c r="J47" s="38" t="n">
        <v>69.157397191764</v>
      </c>
      <c r="K47" s="38" t="n">
        <v>142.054117296697</v>
      </c>
      <c r="L47" s="38" t="n">
        <v>77.6657971596112</v>
      </c>
      <c r="M47" s="38" t="n">
        <v>72.6144216534135</v>
      </c>
      <c r="N47" s="38" t="n">
        <v>0</v>
      </c>
    </row>
    <row r="48" customFormat="false" ht="15" hidden="false" customHeight="false" outlineLevel="0" collapsed="false">
      <c r="A48" s="37" t="s">
        <v>548</v>
      </c>
      <c r="B48" s="37" t="s">
        <v>118</v>
      </c>
      <c r="C48" s="37" t="s">
        <v>51</v>
      </c>
      <c r="D48" s="37" t="s">
        <v>51</v>
      </c>
      <c r="E48" s="38" t="n">
        <v>229.627908878926</v>
      </c>
      <c r="F48" s="38" t="n">
        <v>43.7104536177221</v>
      </c>
      <c r="G48" s="38" t="n">
        <v>15.9221667710777</v>
      </c>
      <c r="H48" s="38" t="n">
        <v>15.0139538974469</v>
      </c>
      <c r="I48" s="38" t="n">
        <v>282.787285788518</v>
      </c>
      <c r="J48" s="38" t="n">
        <v>86.1135851536409</v>
      </c>
      <c r="K48" s="38" t="n">
        <v>144.907906814497</v>
      </c>
      <c r="L48" s="38" t="n">
        <v>76.9207481724333</v>
      </c>
      <c r="M48" s="38" t="n">
        <v>73.7649787836047</v>
      </c>
      <c r="N48" s="38" t="n">
        <v>0</v>
      </c>
    </row>
    <row r="49" customFormat="false" ht="15" hidden="false" customHeight="false" outlineLevel="0" collapsed="false">
      <c r="A49" s="37" t="s">
        <v>548</v>
      </c>
      <c r="B49" s="37" t="s">
        <v>118</v>
      </c>
      <c r="C49" s="37" t="s">
        <v>55</v>
      </c>
      <c r="D49" s="37" t="s">
        <v>37</v>
      </c>
      <c r="E49" s="38" t="n">
        <v>219.617660989997</v>
      </c>
      <c r="F49" s="38" t="n">
        <v>39.291156075128</v>
      </c>
      <c r="G49" s="38" t="n">
        <v>15.9045581845875</v>
      </c>
      <c r="H49" s="38" t="n">
        <v>3.94328429515778</v>
      </c>
      <c r="I49" s="38" t="n">
        <v>294.901605755894</v>
      </c>
      <c r="J49" s="38" t="n">
        <v>94.4623494609272</v>
      </c>
      <c r="K49" s="38" t="n">
        <v>125.957022753601</v>
      </c>
      <c r="L49" s="38" t="n">
        <v>67.5013011755843</v>
      </c>
      <c r="M49" s="38" t="n">
        <v>65.7155167611823</v>
      </c>
      <c r="N49" s="38" t="n">
        <v>0</v>
      </c>
    </row>
    <row r="50" customFormat="false" ht="15" hidden="false" customHeight="false" outlineLevel="0" collapsed="false">
      <c r="A50" s="37" t="s">
        <v>548</v>
      </c>
      <c r="B50" s="37" t="s">
        <v>118</v>
      </c>
      <c r="C50" s="37" t="s">
        <v>59</v>
      </c>
      <c r="D50" s="37" t="s">
        <v>42</v>
      </c>
      <c r="E50" s="38" t="n">
        <v>204.761430422064</v>
      </c>
      <c r="F50" s="38" t="n">
        <v>52.066273802849</v>
      </c>
      <c r="G50" s="38" t="n">
        <v>15.88833521502</v>
      </c>
      <c r="H50" s="38" t="n">
        <v>3.89084309997944</v>
      </c>
      <c r="I50" s="38" t="n">
        <v>228.877156471044</v>
      </c>
      <c r="J50" s="38" t="n">
        <v>30.2574465729985</v>
      </c>
      <c r="K50" s="38" t="n">
        <v>96.1436500685595</v>
      </c>
      <c r="L50" s="38" t="n">
        <v>54.9915071579762</v>
      </c>
      <c r="M50" s="38" t="n">
        <v>51.3391034321137</v>
      </c>
      <c r="N50" s="38" t="n">
        <v>0</v>
      </c>
    </row>
    <row r="51" customFormat="false" ht="15" hidden="false" customHeight="false" outlineLevel="0" collapsed="false">
      <c r="A51" s="37" t="s">
        <v>548</v>
      </c>
      <c r="B51" s="37" t="s">
        <v>118</v>
      </c>
      <c r="C51" s="37" t="s">
        <v>63</v>
      </c>
      <c r="D51" s="37" t="s">
        <v>47</v>
      </c>
      <c r="E51" s="38" t="n">
        <v>215.344888909882</v>
      </c>
      <c r="F51" s="38" t="n">
        <v>39.5404877263456</v>
      </c>
      <c r="G51" s="38" t="n">
        <v>15.9081987609153</v>
      </c>
      <c r="H51" s="38" t="n">
        <v>22.7881179248509</v>
      </c>
      <c r="I51" s="38" t="n">
        <v>242.169136988572</v>
      </c>
      <c r="J51" s="38" t="n">
        <v>44.1988291474636</v>
      </c>
      <c r="K51" s="38" t="n">
        <v>120.478047631515</v>
      </c>
      <c r="L51" s="38" t="n">
        <v>66.4019389324871</v>
      </c>
      <c r="M51" s="38" t="n">
        <v>64.0225998737348</v>
      </c>
      <c r="N51" s="38" t="n">
        <v>0</v>
      </c>
    </row>
    <row r="52" customFormat="false" ht="15" hidden="false" customHeight="false" outlineLevel="0" collapsed="false">
      <c r="A52" s="37" t="s">
        <v>548</v>
      </c>
      <c r="B52" s="37" t="s">
        <v>118</v>
      </c>
      <c r="C52" s="37" t="s">
        <v>67</v>
      </c>
      <c r="D52" s="37" t="s">
        <v>68</v>
      </c>
      <c r="E52" s="38" t="n">
        <v>210.824792423961</v>
      </c>
      <c r="F52" s="38" t="n">
        <v>40.6961615320846</v>
      </c>
      <c r="G52" s="38" t="n">
        <v>15.1312069738694</v>
      </c>
      <c r="H52" s="38" t="n">
        <v>4.09069122026735</v>
      </c>
      <c r="I52" s="38" t="n">
        <v>245.709920462189</v>
      </c>
      <c r="J52" s="38" t="n">
        <v>54.2099204621886</v>
      </c>
      <c r="K52" s="38" t="n">
        <v>131.203829261028</v>
      </c>
      <c r="L52" s="38" t="n">
        <v>69.5846760631604</v>
      </c>
      <c r="M52" s="38" t="n">
        <v>67.1519828228321</v>
      </c>
      <c r="N52" s="38" t="n">
        <v>0</v>
      </c>
    </row>
    <row r="53" customFormat="false" ht="15" hidden="false" customHeight="false" outlineLevel="0" collapsed="false">
      <c r="A53" s="37" t="s">
        <v>548</v>
      </c>
      <c r="B53" s="37" t="s">
        <v>118</v>
      </c>
      <c r="C53" s="37" t="s">
        <v>72</v>
      </c>
      <c r="D53" s="37" t="s">
        <v>73</v>
      </c>
      <c r="E53" s="38" t="n">
        <v>205.909774625534</v>
      </c>
      <c r="F53" s="38" t="n">
        <v>40.8085150961475</v>
      </c>
      <c r="G53" s="38" t="n">
        <v>15.9221667710777</v>
      </c>
      <c r="H53" s="38" t="n">
        <v>7.19915351066677</v>
      </c>
      <c r="I53" s="38" t="n">
        <v>250.44843391688</v>
      </c>
      <c r="J53" s="38" t="n">
        <v>214.076449789896</v>
      </c>
      <c r="K53" s="38" t="n">
        <v>112.385606877229</v>
      </c>
      <c r="L53" s="38" t="n">
        <v>66.2176608494398</v>
      </c>
      <c r="M53" s="38" t="n">
        <v>59.8782344896246</v>
      </c>
      <c r="N53" s="38" t="n">
        <v>0</v>
      </c>
    </row>
    <row r="54" customFormat="false" ht="15" hidden="false" customHeight="false" outlineLevel="0" collapsed="false">
      <c r="A54" s="37" t="s">
        <v>548</v>
      </c>
      <c r="B54" s="37" t="s">
        <v>118</v>
      </c>
      <c r="C54" s="37" t="s">
        <v>77</v>
      </c>
      <c r="D54" s="37" t="s">
        <v>78</v>
      </c>
      <c r="E54" s="38" t="n">
        <v>236.90148182554</v>
      </c>
      <c r="F54" s="38" t="n">
        <v>51.601657232255</v>
      </c>
      <c r="G54" s="38" t="n">
        <v>16.0401521435287</v>
      </c>
      <c r="H54" s="38" t="n">
        <v>14.4925927492181</v>
      </c>
      <c r="I54" s="38" t="n">
        <v>273.592916585888</v>
      </c>
      <c r="J54" s="38" t="n">
        <v>92.3720715436765</v>
      </c>
      <c r="K54" s="38" t="n">
        <v>149.556906190789</v>
      </c>
      <c r="L54" s="38" t="n">
        <v>81.0893487264899</v>
      </c>
      <c r="M54" s="38" t="n">
        <v>76.66729655521</v>
      </c>
      <c r="N54" s="38" t="n">
        <v>0</v>
      </c>
    </row>
    <row r="55" customFormat="false" ht="15" hidden="false" customHeight="false" outlineLevel="0" collapsed="false">
      <c r="A55" s="37" t="s">
        <v>548</v>
      </c>
      <c r="B55" s="37" t="s">
        <v>121</v>
      </c>
      <c r="C55" s="37" t="s">
        <v>36</v>
      </c>
      <c r="D55" s="37" t="s">
        <v>37</v>
      </c>
      <c r="E55" s="38" t="n">
        <v>208.481100311156</v>
      </c>
      <c r="F55" s="38" t="n">
        <v>39.2079657728275</v>
      </c>
      <c r="G55" s="38" t="n">
        <v>15.8693883017256</v>
      </c>
      <c r="H55" s="38" t="n">
        <v>4.88725928327094</v>
      </c>
      <c r="I55" s="38" t="n">
        <v>245.206529497982</v>
      </c>
      <c r="J55" s="38" t="n">
        <v>41.8037940327546</v>
      </c>
      <c r="K55" s="38" t="n">
        <v>110.361247881081</v>
      </c>
      <c r="L55" s="38" t="n">
        <v>66.942553484174</v>
      </c>
      <c r="M55" s="38" t="n">
        <v>61.8691209691353</v>
      </c>
      <c r="N55" s="38" t="n">
        <v>0</v>
      </c>
    </row>
    <row r="56" customFormat="false" ht="15" hidden="false" customHeight="false" outlineLevel="0" collapsed="false">
      <c r="A56" s="37" t="s">
        <v>548</v>
      </c>
      <c r="B56" s="37" t="s">
        <v>121</v>
      </c>
      <c r="C56" s="37" t="s">
        <v>41</v>
      </c>
      <c r="D56" s="37" t="s">
        <v>42</v>
      </c>
      <c r="E56" s="38" t="n">
        <v>194.300002768747</v>
      </c>
      <c r="F56" s="38" t="n">
        <v>49.7509957830967</v>
      </c>
      <c r="G56" s="38" t="n">
        <v>15.8530753783062</v>
      </c>
      <c r="H56" s="38" t="n">
        <v>4.7742791895173</v>
      </c>
      <c r="I56" s="38" t="n">
        <v>196.013463136103</v>
      </c>
      <c r="J56" s="38" t="n">
        <v>24.9124567036408</v>
      </c>
      <c r="K56" s="38" t="n">
        <v>75.8499839497872</v>
      </c>
      <c r="L56" s="38" t="n">
        <v>57.6221982158887</v>
      </c>
      <c r="M56" s="38" t="n">
        <v>46.4277418468131</v>
      </c>
      <c r="N56" s="38" t="n">
        <v>0</v>
      </c>
    </row>
    <row r="57" customFormat="false" ht="15" hidden="false" customHeight="false" outlineLevel="0" collapsed="false">
      <c r="A57" s="37" t="s">
        <v>548</v>
      </c>
      <c r="B57" s="37" t="s">
        <v>121</v>
      </c>
      <c r="C57" s="37" t="s">
        <v>46</v>
      </c>
      <c r="D57" s="37" t="s">
        <v>47</v>
      </c>
      <c r="E57" s="38" t="n">
        <v>228.67163751243</v>
      </c>
      <c r="F57" s="38" t="n">
        <v>39.0377865434789</v>
      </c>
      <c r="G57" s="38" t="n">
        <v>15.8858144937776</v>
      </c>
      <c r="H57" s="38" t="n">
        <v>36.4809098596098</v>
      </c>
      <c r="I57" s="38" t="n">
        <v>269.01775552512</v>
      </c>
      <c r="J57" s="38" t="n">
        <v>75.7677555251201</v>
      </c>
      <c r="K57" s="38" t="n">
        <v>140.910608135946</v>
      </c>
      <c r="L57" s="38" t="n">
        <v>78.549895278433</v>
      </c>
      <c r="M57" s="38" t="n">
        <v>70.7074347343243</v>
      </c>
      <c r="N57" s="38" t="n">
        <v>0</v>
      </c>
    </row>
    <row r="58" customFormat="false" ht="15" hidden="false" customHeight="false" outlineLevel="0" collapsed="false">
      <c r="A58" s="37" t="s">
        <v>548</v>
      </c>
      <c r="B58" s="37" t="s">
        <v>121</v>
      </c>
      <c r="C58" s="37" t="s">
        <v>51</v>
      </c>
      <c r="D58" s="37" t="s">
        <v>51</v>
      </c>
      <c r="E58" s="38" t="n">
        <v>221.014139766992</v>
      </c>
      <c r="F58" s="38" t="n">
        <v>43.4442239499321</v>
      </c>
      <c r="G58" s="38" t="n">
        <v>15.8858144937776</v>
      </c>
      <c r="H58" s="38" t="n">
        <v>22.7425755917193</v>
      </c>
      <c r="I58" s="38" t="n">
        <v>265.983637452697</v>
      </c>
      <c r="J58" s="38" t="n">
        <v>69.3099368178202</v>
      </c>
      <c r="K58" s="38" t="n">
        <v>136.605246050397</v>
      </c>
      <c r="L58" s="38" t="n">
        <v>75.0977676322454</v>
      </c>
      <c r="M58" s="38" t="n">
        <v>69.482200040352</v>
      </c>
      <c r="N58" s="38" t="n">
        <v>0</v>
      </c>
    </row>
    <row r="59" customFormat="false" ht="15" hidden="false" customHeight="false" outlineLevel="0" collapsed="false">
      <c r="A59" s="37" t="s">
        <v>548</v>
      </c>
      <c r="B59" s="37" t="s">
        <v>121</v>
      </c>
      <c r="C59" s="37" t="s">
        <v>55</v>
      </c>
      <c r="D59" s="37" t="s">
        <v>37</v>
      </c>
      <c r="E59" s="38" t="n">
        <v>200.234101650625</v>
      </c>
      <c r="F59" s="38" t="n">
        <v>38.9148300908656</v>
      </c>
      <c r="G59" s="38" t="n">
        <v>15.8677242647104</v>
      </c>
      <c r="H59" s="38" t="n">
        <v>4.65397394027493</v>
      </c>
      <c r="I59" s="38" t="n">
        <v>252.574061112105</v>
      </c>
      <c r="J59" s="38" t="n">
        <v>51.7912092896845</v>
      </c>
      <c r="K59" s="38" t="n">
        <v>104.126481893975</v>
      </c>
      <c r="L59" s="38" t="n">
        <v>60.7480773007259</v>
      </c>
      <c r="M59" s="38" t="n">
        <v>56.3271139015255</v>
      </c>
      <c r="N59" s="38" t="n">
        <v>0</v>
      </c>
    </row>
    <row r="60" customFormat="false" ht="15" hidden="false" customHeight="false" outlineLevel="0" collapsed="false">
      <c r="A60" s="37" t="s">
        <v>548</v>
      </c>
      <c r="B60" s="37" t="s">
        <v>121</v>
      </c>
      <c r="C60" s="37" t="s">
        <v>59</v>
      </c>
      <c r="D60" s="37" t="s">
        <v>42</v>
      </c>
      <c r="E60" s="38" t="n">
        <v>190.24978527724</v>
      </c>
      <c r="F60" s="38" t="n">
        <v>51.6464853311989</v>
      </c>
      <c r="G60" s="38" t="n">
        <v>15.8520183335148</v>
      </c>
      <c r="H60" s="38" t="n">
        <v>4.58873400190192</v>
      </c>
      <c r="I60" s="38" t="n">
        <v>193.25683095611</v>
      </c>
      <c r="J60" s="38" t="n">
        <v>-5.36011954184816</v>
      </c>
      <c r="K60" s="38" t="n">
        <v>68.4743516170038</v>
      </c>
      <c r="L60" s="38" t="n">
        <v>50.854840929762</v>
      </c>
      <c r="M60" s="38" t="n">
        <v>40.8533339406201</v>
      </c>
      <c r="N60" s="38" t="n">
        <v>0</v>
      </c>
    </row>
    <row r="61" customFormat="false" ht="15" hidden="false" customHeight="false" outlineLevel="0" collapsed="false">
      <c r="A61" s="37" t="s">
        <v>548</v>
      </c>
      <c r="B61" s="37" t="s">
        <v>121</v>
      </c>
      <c r="C61" s="37" t="s">
        <v>63</v>
      </c>
      <c r="D61" s="37" t="s">
        <v>47</v>
      </c>
      <c r="E61" s="38" t="n">
        <v>215.139816028078</v>
      </c>
      <c r="F61" s="38" t="n">
        <v>39.3770765460168</v>
      </c>
      <c r="G61" s="38" t="n">
        <v>15.8716906823402</v>
      </c>
      <c r="H61" s="38" t="n">
        <v>35.9859454421551</v>
      </c>
      <c r="I61" s="38" t="n">
        <v>249.864744745626</v>
      </c>
      <c r="J61" s="38" t="n">
        <v>51.7755598356274</v>
      </c>
      <c r="K61" s="38" t="n">
        <v>119.53931414637</v>
      </c>
      <c r="L61" s="38" t="n">
        <v>67.4183067995029</v>
      </c>
      <c r="M61" s="38" t="n">
        <v>62.78552428391</v>
      </c>
      <c r="N61" s="38" t="n">
        <v>0</v>
      </c>
    </row>
    <row r="62" customFormat="false" ht="15" hidden="false" customHeight="false" outlineLevel="0" collapsed="false">
      <c r="A62" s="37" t="s">
        <v>548</v>
      </c>
      <c r="B62" s="37" t="s">
        <v>121</v>
      </c>
      <c r="C62" s="37" t="s">
        <v>67</v>
      </c>
      <c r="D62" s="37" t="s">
        <v>68</v>
      </c>
      <c r="E62" s="38" t="n">
        <v>194.740393815941</v>
      </c>
      <c r="F62" s="38" t="n">
        <v>40.3065450847787</v>
      </c>
      <c r="G62" s="38" t="n">
        <v>15.086650380996</v>
      </c>
      <c r="H62" s="38" t="n">
        <v>4.84400508234978</v>
      </c>
      <c r="I62" s="38" t="n">
        <v>209.768769777209</v>
      </c>
      <c r="J62" s="38" t="n">
        <v>28.2687697772087</v>
      </c>
      <c r="K62" s="38" t="n">
        <v>101.213174818428</v>
      </c>
      <c r="L62" s="38" t="n">
        <v>62.6507167128187</v>
      </c>
      <c r="M62" s="38" t="n">
        <v>56.347616387815</v>
      </c>
      <c r="N62" s="38" t="n">
        <v>0</v>
      </c>
    </row>
    <row r="63" customFormat="false" ht="15" hidden="false" customHeight="false" outlineLevel="0" collapsed="false">
      <c r="A63" s="37" t="s">
        <v>548</v>
      </c>
      <c r="B63" s="37" t="s">
        <v>121</v>
      </c>
      <c r="C63" s="37" t="s">
        <v>72</v>
      </c>
      <c r="D63" s="37" t="s">
        <v>73</v>
      </c>
      <c r="E63" s="38" t="n">
        <v>192.53262003976</v>
      </c>
      <c r="F63" s="38" t="n">
        <v>40.4353692439415</v>
      </c>
      <c r="G63" s="38" t="n">
        <v>15.8858144937776</v>
      </c>
      <c r="H63" s="38" t="n">
        <v>9.90557949042705</v>
      </c>
      <c r="I63" s="38" t="n">
        <v>218.143092008287</v>
      </c>
      <c r="J63" s="38" t="n">
        <v>181.771107881303</v>
      </c>
      <c r="K63" s="38" t="n">
        <v>96.3733356679863</v>
      </c>
      <c r="L63" s="38" t="n">
        <v>63.4219993545922</v>
      </c>
      <c r="M63" s="38" t="n">
        <v>52.7469914146416</v>
      </c>
      <c r="N63" s="38" t="n">
        <v>0</v>
      </c>
    </row>
    <row r="64" customFormat="false" ht="15" hidden="false" customHeight="false" outlineLevel="0" collapsed="false">
      <c r="A64" s="37" t="s">
        <v>548</v>
      </c>
      <c r="B64" s="37" t="s">
        <v>121</v>
      </c>
      <c r="C64" s="37" t="s">
        <v>77</v>
      </c>
      <c r="D64" s="37" t="s">
        <v>78</v>
      </c>
      <c r="E64" s="38" t="n">
        <v>228.084878814552</v>
      </c>
      <c r="F64" s="38" t="n">
        <v>51.2970359334163</v>
      </c>
      <c r="G64" s="38" t="n">
        <v>16.0036131186398</v>
      </c>
      <c r="H64" s="38" t="n">
        <v>21.6998924272503</v>
      </c>
      <c r="I64" s="38" t="n">
        <v>254.998107882396</v>
      </c>
      <c r="J64" s="38" t="n">
        <v>73.7747261887372</v>
      </c>
      <c r="K64" s="38" t="n">
        <v>141.569561026419</v>
      </c>
      <c r="L64" s="38" t="n">
        <v>78.6819583568633</v>
      </c>
      <c r="M64" s="38" t="n">
        <v>73.3346470085783</v>
      </c>
      <c r="N64" s="38" t="n">
        <v>0</v>
      </c>
    </row>
    <row r="65" customFormat="false" ht="15" hidden="false" customHeight="false" outlineLevel="0" collapsed="false">
      <c r="A65" s="37" t="s">
        <v>550</v>
      </c>
      <c r="B65" s="37" t="s">
        <v>97</v>
      </c>
      <c r="C65" s="37" t="s">
        <v>36</v>
      </c>
      <c r="D65" s="37" t="s">
        <v>37</v>
      </c>
      <c r="E65" s="38" t="n">
        <v>212.364410560599</v>
      </c>
      <c r="F65" s="38" t="n">
        <v>39.5421810417664</v>
      </c>
      <c r="G65" s="38" t="n">
        <v>15.9058606326434</v>
      </c>
      <c r="H65" s="38" t="n">
        <v>5.03141085364453</v>
      </c>
      <c r="I65" s="38" t="n">
        <v>249.947495866092</v>
      </c>
      <c r="J65" s="38" t="n">
        <v>46.6415578431324</v>
      </c>
      <c r="K65" s="38" t="n">
        <v>116.206117158122</v>
      </c>
      <c r="L65" s="38" t="n">
        <v>68.060981926862</v>
      </c>
      <c r="M65" s="38" t="n">
        <v>64.153950073166</v>
      </c>
      <c r="N65" s="38" t="n">
        <v>0</v>
      </c>
    </row>
    <row r="66" customFormat="false" ht="15" hidden="false" customHeight="false" outlineLevel="0" collapsed="false">
      <c r="A66" s="37" t="s">
        <v>550</v>
      </c>
      <c r="B66" s="37" t="s">
        <v>97</v>
      </c>
      <c r="C66" s="37" t="s">
        <v>41</v>
      </c>
      <c r="D66" s="37" t="s">
        <v>42</v>
      </c>
      <c r="E66" s="38" t="n">
        <v>197.524078527406</v>
      </c>
      <c r="F66" s="38" t="n">
        <v>50.1021650036316</v>
      </c>
      <c r="G66" s="38" t="n">
        <v>15.8894021171473</v>
      </c>
      <c r="H66" s="38" t="n">
        <v>4.91816257006477</v>
      </c>
      <c r="I66" s="38" t="n">
        <v>199.832100696294</v>
      </c>
      <c r="J66" s="38" t="n">
        <v>24.9341345665839</v>
      </c>
      <c r="K66" s="38" t="n">
        <v>81.785812560389</v>
      </c>
      <c r="L66" s="38" t="n">
        <v>58.631731521967</v>
      </c>
      <c r="M66" s="38" t="n">
        <v>48.8876574280537</v>
      </c>
      <c r="N66" s="38" t="n">
        <v>0</v>
      </c>
    </row>
    <row r="67" customFormat="false" ht="15" hidden="false" customHeight="false" outlineLevel="0" collapsed="false">
      <c r="A67" s="37" t="s">
        <v>550</v>
      </c>
      <c r="B67" s="37" t="s">
        <v>97</v>
      </c>
      <c r="C67" s="37" t="s">
        <v>46</v>
      </c>
      <c r="D67" s="37" t="s">
        <v>47</v>
      </c>
      <c r="E67" s="38" t="n">
        <v>223.336503025128</v>
      </c>
      <c r="F67" s="38" t="n">
        <v>39.3709787908919</v>
      </c>
      <c r="G67" s="38" t="n">
        <v>15.9221667710777</v>
      </c>
      <c r="H67" s="38" t="n">
        <v>27.8902650721573</v>
      </c>
      <c r="I67" s="38" t="n">
        <v>248.567447023036</v>
      </c>
      <c r="J67" s="38" t="n">
        <v>55.317447023036</v>
      </c>
      <c r="K67" s="38" t="n">
        <v>137.282860869916</v>
      </c>
      <c r="L67" s="38" t="n">
        <v>76.2643561040644</v>
      </c>
      <c r="M67" s="38" t="n">
        <v>69.7680294471385</v>
      </c>
      <c r="N67" s="38" t="n">
        <v>0</v>
      </c>
    </row>
    <row r="68" customFormat="false" ht="15" hidden="false" customHeight="false" outlineLevel="0" collapsed="false">
      <c r="A68" s="37" t="s">
        <v>550</v>
      </c>
      <c r="B68" s="37" t="s">
        <v>97</v>
      </c>
      <c r="C68" s="37" t="s">
        <v>51</v>
      </c>
      <c r="D68" s="37" t="s">
        <v>51</v>
      </c>
      <c r="E68" s="38" t="n">
        <v>219.473579145104</v>
      </c>
      <c r="F68" s="38" t="n">
        <v>43.7973263962411</v>
      </c>
      <c r="G68" s="38" t="n">
        <v>15.9221667710777</v>
      </c>
      <c r="H68" s="38" t="n">
        <v>17.8765692783715</v>
      </c>
      <c r="I68" s="38" t="n">
        <v>257.298031286783</v>
      </c>
      <c r="J68" s="38" t="n">
        <v>60.6243306519061</v>
      </c>
      <c r="K68" s="38" t="n">
        <v>136.713814513911</v>
      </c>
      <c r="L68" s="38" t="n">
        <v>74.2672249316713</v>
      </c>
      <c r="M68" s="38" t="n">
        <v>69.64184668495</v>
      </c>
      <c r="N68" s="38" t="n">
        <v>0</v>
      </c>
    </row>
    <row r="69" customFormat="false" ht="15" hidden="false" customHeight="false" outlineLevel="0" collapsed="false">
      <c r="A69" s="37" t="s">
        <v>550</v>
      </c>
      <c r="B69" s="37" t="s">
        <v>97</v>
      </c>
      <c r="C69" s="37" t="s">
        <v>55</v>
      </c>
      <c r="D69" s="37" t="s">
        <v>37</v>
      </c>
      <c r="E69" s="38" t="n">
        <v>203.893159816572</v>
      </c>
      <c r="F69" s="38" t="n">
        <v>39.2463786901263</v>
      </c>
      <c r="G69" s="38" t="n">
        <v>15.9041943769392</v>
      </c>
      <c r="H69" s="38" t="n">
        <v>4.78960818182069</v>
      </c>
      <c r="I69" s="38" t="n">
        <v>257.077331171122</v>
      </c>
      <c r="J69" s="38" t="n">
        <v>56.3913350461927</v>
      </c>
      <c r="K69" s="38" t="n">
        <v>109.882212011446</v>
      </c>
      <c r="L69" s="38" t="n">
        <v>61.8035853090846</v>
      </c>
      <c r="M69" s="38" t="n">
        <v>58.5631559561693</v>
      </c>
      <c r="N69" s="38" t="n">
        <v>0</v>
      </c>
    </row>
    <row r="70" customFormat="false" ht="15" hidden="false" customHeight="false" outlineLevel="0" collapsed="false">
      <c r="A70" s="37" t="s">
        <v>550</v>
      </c>
      <c r="B70" s="37" t="s">
        <v>97</v>
      </c>
      <c r="C70" s="37" t="s">
        <v>59</v>
      </c>
      <c r="D70" s="37" t="s">
        <v>42</v>
      </c>
      <c r="E70" s="38" t="n">
        <v>193.278429750093</v>
      </c>
      <c r="F70" s="38" t="n">
        <v>51.9852683851449</v>
      </c>
      <c r="G70" s="38" t="n">
        <v>15.8883317838861</v>
      </c>
      <c r="H70" s="38" t="n">
        <v>4.71774603816191</v>
      </c>
      <c r="I70" s="38" t="n">
        <v>196.935099803728</v>
      </c>
      <c r="J70" s="38" t="n">
        <v>-1.68165802514184</v>
      </c>
      <c r="K70" s="38" t="n">
        <v>74.7460254168548</v>
      </c>
      <c r="L70" s="38" t="n">
        <v>51.7174939108118</v>
      </c>
      <c r="M70" s="38" t="n">
        <v>43.0224013575707</v>
      </c>
      <c r="N70" s="38" t="n">
        <v>0</v>
      </c>
    </row>
    <row r="71" customFormat="false" ht="15" hidden="false" customHeight="false" outlineLevel="0" collapsed="false">
      <c r="A71" s="37" t="s">
        <v>550</v>
      </c>
      <c r="B71" s="37" t="s">
        <v>97</v>
      </c>
      <c r="C71" s="37" t="s">
        <v>63</v>
      </c>
      <c r="D71" s="37" t="s">
        <v>47</v>
      </c>
      <c r="E71" s="38" t="n">
        <v>209.286782947445</v>
      </c>
      <c r="F71" s="38" t="n">
        <v>39.711861652767</v>
      </c>
      <c r="G71" s="38" t="n">
        <v>15.9080384079191</v>
      </c>
      <c r="H71" s="38" t="n">
        <v>27.3506241763368</v>
      </c>
      <c r="I71" s="38" t="n">
        <v>228.201388987476</v>
      </c>
      <c r="J71" s="38" t="n">
        <v>37.6223392873706</v>
      </c>
      <c r="K71" s="38" t="n">
        <v>112.106318350142</v>
      </c>
      <c r="L71" s="38" t="n">
        <v>60.9130043882401</v>
      </c>
      <c r="M71" s="38" t="n">
        <v>59.8784425222116</v>
      </c>
      <c r="N71" s="38" t="n">
        <v>0</v>
      </c>
    </row>
    <row r="72" customFormat="false" ht="15" hidden="false" customHeight="false" outlineLevel="0" collapsed="false">
      <c r="A72" s="37" t="s">
        <v>550</v>
      </c>
      <c r="B72" s="37" t="s">
        <v>97</v>
      </c>
      <c r="C72" s="37" t="s">
        <v>67</v>
      </c>
      <c r="D72" s="37" t="s">
        <v>68</v>
      </c>
      <c r="E72" s="38" t="n">
        <v>198.164187821147</v>
      </c>
      <c r="F72" s="38" t="n">
        <v>40.652857342268</v>
      </c>
      <c r="G72" s="38" t="n">
        <v>15.1216882833063</v>
      </c>
      <c r="H72" s="38" t="n">
        <v>4.99119857494195</v>
      </c>
      <c r="I72" s="38" t="n">
        <v>214.012726287484</v>
      </c>
      <c r="J72" s="38" t="n">
        <v>32.5127262874841</v>
      </c>
      <c r="K72" s="38" t="n">
        <v>110.903443154202</v>
      </c>
      <c r="L72" s="38" t="n">
        <v>63.6532932047838</v>
      </c>
      <c r="M72" s="38" t="n">
        <v>59.6811526623173</v>
      </c>
      <c r="N72" s="38" t="n">
        <v>0</v>
      </c>
    </row>
    <row r="73" customFormat="false" ht="15" hidden="false" customHeight="false" outlineLevel="0" collapsed="false">
      <c r="A73" s="37" t="s">
        <v>550</v>
      </c>
      <c r="B73" s="37" t="s">
        <v>97</v>
      </c>
      <c r="C73" s="37" t="s">
        <v>72</v>
      </c>
      <c r="D73" s="37" t="s">
        <v>73</v>
      </c>
      <c r="E73" s="38" t="n">
        <v>194.30321533499</v>
      </c>
      <c r="F73" s="38" t="n">
        <v>40.775677806062</v>
      </c>
      <c r="G73" s="38" t="n">
        <v>15.9221667710777</v>
      </c>
      <c r="H73" s="38" t="n">
        <v>8.59717676368948</v>
      </c>
      <c r="I73" s="38" t="n">
        <v>218.973484942641</v>
      </c>
      <c r="J73" s="38" t="n">
        <v>182.601500815657</v>
      </c>
      <c r="K73" s="38" t="n">
        <v>100.148862290468</v>
      </c>
      <c r="L73" s="38" t="n">
        <v>63.8192194618383</v>
      </c>
      <c r="M73" s="38" t="n">
        <v>54.1827398230968</v>
      </c>
      <c r="N73" s="38" t="n">
        <v>0</v>
      </c>
    </row>
    <row r="74" customFormat="false" ht="15" hidden="false" customHeight="false" outlineLevel="0" collapsed="false">
      <c r="A74" s="37" t="s">
        <v>550</v>
      </c>
      <c r="B74" s="37" t="s">
        <v>97</v>
      </c>
      <c r="C74" s="37" t="s">
        <v>77</v>
      </c>
      <c r="D74" s="37" t="s">
        <v>78</v>
      </c>
      <c r="E74" s="38" t="n">
        <v>226.937442408117</v>
      </c>
      <c r="F74" s="38" t="n">
        <v>51.6606518328984</v>
      </c>
      <c r="G74" s="38" t="n">
        <v>16.0401527282242</v>
      </c>
      <c r="H74" s="38" t="n">
        <v>17.2192204389607</v>
      </c>
      <c r="I74" s="38" t="n">
        <v>248.47912117855</v>
      </c>
      <c r="J74" s="38" t="n">
        <v>67.2585451004281</v>
      </c>
      <c r="K74" s="38" t="n">
        <v>142.125580137375</v>
      </c>
      <c r="L74" s="38" t="n">
        <v>78.2209685542445</v>
      </c>
      <c r="M74" s="38" t="n">
        <v>73.5843510232296</v>
      </c>
      <c r="N74" s="38" t="n">
        <v>0</v>
      </c>
    </row>
    <row r="75" customFormat="false" ht="15" hidden="false" customHeight="false" outlineLevel="0" collapsed="false">
      <c r="A75" s="37" t="s">
        <v>550</v>
      </c>
      <c r="B75" s="37" t="s">
        <v>100</v>
      </c>
      <c r="C75" s="37" t="s">
        <v>36</v>
      </c>
      <c r="D75" s="37" t="s">
        <v>37</v>
      </c>
      <c r="E75" s="38" t="n">
        <v>202.950145937118</v>
      </c>
      <c r="F75" s="38" t="n">
        <v>39.5249458138505</v>
      </c>
      <c r="G75" s="38" t="n">
        <v>15.9056160606976</v>
      </c>
      <c r="H75" s="38" t="n">
        <v>5.01869644449263</v>
      </c>
      <c r="I75" s="38" t="n">
        <v>229.508766299505</v>
      </c>
      <c r="J75" s="38" t="n">
        <v>37.2869625367352</v>
      </c>
      <c r="K75" s="38" t="n">
        <v>103.928290903108</v>
      </c>
      <c r="L75" s="38" t="n">
        <v>63.0982195793117</v>
      </c>
      <c r="M75" s="38" t="n">
        <v>59.0253835543121</v>
      </c>
      <c r="N75" s="38" t="n">
        <v>0</v>
      </c>
    </row>
    <row r="76" customFormat="false" ht="15" hidden="false" customHeight="false" outlineLevel="0" collapsed="false">
      <c r="A76" s="37" t="s">
        <v>550</v>
      </c>
      <c r="B76" s="37" t="s">
        <v>100</v>
      </c>
      <c r="C76" s="37" t="s">
        <v>41</v>
      </c>
      <c r="D76" s="37" t="s">
        <v>42</v>
      </c>
      <c r="E76" s="38" t="n">
        <v>190.078740375448</v>
      </c>
      <c r="F76" s="38" t="n">
        <v>50.0742214826534</v>
      </c>
      <c r="G76" s="38" t="n">
        <v>15.8893718035808</v>
      </c>
      <c r="H76" s="38" t="n">
        <v>4.91105759022253</v>
      </c>
      <c r="I76" s="38" t="n">
        <v>181.554633365507</v>
      </c>
      <c r="J76" s="38" t="n">
        <v>13.7606241530431</v>
      </c>
      <c r="K76" s="38" t="n">
        <v>71.5753020320829</v>
      </c>
      <c r="L76" s="38" t="n">
        <v>56.3728872821593</v>
      </c>
      <c r="M76" s="38" t="n">
        <v>44.5825478495417</v>
      </c>
      <c r="N76" s="38" t="n">
        <v>0</v>
      </c>
    </row>
    <row r="77" customFormat="false" ht="15" hidden="false" customHeight="false" outlineLevel="0" collapsed="false">
      <c r="A77" s="37" t="s">
        <v>550</v>
      </c>
      <c r="B77" s="37" t="s">
        <v>100</v>
      </c>
      <c r="C77" s="37" t="s">
        <v>46</v>
      </c>
      <c r="D77" s="37" t="s">
        <v>47</v>
      </c>
      <c r="E77" s="38" t="n">
        <v>216.505316196659</v>
      </c>
      <c r="F77" s="38" t="n">
        <v>39.3556261278555</v>
      </c>
      <c r="G77" s="38" t="n">
        <v>15.9221667710777</v>
      </c>
      <c r="H77" s="38" t="n">
        <v>27.8902650721573</v>
      </c>
      <c r="I77" s="38" t="n">
        <v>233.66210223598</v>
      </c>
      <c r="J77" s="38" t="n">
        <v>40.4121022359797</v>
      </c>
      <c r="K77" s="38" t="n">
        <v>130.973390284643</v>
      </c>
      <c r="L77" s="38" t="n">
        <v>74.4198259583133</v>
      </c>
      <c r="M77" s="38" t="n">
        <v>67.0084925175293</v>
      </c>
      <c r="N77" s="38" t="n">
        <v>0</v>
      </c>
    </row>
    <row r="78" customFormat="false" ht="15" hidden="false" customHeight="false" outlineLevel="0" collapsed="false">
      <c r="A78" s="37" t="s">
        <v>550</v>
      </c>
      <c r="B78" s="37" t="s">
        <v>100</v>
      </c>
      <c r="C78" s="37" t="s">
        <v>51</v>
      </c>
      <c r="D78" s="37" t="s">
        <v>51</v>
      </c>
      <c r="E78" s="38" t="n">
        <v>211.728236496561</v>
      </c>
      <c r="F78" s="38" t="n">
        <v>43.7730564105364</v>
      </c>
      <c r="G78" s="38" t="n">
        <v>15.9221667710777</v>
      </c>
      <c r="H78" s="38" t="n">
        <v>17.8765692783715</v>
      </c>
      <c r="I78" s="38" t="n">
        <v>239.454546851632</v>
      </c>
      <c r="J78" s="38" t="n">
        <v>42.7808462167552</v>
      </c>
      <c r="K78" s="38" t="n">
        <v>129.234279071329</v>
      </c>
      <c r="L78" s="38" t="n">
        <v>72.1741083856779</v>
      </c>
      <c r="M78" s="38" t="n">
        <v>66.3247350139603</v>
      </c>
      <c r="N78" s="38" t="n">
        <v>0</v>
      </c>
    </row>
    <row r="79" customFormat="false" ht="15" hidden="false" customHeight="false" outlineLevel="0" collapsed="false">
      <c r="A79" s="37" t="s">
        <v>550</v>
      </c>
      <c r="B79" s="37" t="s">
        <v>100</v>
      </c>
      <c r="C79" s="37" t="s">
        <v>55</v>
      </c>
      <c r="D79" s="37" t="s">
        <v>37</v>
      </c>
      <c r="E79" s="38" t="n">
        <v>194.867857398629</v>
      </c>
      <c r="F79" s="38" t="n">
        <v>39.2284913252066</v>
      </c>
      <c r="G79" s="38" t="n">
        <v>15.9039319267884</v>
      </c>
      <c r="H79" s="38" t="n">
        <v>4.78960818182069</v>
      </c>
      <c r="I79" s="38" t="n">
        <v>235.874137837083</v>
      </c>
      <c r="J79" s="38" t="n">
        <v>35.0101424263789</v>
      </c>
      <c r="K79" s="38" t="n">
        <v>95.5586654226419</v>
      </c>
      <c r="L79" s="38" t="n">
        <v>59.2678402670938</v>
      </c>
      <c r="M79" s="38" t="n">
        <v>53.1185849026026</v>
      </c>
      <c r="N79" s="38" t="n">
        <v>0</v>
      </c>
    </row>
    <row r="80" customFormat="false" ht="15" hidden="false" customHeight="false" outlineLevel="0" collapsed="false">
      <c r="A80" s="37" t="s">
        <v>550</v>
      </c>
      <c r="B80" s="37" t="s">
        <v>100</v>
      </c>
      <c r="C80" s="37" t="s">
        <v>59</v>
      </c>
      <c r="D80" s="37" t="s">
        <v>42</v>
      </c>
      <c r="E80" s="38" t="n">
        <v>186.130449586425</v>
      </c>
      <c r="F80" s="38" t="n">
        <v>51.953852951744</v>
      </c>
      <c r="G80" s="38" t="n">
        <v>15.8883305001523</v>
      </c>
      <c r="H80" s="38" t="n">
        <v>4.71774603816191</v>
      </c>
      <c r="I80" s="38" t="n">
        <v>178.615236810712</v>
      </c>
      <c r="J80" s="38" t="n">
        <v>-20.0015527509312</v>
      </c>
      <c r="K80" s="38" t="n">
        <v>63.7172046991819</v>
      </c>
      <c r="L80" s="38" t="n">
        <v>49.7278760676774</v>
      </c>
      <c r="M80" s="38" t="n">
        <v>38.9805701072034</v>
      </c>
      <c r="N80" s="38" t="n">
        <v>0</v>
      </c>
    </row>
    <row r="81" customFormat="false" ht="15" hidden="false" customHeight="false" outlineLevel="0" collapsed="false">
      <c r="A81" s="37" t="s">
        <v>550</v>
      </c>
      <c r="B81" s="37" t="s">
        <v>100</v>
      </c>
      <c r="C81" s="37" t="s">
        <v>63</v>
      </c>
      <c r="D81" s="37" t="s">
        <v>47</v>
      </c>
      <c r="E81" s="38" t="n">
        <v>202.67519107401</v>
      </c>
      <c r="F81" s="38" t="n">
        <v>39.6939894313198</v>
      </c>
      <c r="G81" s="38" t="n">
        <v>15.9078656459718</v>
      </c>
      <c r="H81" s="38" t="n">
        <v>27.3506241763368</v>
      </c>
      <c r="I81" s="38" t="n">
        <v>212.981973185287</v>
      </c>
      <c r="J81" s="38" t="n">
        <v>22.2857660405897</v>
      </c>
      <c r="K81" s="38" t="n">
        <v>94.1459883568684</v>
      </c>
      <c r="L81" s="38" t="n">
        <v>59.0591294166029</v>
      </c>
      <c r="M81" s="38" t="n">
        <v>53.6984484524162</v>
      </c>
      <c r="N81" s="38" t="n">
        <v>0</v>
      </c>
    </row>
    <row r="82" customFormat="false" ht="15" hidden="false" customHeight="false" outlineLevel="0" collapsed="false">
      <c r="A82" s="37" t="s">
        <v>550</v>
      </c>
      <c r="B82" s="37" t="s">
        <v>100</v>
      </c>
      <c r="C82" s="37" t="s">
        <v>67</v>
      </c>
      <c r="D82" s="37" t="s">
        <v>68</v>
      </c>
      <c r="E82" s="38" t="n">
        <v>190.226847409267</v>
      </c>
      <c r="F82" s="38" t="n">
        <v>40.6366582197403</v>
      </c>
      <c r="G82" s="38" t="n">
        <v>15.1154131366612</v>
      </c>
      <c r="H82" s="38" t="n">
        <v>4.9853863148386</v>
      </c>
      <c r="I82" s="38" t="n">
        <v>195.10628327223</v>
      </c>
      <c r="J82" s="38" t="n">
        <v>24.4408269101123</v>
      </c>
      <c r="K82" s="38" t="n">
        <v>94.9707821822824</v>
      </c>
      <c r="L82" s="38" t="n">
        <v>61.7346447275285</v>
      </c>
      <c r="M82" s="38" t="n">
        <v>53.6342685768191</v>
      </c>
      <c r="N82" s="38" t="n">
        <v>0</v>
      </c>
    </row>
    <row r="83" customFormat="false" ht="15" hidden="false" customHeight="false" outlineLevel="0" collapsed="false">
      <c r="A83" s="37" t="s">
        <v>550</v>
      </c>
      <c r="B83" s="37" t="s">
        <v>100</v>
      </c>
      <c r="C83" s="37" t="s">
        <v>72</v>
      </c>
      <c r="D83" s="37" t="s">
        <v>73</v>
      </c>
      <c r="E83" s="38" t="n">
        <v>186.766847089153</v>
      </c>
      <c r="F83" s="38" t="n">
        <v>40.7565261267345</v>
      </c>
      <c r="G83" s="38" t="n">
        <v>15.9221667710777</v>
      </c>
      <c r="H83" s="38" t="n">
        <v>8.59717676368948</v>
      </c>
      <c r="I83" s="38" t="n">
        <v>200.38721947716</v>
      </c>
      <c r="J83" s="38" t="n">
        <v>164.015235350176</v>
      </c>
      <c r="K83" s="38" t="n">
        <v>91.3289992195899</v>
      </c>
      <c r="L83" s="38" t="n">
        <v>62.2334972515039</v>
      </c>
      <c r="M83" s="38" t="n">
        <v>50.4376078852749</v>
      </c>
      <c r="N83" s="38" t="n">
        <v>0</v>
      </c>
    </row>
    <row r="84" customFormat="false" ht="15" hidden="false" customHeight="false" outlineLevel="0" collapsed="false">
      <c r="A84" s="37" t="s">
        <v>550</v>
      </c>
      <c r="B84" s="37" t="s">
        <v>100</v>
      </c>
      <c r="C84" s="37" t="s">
        <v>77</v>
      </c>
      <c r="D84" s="37" t="s">
        <v>78</v>
      </c>
      <c r="E84" s="38" t="n">
        <v>219.312344476402</v>
      </c>
      <c r="F84" s="38" t="n">
        <v>51.6376315675158</v>
      </c>
      <c r="G84" s="38" t="n">
        <v>16.0401520029203</v>
      </c>
      <c r="H84" s="38" t="n">
        <v>17.2192204389607</v>
      </c>
      <c r="I84" s="38" t="n">
        <v>231.129293850702</v>
      </c>
      <c r="J84" s="38" t="n">
        <v>49.9083841283374</v>
      </c>
      <c r="K84" s="38" t="n">
        <v>135.005707579352</v>
      </c>
      <c r="L84" s="38" t="n">
        <v>76.0475999781437</v>
      </c>
      <c r="M84" s="38" t="n">
        <v>70.4685675565727</v>
      </c>
      <c r="N84" s="38" t="n">
        <v>0</v>
      </c>
    </row>
    <row r="85" customFormat="false" ht="15" hidden="false" customHeight="false" outlineLevel="0" collapsed="false">
      <c r="A85" s="37" t="s">
        <v>550</v>
      </c>
      <c r="B85" s="37" t="s">
        <v>106</v>
      </c>
      <c r="C85" s="37" t="s">
        <v>36</v>
      </c>
      <c r="D85" s="37" t="s">
        <v>37</v>
      </c>
      <c r="E85" s="38" t="n">
        <v>213.357342386116</v>
      </c>
      <c r="F85" s="38" t="n">
        <v>40.5305429523825</v>
      </c>
      <c r="G85" s="38" t="n">
        <v>15.9058712307534</v>
      </c>
      <c r="H85" s="38" t="n">
        <v>5.03141085364453</v>
      </c>
      <c r="I85" s="38" t="n">
        <v>251.260408382437</v>
      </c>
      <c r="J85" s="38" t="n">
        <v>47.9616578427354</v>
      </c>
      <c r="K85" s="38" t="n">
        <v>117.726693288497</v>
      </c>
      <c r="L85" s="38" t="n">
        <v>69.7239719374708</v>
      </c>
      <c r="M85" s="38" t="n">
        <v>64.7864509996784</v>
      </c>
      <c r="N85" s="38" t="n">
        <v>0</v>
      </c>
    </row>
    <row r="86" customFormat="false" ht="15" hidden="false" customHeight="false" outlineLevel="0" collapsed="false">
      <c r="A86" s="37" t="s">
        <v>550</v>
      </c>
      <c r="B86" s="37" t="s">
        <v>106</v>
      </c>
      <c r="C86" s="37" t="s">
        <v>41</v>
      </c>
      <c r="D86" s="37" t="s">
        <v>42</v>
      </c>
      <c r="E86" s="38" t="n">
        <v>199.40706728234</v>
      </c>
      <c r="F86" s="38" t="n">
        <v>51.9464254308998</v>
      </c>
      <c r="G86" s="38" t="n">
        <v>15.889489180681</v>
      </c>
      <c r="H86" s="38" t="n">
        <v>4.92033572219715</v>
      </c>
      <c r="I86" s="38" t="n">
        <v>202.128721099823</v>
      </c>
      <c r="J86" s="38" t="n">
        <v>24.9482452088025</v>
      </c>
      <c r="K86" s="38" t="n">
        <v>84.9326139905197</v>
      </c>
      <c r="L86" s="38" t="n">
        <v>59.4008433085104</v>
      </c>
      <c r="M86" s="38" t="n">
        <v>50.22099298396</v>
      </c>
      <c r="N86" s="38" t="n">
        <v>0</v>
      </c>
    </row>
    <row r="87" customFormat="false" ht="15" hidden="false" customHeight="false" outlineLevel="0" collapsed="false">
      <c r="A87" s="37" t="s">
        <v>550</v>
      </c>
      <c r="B87" s="37" t="s">
        <v>106</v>
      </c>
      <c r="C87" s="37" t="s">
        <v>46</v>
      </c>
      <c r="D87" s="37" t="s">
        <v>47</v>
      </c>
      <c r="E87" s="38" t="n">
        <v>224.518306282533</v>
      </c>
      <c r="F87" s="38" t="n">
        <v>40.5527820482971</v>
      </c>
      <c r="G87" s="38" t="n">
        <v>15.9221667710777</v>
      </c>
      <c r="H87" s="38" t="n">
        <v>27.8902650721573</v>
      </c>
      <c r="I87" s="38" t="n">
        <v>250.084232733225</v>
      </c>
      <c r="J87" s="38" t="n">
        <v>56.834232733225</v>
      </c>
      <c r="K87" s="38" t="n">
        <v>139.072961386038</v>
      </c>
      <c r="L87" s="38" t="n">
        <v>76.6903767353093</v>
      </c>
      <c r="M87" s="38" t="n">
        <v>70.5455905494745</v>
      </c>
      <c r="N87" s="38" t="n">
        <v>0</v>
      </c>
    </row>
    <row r="88" customFormat="false" ht="15" hidden="false" customHeight="false" outlineLevel="0" collapsed="false">
      <c r="A88" s="37" t="s">
        <v>550</v>
      </c>
      <c r="B88" s="37" t="s">
        <v>106</v>
      </c>
      <c r="C88" s="37" t="s">
        <v>51</v>
      </c>
      <c r="D88" s="37" t="s">
        <v>51</v>
      </c>
      <c r="E88" s="38" t="n">
        <v>221.084374221246</v>
      </c>
      <c r="F88" s="38" t="n">
        <v>45.4081214723827</v>
      </c>
      <c r="G88" s="38" t="n">
        <v>15.9221667710777</v>
      </c>
      <c r="H88" s="38" t="n">
        <v>17.8765692783715</v>
      </c>
      <c r="I88" s="38" t="n">
        <v>259.248512215303</v>
      </c>
      <c r="J88" s="38" t="n">
        <v>62.5748115804254</v>
      </c>
      <c r="K88" s="38" t="n">
        <v>139.23405559248</v>
      </c>
      <c r="L88" s="38" t="n">
        <v>74.8503528010423</v>
      </c>
      <c r="M88" s="38" t="n">
        <v>70.7244019728875</v>
      </c>
      <c r="N88" s="38" t="n">
        <v>0</v>
      </c>
    </row>
    <row r="89" customFormat="false" ht="15" hidden="false" customHeight="false" outlineLevel="0" collapsed="false">
      <c r="A89" s="37" t="s">
        <v>550</v>
      </c>
      <c r="B89" s="37" t="s">
        <v>106</v>
      </c>
      <c r="C89" s="37" t="s">
        <v>55</v>
      </c>
      <c r="D89" s="37" t="s">
        <v>37</v>
      </c>
      <c r="E89" s="38" t="n">
        <v>204.847832855894</v>
      </c>
      <c r="F89" s="38" t="n">
        <v>40.1970988241999</v>
      </c>
      <c r="G89" s="38" t="n">
        <v>15.90420485001</v>
      </c>
      <c r="H89" s="38" t="n">
        <v>4.78960818182069</v>
      </c>
      <c r="I89" s="38" t="n">
        <v>258.374121162751</v>
      </c>
      <c r="J89" s="38" t="n">
        <v>57.6952280691762</v>
      </c>
      <c r="K89" s="38" t="n">
        <v>111.385717544233</v>
      </c>
      <c r="L89" s="38" t="n">
        <v>62.1419291015761</v>
      </c>
      <c r="M89" s="38" t="n">
        <v>59.2081002110734</v>
      </c>
      <c r="N89" s="38" t="n">
        <v>0</v>
      </c>
    </row>
    <row r="90" customFormat="false" ht="15" hidden="false" customHeight="false" outlineLevel="0" collapsed="false">
      <c r="A90" s="37" t="s">
        <v>550</v>
      </c>
      <c r="B90" s="37" t="s">
        <v>106</v>
      </c>
      <c r="C90" s="37" t="s">
        <v>59</v>
      </c>
      <c r="D90" s="37" t="s">
        <v>42</v>
      </c>
      <c r="E90" s="38" t="n">
        <v>195.251547067355</v>
      </c>
      <c r="F90" s="38" t="n">
        <v>53.9573017287729</v>
      </c>
      <c r="G90" s="38" t="n">
        <v>15.8884117407786</v>
      </c>
      <c r="H90" s="38" t="n">
        <v>4.71774603816191</v>
      </c>
      <c r="I90" s="38" t="n">
        <v>199.448429187542</v>
      </c>
      <c r="J90" s="38" t="n">
        <v>0.833658122609528</v>
      </c>
      <c r="K90" s="38" t="n">
        <v>78.4230170542657</v>
      </c>
      <c r="L90" s="38" t="n">
        <v>52.4713798292206</v>
      </c>
      <c r="M90" s="38" t="n">
        <v>44.3726118010413</v>
      </c>
      <c r="N90" s="38" t="n">
        <v>0</v>
      </c>
    </row>
    <row r="91" customFormat="false" ht="15" hidden="false" customHeight="false" outlineLevel="0" collapsed="false">
      <c r="A91" s="37" t="s">
        <v>550</v>
      </c>
      <c r="B91" s="37" t="s">
        <v>106</v>
      </c>
      <c r="C91" s="37" t="s">
        <v>63</v>
      </c>
      <c r="D91" s="37" t="s">
        <v>47</v>
      </c>
      <c r="E91" s="38" t="n">
        <v>210.421364654114</v>
      </c>
      <c r="F91" s="38" t="n">
        <v>40.8431496414971</v>
      </c>
      <c r="G91" s="38" t="n">
        <v>15.9080493432739</v>
      </c>
      <c r="H91" s="38" t="n">
        <v>27.3506241763368</v>
      </c>
      <c r="I91" s="38" t="n">
        <v>229.71351223907</v>
      </c>
      <c r="J91" s="38" t="n">
        <v>39.1418782620602</v>
      </c>
      <c r="K91" s="38" t="n">
        <v>115.230206597058</v>
      </c>
      <c r="L91" s="38" t="n">
        <v>61.3280351946369</v>
      </c>
      <c r="M91" s="38" t="n">
        <v>60.9896097254744</v>
      </c>
      <c r="N91" s="38" t="n">
        <v>0</v>
      </c>
    </row>
    <row r="92" customFormat="false" ht="15" hidden="false" customHeight="false" outlineLevel="0" collapsed="false">
      <c r="A92" s="37" t="s">
        <v>550</v>
      </c>
      <c r="B92" s="37" t="s">
        <v>106</v>
      </c>
      <c r="C92" s="37" t="s">
        <v>67</v>
      </c>
      <c r="D92" s="37" t="s">
        <v>68</v>
      </c>
      <c r="E92" s="38" t="n">
        <v>199.230621608548</v>
      </c>
      <c r="F92" s="38" t="n">
        <v>41.7183815699539</v>
      </c>
      <c r="G92" s="38" t="n">
        <v>15.1221830078397</v>
      </c>
      <c r="H92" s="38" t="n">
        <v>4.99119857494195</v>
      </c>
      <c r="I92" s="38" t="n">
        <v>215.493885950038</v>
      </c>
      <c r="J92" s="38" t="n">
        <v>33.9938859500379</v>
      </c>
      <c r="K92" s="38" t="n">
        <v>113.982206931249</v>
      </c>
      <c r="L92" s="38" t="n">
        <v>64.0559097651232</v>
      </c>
      <c r="M92" s="38" t="n">
        <v>60.8008290647047</v>
      </c>
      <c r="N92" s="38" t="n">
        <v>0</v>
      </c>
    </row>
    <row r="93" customFormat="false" ht="15" hidden="false" customHeight="false" outlineLevel="0" collapsed="false">
      <c r="A93" s="37" t="s">
        <v>550</v>
      </c>
      <c r="B93" s="37" t="s">
        <v>106</v>
      </c>
      <c r="C93" s="37" t="s">
        <v>72</v>
      </c>
      <c r="D93" s="37" t="s">
        <v>73</v>
      </c>
      <c r="E93" s="38" t="n">
        <v>195.463920773149</v>
      </c>
      <c r="F93" s="38" t="n">
        <v>41.936383244221</v>
      </c>
      <c r="G93" s="38" t="n">
        <v>15.9221667710777</v>
      </c>
      <c r="H93" s="38" t="n">
        <v>8.59717676368948</v>
      </c>
      <c r="I93" s="38" t="n">
        <v>220.568450517893</v>
      </c>
      <c r="J93" s="38" t="n">
        <v>184.196466390909</v>
      </c>
      <c r="K93" s="38" t="n">
        <v>102.181235207933</v>
      </c>
      <c r="L93" s="38" t="n">
        <v>64.2107136128064</v>
      </c>
      <c r="M93" s="38" t="n">
        <v>55.0436260004524</v>
      </c>
      <c r="N93" s="38" t="n">
        <v>0</v>
      </c>
    </row>
    <row r="94" customFormat="false" ht="15" hidden="false" customHeight="false" outlineLevel="0" collapsed="false">
      <c r="A94" s="37" t="s">
        <v>550</v>
      </c>
      <c r="B94" s="37" t="s">
        <v>106</v>
      </c>
      <c r="C94" s="37" t="s">
        <v>77</v>
      </c>
      <c r="D94" s="37" t="s">
        <v>78</v>
      </c>
      <c r="E94" s="38" t="n">
        <v>228.519326819514</v>
      </c>
      <c r="F94" s="38" t="n">
        <v>53.2406932995625</v>
      </c>
      <c r="G94" s="38" t="n">
        <v>16.0401985558421</v>
      </c>
      <c r="H94" s="38" t="n">
        <v>17.2192204389607</v>
      </c>
      <c r="I94" s="38" t="n">
        <v>250.339246045014</v>
      </c>
      <c r="J94" s="38" t="n">
        <v>69.1397661156924</v>
      </c>
      <c r="K94" s="38" t="n">
        <v>144.666191958458</v>
      </c>
      <c r="L94" s="38" t="n">
        <v>78.8233399927808</v>
      </c>
      <c r="M94" s="38" t="n">
        <v>74.6790002550473</v>
      </c>
      <c r="N94" s="38" t="n">
        <v>0</v>
      </c>
    </row>
    <row r="95" customFormat="false" ht="15" hidden="false" customHeight="false" outlineLevel="0" collapsed="false">
      <c r="A95" s="37" t="s">
        <v>550</v>
      </c>
      <c r="B95" s="37" t="s">
        <v>112</v>
      </c>
      <c r="C95" s="37" t="s">
        <v>36</v>
      </c>
      <c r="D95" s="37" t="s">
        <v>37</v>
      </c>
      <c r="E95" s="38" t="n">
        <v>213.298694837602</v>
      </c>
      <c r="F95" s="38" t="n">
        <v>39.5422805649425</v>
      </c>
      <c r="G95" s="38" t="n">
        <v>15.9058779500925</v>
      </c>
      <c r="H95" s="38" t="n">
        <v>5.95812839283022</v>
      </c>
      <c r="I95" s="38" t="n">
        <v>253.25946810903</v>
      </c>
      <c r="J95" s="38" t="n">
        <v>49.9652745256919</v>
      </c>
      <c r="K95" s="38" t="n">
        <v>117.128370734044</v>
      </c>
      <c r="L95" s="38" t="n">
        <v>69.7131317819148</v>
      </c>
      <c r="M95" s="38" t="n">
        <v>64.6338885780703</v>
      </c>
      <c r="N95" s="38" t="n">
        <v>0</v>
      </c>
    </row>
    <row r="96" customFormat="false" ht="15" hidden="false" customHeight="false" outlineLevel="0" collapsed="false">
      <c r="A96" s="37" t="s">
        <v>550</v>
      </c>
      <c r="B96" s="37" t="s">
        <v>112</v>
      </c>
      <c r="C96" s="37" t="s">
        <v>41</v>
      </c>
      <c r="D96" s="37" t="s">
        <v>42</v>
      </c>
      <c r="E96" s="38" t="n">
        <v>198.477424003857</v>
      </c>
      <c r="F96" s="38" t="n">
        <v>50.1020143657943</v>
      </c>
      <c r="G96" s="38" t="n">
        <v>15.8894195513068</v>
      </c>
      <c r="H96" s="38" t="n">
        <v>5.81148718529775</v>
      </c>
      <c r="I96" s="38" t="n">
        <v>203.237459867311</v>
      </c>
      <c r="J96" s="38" t="n">
        <v>24.9519054144955</v>
      </c>
      <c r="K96" s="38" t="n">
        <v>82.7969712973782</v>
      </c>
      <c r="L96" s="38" t="n">
        <v>59.0925354525913</v>
      </c>
      <c r="M96" s="38" t="n">
        <v>49.445829454376</v>
      </c>
      <c r="N96" s="38" t="n">
        <v>0</v>
      </c>
    </row>
    <row r="97" customFormat="false" ht="15" hidden="false" customHeight="false" outlineLevel="0" collapsed="false">
      <c r="A97" s="37" t="s">
        <v>550</v>
      </c>
      <c r="B97" s="37" t="s">
        <v>112</v>
      </c>
      <c r="C97" s="37" t="s">
        <v>46</v>
      </c>
      <c r="D97" s="37" t="s">
        <v>47</v>
      </c>
      <c r="E97" s="38" t="n">
        <v>236.223788906234</v>
      </c>
      <c r="F97" s="38" t="n">
        <v>39.4419588705632</v>
      </c>
      <c r="G97" s="38" t="n">
        <v>15.9221667710777</v>
      </c>
      <c r="H97" s="38" t="n">
        <v>40.7065708735917</v>
      </c>
      <c r="I97" s="38" t="n">
        <v>284.282521912676</v>
      </c>
      <c r="J97" s="38" t="n">
        <v>91.0325219126763</v>
      </c>
      <c r="K97" s="38" t="n">
        <v>149.501026574394</v>
      </c>
      <c r="L97" s="38" t="n">
        <v>81.0438076972572</v>
      </c>
      <c r="M97" s="38" t="n">
        <v>74.0056567697001</v>
      </c>
      <c r="N97" s="38" t="n">
        <v>0</v>
      </c>
    </row>
    <row r="98" customFormat="false" ht="15" hidden="false" customHeight="false" outlineLevel="0" collapsed="false">
      <c r="A98" s="37" t="s">
        <v>550</v>
      </c>
      <c r="B98" s="37" t="s">
        <v>112</v>
      </c>
      <c r="C98" s="37" t="s">
        <v>51</v>
      </c>
      <c r="D98" s="37" t="s">
        <v>51</v>
      </c>
      <c r="E98" s="38" t="n">
        <v>228.128593438948</v>
      </c>
      <c r="F98" s="38" t="n">
        <v>43.849679270114</v>
      </c>
      <c r="G98" s="38" t="n">
        <v>15.9221667710777</v>
      </c>
      <c r="H98" s="38" t="n">
        <v>26.4792306983426</v>
      </c>
      <c r="I98" s="38" t="n">
        <v>278.731507469987</v>
      </c>
      <c r="J98" s="38" t="n">
        <v>82.0578068351102</v>
      </c>
      <c r="K98" s="38" t="n">
        <v>145.650418278973</v>
      </c>
      <c r="L98" s="38" t="n">
        <v>77.4170218310388</v>
      </c>
      <c r="M98" s="38" t="n">
        <v>73.0954618945589</v>
      </c>
      <c r="N98" s="38" t="n">
        <v>0</v>
      </c>
    </row>
    <row r="99" customFormat="false" ht="15" hidden="false" customHeight="false" outlineLevel="0" collapsed="false">
      <c r="A99" s="37" t="s">
        <v>550</v>
      </c>
      <c r="B99" s="37" t="s">
        <v>112</v>
      </c>
      <c r="C99" s="37" t="s">
        <v>55</v>
      </c>
      <c r="D99" s="37" t="s">
        <v>37</v>
      </c>
      <c r="E99" s="38" t="n">
        <v>204.751989201875</v>
      </c>
      <c r="F99" s="38" t="n">
        <v>39.2464716086814</v>
      </c>
      <c r="G99" s="38" t="n">
        <v>15.9042109404651</v>
      </c>
      <c r="H99" s="38" t="n">
        <v>5.64209299144803</v>
      </c>
      <c r="I99" s="38" t="n">
        <v>260.268433766936</v>
      </c>
      <c r="J99" s="38" t="n">
        <v>59.5936713322498</v>
      </c>
      <c r="K99" s="38" t="n">
        <v>110.746166773557</v>
      </c>
      <c r="L99" s="38" t="n">
        <v>62.1210375707442</v>
      </c>
      <c r="M99" s="38" t="n">
        <v>59.0147212477369</v>
      </c>
      <c r="N99" s="38" t="n">
        <v>0</v>
      </c>
    </row>
    <row r="100" customFormat="false" ht="15" hidden="false" customHeight="false" outlineLevel="0" collapsed="false">
      <c r="A100" s="37" t="s">
        <v>550</v>
      </c>
      <c r="B100" s="37" t="s">
        <v>112</v>
      </c>
      <c r="C100" s="37" t="s">
        <v>59</v>
      </c>
      <c r="D100" s="37" t="s">
        <v>42</v>
      </c>
      <c r="E100" s="38" t="n">
        <v>194.109020526033</v>
      </c>
      <c r="F100" s="38" t="n">
        <v>51.9852683851449</v>
      </c>
      <c r="G100" s="38" t="n">
        <v>15.8883317838861</v>
      </c>
      <c r="H100" s="38" t="n">
        <v>5.54833681410179</v>
      </c>
      <c r="I100" s="38" t="n">
        <v>200.35546701038</v>
      </c>
      <c r="J100" s="38" t="n">
        <v>1.73870918151033</v>
      </c>
      <c r="K100" s="38" t="n">
        <v>76.1656605581922</v>
      </c>
      <c r="L100" s="38" t="n">
        <v>52.0594765101634</v>
      </c>
      <c r="M100" s="38" t="n">
        <v>43.6346340096295</v>
      </c>
      <c r="N100" s="38" t="n">
        <v>0</v>
      </c>
    </row>
    <row r="101" customFormat="false" ht="15" hidden="false" customHeight="false" outlineLevel="0" collapsed="false">
      <c r="A101" s="37" t="s">
        <v>550</v>
      </c>
      <c r="B101" s="37" t="s">
        <v>112</v>
      </c>
      <c r="C101" s="37" t="s">
        <v>63</v>
      </c>
      <c r="D101" s="37" t="s">
        <v>47</v>
      </c>
      <c r="E101" s="38" t="n">
        <v>222.50856552099</v>
      </c>
      <c r="F101" s="38" t="n">
        <v>39.785179208655</v>
      </c>
      <c r="G101" s="38" t="n">
        <v>15.9082202537005</v>
      </c>
      <c r="H101" s="38" t="n">
        <v>40.2325651962857</v>
      </c>
      <c r="I101" s="38" t="n">
        <v>264.877930397575</v>
      </c>
      <c r="J101" s="38" t="n">
        <v>66.9221976454245</v>
      </c>
      <c r="K101" s="38" t="n">
        <v>128.396970295928</v>
      </c>
      <c r="L101" s="38" t="n">
        <v>69.8395465745079</v>
      </c>
      <c r="M101" s="38" t="n">
        <v>66.4726763857296</v>
      </c>
      <c r="N101" s="38" t="n">
        <v>0</v>
      </c>
    </row>
    <row r="102" customFormat="false" ht="15" hidden="false" customHeight="false" outlineLevel="0" collapsed="false">
      <c r="A102" s="37" t="s">
        <v>550</v>
      </c>
      <c r="B102" s="37" t="s">
        <v>112</v>
      </c>
      <c r="C102" s="37" t="s">
        <v>67</v>
      </c>
      <c r="D102" s="37" t="s">
        <v>68</v>
      </c>
      <c r="E102" s="38" t="n">
        <v>199.081191008911</v>
      </c>
      <c r="F102" s="38" t="n">
        <v>40.6544214190847</v>
      </c>
      <c r="G102" s="38" t="n">
        <v>15.1226614668613</v>
      </c>
      <c r="H102" s="38" t="n">
        <v>5.90016312269727</v>
      </c>
      <c r="I102" s="38" t="n">
        <v>217.558695685963</v>
      </c>
      <c r="J102" s="38" t="n">
        <v>26.0586956859633</v>
      </c>
      <c r="K102" s="38" t="n">
        <v>106.408923008225</v>
      </c>
      <c r="L102" s="38" t="n">
        <v>66.4267908395264</v>
      </c>
      <c r="M102" s="38" t="n">
        <v>58.8329700925522</v>
      </c>
      <c r="N102" s="38" t="n">
        <v>0</v>
      </c>
    </row>
    <row r="103" customFormat="false" ht="15" hidden="false" customHeight="false" outlineLevel="0" collapsed="false">
      <c r="A103" s="37" t="s">
        <v>550</v>
      </c>
      <c r="B103" s="37" t="s">
        <v>112</v>
      </c>
      <c r="C103" s="37" t="s">
        <v>72</v>
      </c>
      <c r="D103" s="37" t="s">
        <v>73</v>
      </c>
      <c r="E103" s="38" t="n">
        <v>197.519420687392</v>
      </c>
      <c r="F103" s="38" t="n">
        <v>40.7822258765813</v>
      </c>
      <c r="G103" s="38" t="n">
        <v>15.9221667710777</v>
      </c>
      <c r="H103" s="38" t="n">
        <v>11.8068340455719</v>
      </c>
      <c r="I103" s="38" t="n">
        <v>227.192175662657</v>
      </c>
      <c r="J103" s="38" t="n">
        <v>190.820191535673</v>
      </c>
      <c r="K103" s="38" t="n">
        <v>104.84590616225</v>
      </c>
      <c r="L103" s="38" t="n">
        <v>64.7646034980302</v>
      </c>
      <c r="M103" s="38" t="n">
        <v>56.0598616768933</v>
      </c>
      <c r="N103" s="38" t="n">
        <v>0</v>
      </c>
    </row>
    <row r="104" customFormat="false" ht="15" hidden="false" customHeight="false" outlineLevel="0" collapsed="false">
      <c r="A104" s="37" t="s">
        <v>550</v>
      </c>
      <c r="B104" s="37" t="s">
        <v>112</v>
      </c>
      <c r="C104" s="37" t="s">
        <v>77</v>
      </c>
      <c r="D104" s="37" t="s">
        <v>78</v>
      </c>
      <c r="E104" s="38" t="n">
        <v>235.253663861814</v>
      </c>
      <c r="F104" s="38" t="n">
        <v>51.7032407247691</v>
      </c>
      <c r="G104" s="38" t="n">
        <v>16.04015352205</v>
      </c>
      <c r="H104" s="38" t="n">
        <v>25.4928210658444</v>
      </c>
      <c r="I104" s="38" t="n">
        <v>267.512995238548</v>
      </c>
      <c r="J104" s="38" t="n">
        <v>86.2927843337453</v>
      </c>
      <c r="K104" s="38" t="n">
        <v>150.691402226684</v>
      </c>
      <c r="L104" s="38" t="n">
        <v>80.9707949961803</v>
      </c>
      <c r="M104" s="38" t="n">
        <v>76.9069596796141</v>
      </c>
      <c r="N104" s="38" t="n">
        <v>0</v>
      </c>
    </row>
    <row r="105" customFormat="false" ht="15" hidden="false" customHeight="false" outlineLevel="0" collapsed="false">
      <c r="A105" s="37" t="s">
        <v>550</v>
      </c>
      <c r="B105" s="37" t="s">
        <v>118</v>
      </c>
      <c r="C105" s="37" t="s">
        <v>36</v>
      </c>
      <c r="D105" s="37" t="s">
        <v>37</v>
      </c>
      <c r="E105" s="38" t="n">
        <v>228.699561170076</v>
      </c>
      <c r="F105" s="38" t="n">
        <v>39.5834348361254</v>
      </c>
      <c r="G105" s="38" t="n">
        <v>15.9058544912055</v>
      </c>
      <c r="H105" s="38" t="n">
        <v>4.11673053715598</v>
      </c>
      <c r="I105" s="38" t="n">
        <v>287.527124928629</v>
      </c>
      <c r="J105" s="38" t="n">
        <v>84.2170218712593</v>
      </c>
      <c r="K105" s="38" t="n">
        <v>132.308678566336</v>
      </c>
      <c r="L105" s="38" t="n">
        <v>73.8958488375894</v>
      </c>
      <c r="M105" s="38" t="n">
        <v>70.946747590185</v>
      </c>
      <c r="N105" s="38" t="n">
        <v>0</v>
      </c>
    </row>
    <row r="106" customFormat="false" ht="15" hidden="false" customHeight="false" outlineLevel="0" collapsed="false">
      <c r="A106" s="37" t="s">
        <v>550</v>
      </c>
      <c r="B106" s="37" t="s">
        <v>118</v>
      </c>
      <c r="C106" s="37" t="s">
        <v>41</v>
      </c>
      <c r="D106" s="37" t="s">
        <v>42</v>
      </c>
      <c r="E106" s="38" t="n">
        <v>216.349296733273</v>
      </c>
      <c r="F106" s="38" t="n">
        <v>55.7718219511116</v>
      </c>
      <c r="G106" s="38" t="n">
        <v>15.9049308882645</v>
      </c>
      <c r="H106" s="38" t="n">
        <v>4.11450784619871</v>
      </c>
      <c r="I106" s="38" t="n">
        <v>222.25404180583</v>
      </c>
      <c r="J106" s="38" t="n">
        <v>64.8820542374981</v>
      </c>
      <c r="K106" s="38" t="n">
        <v>111.071006653827</v>
      </c>
      <c r="L106" s="38" t="n">
        <v>68.6901741328408</v>
      </c>
      <c r="M106" s="38" t="n">
        <v>62.1106731903153</v>
      </c>
      <c r="N106" s="38" t="n">
        <v>0</v>
      </c>
    </row>
    <row r="107" customFormat="false" ht="15" hidden="false" customHeight="false" outlineLevel="0" collapsed="false">
      <c r="A107" s="37" t="s">
        <v>550</v>
      </c>
      <c r="B107" s="37" t="s">
        <v>118</v>
      </c>
      <c r="C107" s="37" t="s">
        <v>46</v>
      </c>
      <c r="D107" s="37" t="s">
        <v>47</v>
      </c>
      <c r="E107" s="38" t="n">
        <v>222.933477344089</v>
      </c>
      <c r="F107" s="38" t="n">
        <v>39.1994944938971</v>
      </c>
      <c r="G107" s="38" t="n">
        <v>15.9221667710777</v>
      </c>
      <c r="H107" s="38" t="n">
        <v>16.9006082148153</v>
      </c>
      <c r="I107" s="38" t="n">
        <v>246.846735829542</v>
      </c>
      <c r="J107" s="38" t="n">
        <v>53.5967358295415</v>
      </c>
      <c r="K107" s="38" t="n">
        <v>135.440656555394</v>
      </c>
      <c r="L107" s="38" t="n">
        <v>75.2269576969658</v>
      </c>
      <c r="M107" s="38" t="n">
        <v>70.4009319321221</v>
      </c>
      <c r="N107" s="38" t="n">
        <v>0</v>
      </c>
    </row>
    <row r="108" customFormat="false" ht="15" hidden="false" customHeight="false" outlineLevel="0" collapsed="false">
      <c r="A108" s="37" t="s">
        <v>550</v>
      </c>
      <c r="B108" s="37" t="s">
        <v>118</v>
      </c>
      <c r="C108" s="37" t="s">
        <v>51</v>
      </c>
      <c r="D108" s="37" t="s">
        <v>51</v>
      </c>
      <c r="E108" s="38" t="n">
        <v>225.921016969519</v>
      </c>
      <c r="F108" s="38" t="n">
        <v>43.7104536177221</v>
      </c>
      <c r="G108" s="38" t="n">
        <v>15.9221667710777</v>
      </c>
      <c r="H108" s="38" t="n">
        <v>11.3070619880399</v>
      </c>
      <c r="I108" s="38" t="n">
        <v>274.500868100095</v>
      </c>
      <c r="J108" s="38" t="n">
        <v>77.8271674652182</v>
      </c>
      <c r="K108" s="38" t="n">
        <v>141.072270505366</v>
      </c>
      <c r="L108" s="38" t="n">
        <v>75.5789488655031</v>
      </c>
      <c r="M108" s="38" t="n">
        <v>72.001364235964</v>
      </c>
      <c r="N108" s="38" t="n">
        <v>0</v>
      </c>
    </row>
    <row r="109" customFormat="false" ht="15" hidden="false" customHeight="false" outlineLevel="0" collapsed="false">
      <c r="A109" s="37" t="s">
        <v>550</v>
      </c>
      <c r="B109" s="37" t="s">
        <v>118</v>
      </c>
      <c r="C109" s="37" t="s">
        <v>55</v>
      </c>
      <c r="D109" s="37" t="s">
        <v>37</v>
      </c>
      <c r="E109" s="38" t="n">
        <v>219.617660989997</v>
      </c>
      <c r="F109" s="38" t="n">
        <v>39.291156075128</v>
      </c>
      <c r="G109" s="38" t="n">
        <v>15.9045581845875</v>
      </c>
      <c r="H109" s="38" t="n">
        <v>3.94328429515778</v>
      </c>
      <c r="I109" s="38" t="n">
        <v>294.901605755894</v>
      </c>
      <c r="J109" s="38" t="n">
        <v>94.4623494609272</v>
      </c>
      <c r="K109" s="38" t="n">
        <v>125.957022753601</v>
      </c>
      <c r="L109" s="38" t="n">
        <v>67.5013011755843</v>
      </c>
      <c r="M109" s="38" t="n">
        <v>65.7155167611823</v>
      </c>
      <c r="N109" s="38" t="n">
        <v>0</v>
      </c>
    </row>
    <row r="110" customFormat="false" ht="15" hidden="false" customHeight="false" outlineLevel="0" collapsed="false">
      <c r="A110" s="37" t="s">
        <v>550</v>
      </c>
      <c r="B110" s="37" t="s">
        <v>118</v>
      </c>
      <c r="C110" s="37" t="s">
        <v>59</v>
      </c>
      <c r="D110" s="37" t="s">
        <v>42</v>
      </c>
      <c r="E110" s="38" t="n">
        <v>204.761430422064</v>
      </c>
      <c r="F110" s="38" t="n">
        <v>52.066273802849</v>
      </c>
      <c r="G110" s="38" t="n">
        <v>15.88833521502</v>
      </c>
      <c r="H110" s="38" t="n">
        <v>3.89084309997944</v>
      </c>
      <c r="I110" s="38" t="n">
        <v>228.877156471044</v>
      </c>
      <c r="J110" s="38" t="n">
        <v>30.2574465729985</v>
      </c>
      <c r="K110" s="38" t="n">
        <v>96.1436500685595</v>
      </c>
      <c r="L110" s="38" t="n">
        <v>54.9915071579762</v>
      </c>
      <c r="M110" s="38" t="n">
        <v>51.3391034321137</v>
      </c>
      <c r="N110" s="38" t="n">
        <v>0</v>
      </c>
    </row>
    <row r="111" customFormat="false" ht="15" hidden="false" customHeight="false" outlineLevel="0" collapsed="false">
      <c r="A111" s="37" t="s">
        <v>550</v>
      </c>
      <c r="B111" s="37" t="s">
        <v>118</v>
      </c>
      <c r="C111" s="37" t="s">
        <v>63</v>
      </c>
      <c r="D111" s="37" t="s">
        <v>47</v>
      </c>
      <c r="E111" s="38" t="n">
        <v>208.756776801586</v>
      </c>
      <c r="F111" s="38" t="n">
        <v>39.5400280714037</v>
      </c>
      <c r="G111" s="38" t="n">
        <v>15.9081176581776</v>
      </c>
      <c r="H111" s="38" t="n">
        <v>16.4613048215322</v>
      </c>
      <c r="I111" s="38" t="n">
        <v>226.36253007021</v>
      </c>
      <c r="J111" s="38" t="n">
        <v>35.8372232430522</v>
      </c>
      <c r="K111" s="38" t="n">
        <v>108.890400724161</v>
      </c>
      <c r="L111" s="38" t="n">
        <v>59.6283170443619</v>
      </c>
      <c r="M111" s="38" t="n">
        <v>59.6193174228835</v>
      </c>
      <c r="N111" s="38" t="n">
        <v>0</v>
      </c>
    </row>
    <row r="112" customFormat="false" ht="15" hidden="false" customHeight="false" outlineLevel="0" collapsed="false">
      <c r="A112" s="37" t="s">
        <v>550</v>
      </c>
      <c r="B112" s="37" t="s">
        <v>118</v>
      </c>
      <c r="C112" s="37" t="s">
        <v>67</v>
      </c>
      <c r="D112" s="37" t="s">
        <v>68</v>
      </c>
      <c r="E112" s="38" t="n">
        <v>210.824792423961</v>
      </c>
      <c r="F112" s="38" t="n">
        <v>40.6961615320846</v>
      </c>
      <c r="G112" s="38" t="n">
        <v>15.1312069738694</v>
      </c>
      <c r="H112" s="38" t="n">
        <v>4.09069122026735</v>
      </c>
      <c r="I112" s="38" t="n">
        <v>245.709920462189</v>
      </c>
      <c r="J112" s="38" t="n">
        <v>54.2099204621886</v>
      </c>
      <c r="K112" s="38" t="n">
        <v>131.203829261028</v>
      </c>
      <c r="L112" s="38" t="n">
        <v>69.5846760631604</v>
      </c>
      <c r="M112" s="38" t="n">
        <v>67.1519828228321</v>
      </c>
      <c r="N112" s="38" t="n">
        <v>0</v>
      </c>
    </row>
    <row r="113" customFormat="false" ht="15" hidden="false" customHeight="false" outlineLevel="0" collapsed="false">
      <c r="A113" s="37" t="s">
        <v>550</v>
      </c>
      <c r="B113" s="37" t="s">
        <v>118</v>
      </c>
      <c r="C113" s="37" t="s">
        <v>72</v>
      </c>
      <c r="D113" s="37" t="s">
        <v>73</v>
      </c>
      <c r="E113" s="38" t="n">
        <v>204.805397036267</v>
      </c>
      <c r="F113" s="38" t="n">
        <v>40.8085150961475</v>
      </c>
      <c r="G113" s="38" t="n">
        <v>15.9221667710777</v>
      </c>
      <c r="H113" s="38" t="n">
        <v>6.09477592139979</v>
      </c>
      <c r="I113" s="38" t="n">
        <v>248.316916232167</v>
      </c>
      <c r="J113" s="38" t="n">
        <v>211.944932105183</v>
      </c>
      <c r="K113" s="38" t="n">
        <v>111.067463619473</v>
      </c>
      <c r="L113" s="38" t="n">
        <v>65.8978294126638</v>
      </c>
      <c r="M113" s="38" t="n">
        <v>59.3271684701167</v>
      </c>
      <c r="N113" s="38" t="n">
        <v>0</v>
      </c>
    </row>
    <row r="114" customFormat="false" ht="15" hidden="false" customHeight="false" outlineLevel="0" collapsed="false">
      <c r="A114" s="37" t="s">
        <v>550</v>
      </c>
      <c r="B114" s="37" t="s">
        <v>118</v>
      </c>
      <c r="C114" s="37" t="s">
        <v>77</v>
      </c>
      <c r="D114" s="37" t="s">
        <v>78</v>
      </c>
      <c r="E114" s="38" t="n">
        <v>233.383794519547</v>
      </c>
      <c r="F114" s="38" t="n">
        <v>51.601657232255</v>
      </c>
      <c r="G114" s="38" t="n">
        <v>16.0401521435287</v>
      </c>
      <c r="H114" s="38" t="n">
        <v>10.9749054432259</v>
      </c>
      <c r="I114" s="38" t="n">
        <v>266.365033927105</v>
      </c>
      <c r="J114" s="38" t="n">
        <v>85.1441888848928</v>
      </c>
      <c r="K114" s="38" t="n">
        <v>145.918368516155</v>
      </c>
      <c r="L114" s="38" t="n">
        <v>79.9372339720687</v>
      </c>
      <c r="M114" s="38" t="n">
        <v>75.026594870111</v>
      </c>
      <c r="N114" s="38" t="n">
        <v>0</v>
      </c>
    </row>
    <row r="115" customFormat="false" ht="15" hidden="false" customHeight="false" outlineLevel="0" collapsed="false">
      <c r="A115" s="37" t="s">
        <v>550</v>
      </c>
      <c r="B115" s="37" t="s">
        <v>121</v>
      </c>
      <c r="C115" s="37" t="s">
        <v>36</v>
      </c>
      <c r="D115" s="37" t="s">
        <v>37</v>
      </c>
      <c r="E115" s="38" t="n">
        <v>208.475040471088</v>
      </c>
      <c r="F115" s="38" t="n">
        <v>39.2079657728275</v>
      </c>
      <c r="G115" s="38" t="n">
        <v>15.8693883017256</v>
      </c>
      <c r="H115" s="38" t="n">
        <v>4.88119944320263</v>
      </c>
      <c r="I115" s="38" t="n">
        <v>245.201378633924</v>
      </c>
      <c r="J115" s="38" t="n">
        <v>41.7986431686966</v>
      </c>
      <c r="K115" s="38" t="n">
        <v>110.351344068311</v>
      </c>
      <c r="L115" s="38" t="n">
        <v>66.9405929722809</v>
      </c>
      <c r="M115" s="38" t="n">
        <v>61.8662062287485</v>
      </c>
      <c r="N115" s="38" t="n">
        <v>0</v>
      </c>
    </row>
    <row r="116" customFormat="false" ht="15" hidden="false" customHeight="false" outlineLevel="0" collapsed="false">
      <c r="A116" s="37" t="s">
        <v>550</v>
      </c>
      <c r="B116" s="37" t="s">
        <v>121</v>
      </c>
      <c r="C116" s="37" t="s">
        <v>41</v>
      </c>
      <c r="D116" s="37" t="s">
        <v>42</v>
      </c>
      <c r="E116" s="38" t="n">
        <v>194.300002768747</v>
      </c>
      <c r="F116" s="38" t="n">
        <v>49.7509957830967</v>
      </c>
      <c r="G116" s="38" t="n">
        <v>15.8530753783062</v>
      </c>
      <c r="H116" s="38" t="n">
        <v>4.7742791895173</v>
      </c>
      <c r="I116" s="38" t="n">
        <v>196.013463136103</v>
      </c>
      <c r="J116" s="38" t="n">
        <v>24.9124567036408</v>
      </c>
      <c r="K116" s="38" t="n">
        <v>75.8499839497872</v>
      </c>
      <c r="L116" s="38" t="n">
        <v>57.6221982158887</v>
      </c>
      <c r="M116" s="38" t="n">
        <v>46.4277418468131</v>
      </c>
      <c r="N116" s="38" t="n">
        <v>0</v>
      </c>
    </row>
    <row r="117" customFormat="false" ht="15" hidden="false" customHeight="false" outlineLevel="0" collapsed="false">
      <c r="A117" s="37" t="s">
        <v>550</v>
      </c>
      <c r="B117" s="37" t="s">
        <v>121</v>
      </c>
      <c r="C117" s="37" t="s">
        <v>46</v>
      </c>
      <c r="D117" s="37" t="s">
        <v>47</v>
      </c>
      <c r="E117" s="38" t="n">
        <v>218.148265985681</v>
      </c>
      <c r="F117" s="38" t="n">
        <v>39.0377865434789</v>
      </c>
      <c r="G117" s="38" t="n">
        <v>15.8858144937776</v>
      </c>
      <c r="H117" s="38" t="n">
        <v>25.9575383328604</v>
      </c>
      <c r="I117" s="38" t="n">
        <v>241.403985025777</v>
      </c>
      <c r="J117" s="38" t="n">
        <v>48.1539850257768</v>
      </c>
      <c r="K117" s="38" t="n">
        <v>130.200176629125</v>
      </c>
      <c r="L117" s="38" t="n">
        <v>74.5851907711243</v>
      </c>
      <c r="M117" s="38" t="n">
        <v>67.1599052779329</v>
      </c>
      <c r="N117" s="38" t="n">
        <v>0</v>
      </c>
    </row>
    <row r="118" customFormat="false" ht="15" hidden="false" customHeight="false" outlineLevel="0" collapsed="false">
      <c r="A118" s="37" t="s">
        <v>550</v>
      </c>
      <c r="B118" s="37" t="s">
        <v>121</v>
      </c>
      <c r="C118" s="37" t="s">
        <v>51</v>
      </c>
      <c r="D118" s="37" t="s">
        <v>51</v>
      </c>
      <c r="E118" s="38" t="n">
        <v>214.871934125635</v>
      </c>
      <c r="F118" s="38" t="n">
        <v>43.4442239499321</v>
      </c>
      <c r="G118" s="38" t="n">
        <v>15.8858144937776</v>
      </c>
      <c r="H118" s="38" t="n">
        <v>16.6003699503618</v>
      </c>
      <c r="I118" s="38" t="n">
        <v>251.271283813034</v>
      </c>
      <c r="J118" s="38" t="n">
        <v>54.5975831781568</v>
      </c>
      <c r="K118" s="38" t="n">
        <v>130.012062302986</v>
      </c>
      <c r="L118" s="38" t="n">
        <v>72.8598866948552</v>
      </c>
      <c r="M118" s="38" t="n">
        <v>66.8949271874907</v>
      </c>
      <c r="N118" s="38" t="n">
        <v>0</v>
      </c>
    </row>
    <row r="119" customFormat="false" ht="15" hidden="false" customHeight="false" outlineLevel="0" collapsed="false">
      <c r="A119" s="37" t="s">
        <v>550</v>
      </c>
      <c r="B119" s="37" t="s">
        <v>121</v>
      </c>
      <c r="C119" s="37" t="s">
        <v>55</v>
      </c>
      <c r="D119" s="37" t="s">
        <v>37</v>
      </c>
      <c r="E119" s="38" t="n">
        <v>200.234101650625</v>
      </c>
      <c r="F119" s="38" t="n">
        <v>38.9148300908656</v>
      </c>
      <c r="G119" s="38" t="n">
        <v>15.8677242647104</v>
      </c>
      <c r="H119" s="38" t="n">
        <v>4.65397394027493</v>
      </c>
      <c r="I119" s="38" t="n">
        <v>252.574061112105</v>
      </c>
      <c r="J119" s="38" t="n">
        <v>51.7912092896845</v>
      </c>
      <c r="K119" s="38" t="n">
        <v>104.126481893975</v>
      </c>
      <c r="L119" s="38" t="n">
        <v>60.7480773007259</v>
      </c>
      <c r="M119" s="38" t="n">
        <v>56.3271139015255</v>
      </c>
      <c r="N119" s="38" t="n">
        <v>0</v>
      </c>
    </row>
    <row r="120" customFormat="false" ht="15" hidden="false" customHeight="false" outlineLevel="0" collapsed="false">
      <c r="A120" s="37" t="s">
        <v>550</v>
      </c>
      <c r="B120" s="37" t="s">
        <v>121</v>
      </c>
      <c r="C120" s="37" t="s">
        <v>59</v>
      </c>
      <c r="D120" s="37" t="s">
        <v>42</v>
      </c>
      <c r="E120" s="38" t="n">
        <v>190.24978527724</v>
      </c>
      <c r="F120" s="38" t="n">
        <v>51.6464853311989</v>
      </c>
      <c r="G120" s="38" t="n">
        <v>15.8520183335148</v>
      </c>
      <c r="H120" s="38" t="n">
        <v>4.58873400190192</v>
      </c>
      <c r="I120" s="38" t="n">
        <v>193.25683095611</v>
      </c>
      <c r="J120" s="38" t="n">
        <v>-5.36011954184816</v>
      </c>
      <c r="K120" s="38" t="n">
        <v>68.4743516170038</v>
      </c>
      <c r="L120" s="38" t="n">
        <v>50.854840929762</v>
      </c>
      <c r="M120" s="38" t="n">
        <v>40.8533339406201</v>
      </c>
      <c r="N120" s="38" t="n">
        <v>0</v>
      </c>
    </row>
    <row r="121" customFormat="false" ht="15" hidden="false" customHeight="false" outlineLevel="0" collapsed="false">
      <c r="A121" s="37" t="s">
        <v>550</v>
      </c>
      <c r="B121" s="37" t="s">
        <v>121</v>
      </c>
      <c r="C121" s="37" t="s">
        <v>63</v>
      </c>
      <c r="D121" s="37" t="s">
        <v>47</v>
      </c>
      <c r="E121" s="38" t="n">
        <v>204.357357026473</v>
      </c>
      <c r="F121" s="38" t="n">
        <v>39.3762822530389</v>
      </c>
      <c r="G121" s="38" t="n">
        <v>15.8715500761317</v>
      </c>
      <c r="H121" s="38" t="n">
        <v>25.454491358381</v>
      </c>
      <c r="I121" s="38" t="n">
        <v>221.417384156501</v>
      </c>
      <c r="J121" s="38" t="n">
        <v>30.7327163731908</v>
      </c>
      <c r="K121" s="38" t="n">
        <v>99.0068183160724</v>
      </c>
      <c r="L121" s="38" t="n">
        <v>59.3364876711931</v>
      </c>
      <c r="M121" s="38" t="n">
        <v>55.4275113408618</v>
      </c>
      <c r="N121" s="38" t="n">
        <v>0</v>
      </c>
    </row>
    <row r="122" customFormat="false" ht="15" hidden="false" customHeight="false" outlineLevel="0" collapsed="false">
      <c r="A122" s="37" t="s">
        <v>550</v>
      </c>
      <c r="B122" s="37" t="s">
        <v>121</v>
      </c>
      <c r="C122" s="37" t="s">
        <v>67</v>
      </c>
      <c r="D122" s="37" t="s">
        <v>68</v>
      </c>
      <c r="E122" s="38" t="n">
        <v>194.740393815941</v>
      </c>
      <c r="F122" s="38" t="n">
        <v>40.3065450847787</v>
      </c>
      <c r="G122" s="38" t="n">
        <v>15.086650380996</v>
      </c>
      <c r="H122" s="38" t="n">
        <v>4.84400508234978</v>
      </c>
      <c r="I122" s="38" t="n">
        <v>209.768769777209</v>
      </c>
      <c r="J122" s="38" t="n">
        <v>28.2687697772087</v>
      </c>
      <c r="K122" s="38" t="n">
        <v>101.213174818428</v>
      </c>
      <c r="L122" s="38" t="n">
        <v>62.6507167128187</v>
      </c>
      <c r="M122" s="38" t="n">
        <v>56.347616387815</v>
      </c>
      <c r="N122" s="38" t="n">
        <v>0</v>
      </c>
    </row>
    <row r="123" customFormat="false" ht="15" hidden="false" customHeight="false" outlineLevel="0" collapsed="false">
      <c r="A123" s="37" t="s">
        <v>550</v>
      </c>
      <c r="B123" s="37" t="s">
        <v>121</v>
      </c>
      <c r="C123" s="37" t="s">
        <v>72</v>
      </c>
      <c r="D123" s="37" t="s">
        <v>73</v>
      </c>
      <c r="E123" s="38" t="n">
        <v>190.706176712994</v>
      </c>
      <c r="F123" s="38" t="n">
        <v>40.4353692439415</v>
      </c>
      <c r="G123" s="38" t="n">
        <v>15.8858144937776</v>
      </c>
      <c r="H123" s="38" t="n">
        <v>8.07913616366102</v>
      </c>
      <c r="I123" s="38" t="n">
        <v>214.345288590164</v>
      </c>
      <c r="J123" s="38" t="n">
        <v>177.97330446318</v>
      </c>
      <c r="K123" s="38" t="n">
        <v>93.9234378035247</v>
      </c>
      <c r="L123" s="38" t="n">
        <v>62.8731070111378</v>
      </c>
      <c r="M123" s="38" t="n">
        <v>51.7625269719677</v>
      </c>
      <c r="N123" s="38" t="n">
        <v>0</v>
      </c>
    </row>
    <row r="124" customFormat="false" ht="15" hidden="false" customHeight="false" outlineLevel="0" collapsed="false">
      <c r="A124" s="37" t="s">
        <v>550</v>
      </c>
      <c r="B124" s="37" t="s">
        <v>121</v>
      </c>
      <c r="C124" s="37" t="s">
        <v>77</v>
      </c>
      <c r="D124" s="37" t="s">
        <v>78</v>
      </c>
      <c r="E124" s="38" t="n">
        <v>222.30039946174</v>
      </c>
      <c r="F124" s="38" t="n">
        <v>51.2970359334163</v>
      </c>
      <c r="G124" s="38" t="n">
        <v>16.0036131186398</v>
      </c>
      <c r="H124" s="38" t="n">
        <v>15.915413074438</v>
      </c>
      <c r="I124" s="38" t="n">
        <v>242.452236194679</v>
      </c>
      <c r="J124" s="38" t="n">
        <v>61.2288545010199</v>
      </c>
      <c r="K124" s="38" t="n">
        <v>135.352416988604</v>
      </c>
      <c r="L124" s="38" t="n">
        <v>76.7787317050375</v>
      </c>
      <c r="M124" s="38" t="n">
        <v>70.862687225044</v>
      </c>
      <c r="N124" s="38" t="n">
        <v>0</v>
      </c>
    </row>
    <row r="125" customFormat="false" ht="15" hidden="false" customHeight="false" outlineLevel="0" collapsed="false">
      <c r="A125" s="37" t="s">
        <v>552</v>
      </c>
      <c r="B125" s="37" t="s">
        <v>97</v>
      </c>
      <c r="C125" s="37" t="s">
        <v>36</v>
      </c>
      <c r="D125" s="37" t="s">
        <v>37</v>
      </c>
      <c r="E125" s="38" t="n">
        <v>211.540237820808</v>
      </c>
      <c r="F125" s="38" t="n">
        <v>38.7144009106094</v>
      </c>
      <c r="G125" s="38" t="n">
        <v>15.9058543963719</v>
      </c>
      <c r="H125" s="38" t="n">
        <v>5.03770740845352</v>
      </c>
      <c r="I125" s="38" t="n">
        <v>249.045591211753</v>
      </c>
      <c r="J125" s="38" t="n">
        <v>45.7354238395512</v>
      </c>
      <c r="K125" s="38" t="n">
        <v>114.726995079169</v>
      </c>
      <c r="L125" s="38" t="n">
        <v>67.7803060617849</v>
      </c>
      <c r="M125" s="38" t="n">
        <v>63.5260204138651</v>
      </c>
      <c r="N125" s="38" t="n">
        <v>0</v>
      </c>
    </row>
    <row r="126" customFormat="false" ht="15" hidden="false" customHeight="false" outlineLevel="0" collapsed="false">
      <c r="A126" s="37" t="s">
        <v>552</v>
      </c>
      <c r="B126" s="37" t="s">
        <v>97</v>
      </c>
      <c r="C126" s="37" t="s">
        <v>41</v>
      </c>
      <c r="D126" s="37" t="s">
        <v>42</v>
      </c>
      <c r="E126" s="38" t="n">
        <v>207.619002879074</v>
      </c>
      <c r="F126" s="38" t="n">
        <v>60.0241488269756</v>
      </c>
      <c r="G126" s="38" t="n">
        <v>15.8897957068484</v>
      </c>
      <c r="H126" s="38" t="n">
        <v>4.92813059869946</v>
      </c>
      <c r="I126" s="38" t="n">
        <v>214.628077091229</v>
      </c>
      <c r="J126" s="38" t="n">
        <v>26.3741370927126</v>
      </c>
      <c r="K126" s="38" t="n">
        <v>97.418311854352</v>
      </c>
      <c r="L126" s="38" t="n">
        <v>62.671975093935</v>
      </c>
      <c r="M126" s="38" t="n">
        <v>54.8353668115852</v>
      </c>
      <c r="N126" s="38" t="n">
        <v>0</v>
      </c>
    </row>
    <row r="127" customFormat="false" ht="15" hidden="false" customHeight="false" outlineLevel="0" collapsed="false">
      <c r="A127" s="37" t="s">
        <v>552</v>
      </c>
      <c r="B127" s="37" t="s">
        <v>97</v>
      </c>
      <c r="C127" s="37" t="s">
        <v>46</v>
      </c>
      <c r="D127" s="37" t="s">
        <v>47</v>
      </c>
      <c r="E127" s="38" t="n">
        <v>233.899253732339</v>
      </c>
      <c r="F127" s="38" t="n">
        <v>38.5701385074056</v>
      </c>
      <c r="G127" s="38" t="n">
        <v>15.9221667710777</v>
      </c>
      <c r="H127" s="38" t="n">
        <v>39.2538560628545</v>
      </c>
      <c r="I127" s="38" t="n">
        <v>276.981869669211</v>
      </c>
      <c r="J127" s="38" t="n">
        <v>83.7318696692105</v>
      </c>
      <c r="K127" s="38" t="n">
        <v>147.103592580773</v>
      </c>
      <c r="L127" s="38" t="n">
        <v>80.2431872912968</v>
      </c>
      <c r="M127" s="38" t="n">
        <v>72.9015040171434</v>
      </c>
      <c r="N127" s="38" t="n">
        <v>0</v>
      </c>
    </row>
    <row r="128" customFormat="false" ht="15" hidden="false" customHeight="false" outlineLevel="0" collapsed="false">
      <c r="A128" s="37" t="s">
        <v>552</v>
      </c>
      <c r="B128" s="37" t="s">
        <v>97</v>
      </c>
      <c r="C128" s="37" t="s">
        <v>51</v>
      </c>
      <c r="D128" s="37" t="s">
        <v>51</v>
      </c>
      <c r="E128" s="38" t="n">
        <v>230.441645158029</v>
      </c>
      <c r="F128" s="38" t="n">
        <v>48.0189800151662</v>
      </c>
      <c r="G128" s="38" t="n">
        <v>15.9221667710777</v>
      </c>
      <c r="H128" s="38" t="n">
        <v>24.6229816723716</v>
      </c>
      <c r="I128" s="38" t="n">
        <v>278.302745685893</v>
      </c>
      <c r="J128" s="38" t="n">
        <v>81.6290450510162</v>
      </c>
      <c r="K128" s="38" t="n">
        <v>150.620110888915</v>
      </c>
      <c r="L128" s="38" t="n">
        <v>78.2332508785575</v>
      </c>
      <c r="M128" s="38" t="n">
        <v>75.1472286267092</v>
      </c>
      <c r="N128" s="38" t="n">
        <v>0</v>
      </c>
    </row>
    <row r="129" customFormat="false" ht="15" hidden="false" customHeight="false" outlineLevel="0" collapsed="false">
      <c r="A129" s="37" t="s">
        <v>552</v>
      </c>
      <c r="B129" s="37" t="s">
        <v>97</v>
      </c>
      <c r="C129" s="37" t="s">
        <v>55</v>
      </c>
      <c r="D129" s="37" t="s">
        <v>37</v>
      </c>
      <c r="E129" s="38" t="n">
        <v>203.052403070737</v>
      </c>
      <c r="F129" s="38" t="n">
        <v>38.4082299153333</v>
      </c>
      <c r="G129" s="38" t="n">
        <v>15.9041874672204</v>
      </c>
      <c r="H129" s="38" t="n">
        <v>4.78960818182069</v>
      </c>
      <c r="I129" s="38" t="n">
        <v>256.095494954286</v>
      </c>
      <c r="J129" s="38" t="n">
        <v>55.4048125284185</v>
      </c>
      <c r="K129" s="38" t="n">
        <v>108.370898080605</v>
      </c>
      <c r="L129" s="38" t="n">
        <v>61.5153762106762</v>
      </c>
      <c r="M129" s="38" t="n">
        <v>57.922805788614</v>
      </c>
      <c r="N129" s="38" t="n">
        <v>0</v>
      </c>
    </row>
    <row r="130" customFormat="false" ht="15" hidden="false" customHeight="false" outlineLevel="0" collapsed="false">
      <c r="A130" s="37" t="s">
        <v>552</v>
      </c>
      <c r="B130" s="37" t="s">
        <v>97</v>
      </c>
      <c r="C130" s="37" t="s">
        <v>59</v>
      </c>
      <c r="D130" s="37" t="s">
        <v>42</v>
      </c>
      <c r="E130" s="38" t="n">
        <v>206.033902453451</v>
      </c>
      <c r="F130" s="38" t="n">
        <v>64.7348246231301</v>
      </c>
      <c r="G130" s="38" t="n">
        <v>15.8887682283369</v>
      </c>
      <c r="H130" s="38" t="n">
        <v>4.71774603816191</v>
      </c>
      <c r="I130" s="38" t="n">
        <v>215.937824891497</v>
      </c>
      <c r="J130" s="38" t="n">
        <v>16.7768138774745</v>
      </c>
      <c r="K130" s="38" t="n">
        <v>95.068851729654</v>
      </c>
      <c r="L130" s="38" t="n">
        <v>56.5308906702868</v>
      </c>
      <c r="M130" s="38" t="n">
        <v>50.1575911528307</v>
      </c>
      <c r="N130" s="38" t="n">
        <v>0</v>
      </c>
    </row>
    <row r="131" customFormat="false" ht="15" hidden="false" customHeight="false" outlineLevel="0" collapsed="false">
      <c r="A131" s="37" t="s">
        <v>552</v>
      </c>
      <c r="B131" s="37" t="s">
        <v>97</v>
      </c>
      <c r="C131" s="37" t="s">
        <v>63</v>
      </c>
      <c r="D131" s="37" t="s">
        <v>47</v>
      </c>
      <c r="E131" s="38" t="n">
        <v>220.113038962243</v>
      </c>
      <c r="F131" s="38" t="n">
        <v>38.8833391648792</v>
      </c>
      <c r="G131" s="38" t="n">
        <v>15.9081797389123</v>
      </c>
      <c r="H131" s="38" t="n">
        <v>38.7510974202793</v>
      </c>
      <c r="I131" s="38" t="n">
        <v>257.366928350065</v>
      </c>
      <c r="J131" s="38" t="n">
        <v>59.3837209453483</v>
      </c>
      <c r="K131" s="38" t="n">
        <v>125.791211838317</v>
      </c>
      <c r="L131" s="38" t="n">
        <v>69.0005197030294</v>
      </c>
      <c r="M131" s="38" t="n">
        <v>65.1771590658792</v>
      </c>
      <c r="N131" s="38" t="n">
        <v>0</v>
      </c>
    </row>
    <row r="132" customFormat="false" ht="15" hidden="false" customHeight="false" outlineLevel="0" collapsed="false">
      <c r="A132" s="37" t="s">
        <v>552</v>
      </c>
      <c r="B132" s="37" t="s">
        <v>97</v>
      </c>
      <c r="C132" s="37" t="s">
        <v>67</v>
      </c>
      <c r="D132" s="37" t="s">
        <v>68</v>
      </c>
      <c r="E132" s="38" t="n">
        <v>197.353717705148</v>
      </c>
      <c r="F132" s="38" t="n">
        <v>39.8428575101211</v>
      </c>
      <c r="G132" s="38" t="n">
        <v>15.1214325041648</v>
      </c>
      <c r="H132" s="38" t="n">
        <v>4.99119857494195</v>
      </c>
      <c r="I132" s="38" t="n">
        <v>213.105616900139</v>
      </c>
      <c r="J132" s="38" t="n">
        <v>31.6056169001387</v>
      </c>
      <c r="K132" s="38" t="n">
        <v>108.428093491228</v>
      </c>
      <c r="L132" s="38" t="n">
        <v>63.3608400690098</v>
      </c>
      <c r="M132" s="38" t="n">
        <v>58.7477837076184</v>
      </c>
      <c r="N132" s="38" t="n">
        <v>0</v>
      </c>
    </row>
    <row r="133" customFormat="false" ht="15" hidden="false" customHeight="false" outlineLevel="0" collapsed="false">
      <c r="A133" s="37" t="s">
        <v>552</v>
      </c>
      <c r="B133" s="37" t="s">
        <v>97</v>
      </c>
      <c r="C133" s="37" t="s">
        <v>72</v>
      </c>
      <c r="D133" s="37" t="s">
        <v>73</v>
      </c>
      <c r="E133" s="38" t="n">
        <v>197.236501264596</v>
      </c>
      <c r="F133" s="38" t="n">
        <v>41.6603849599088</v>
      </c>
      <c r="G133" s="38" t="n">
        <v>15.9221667710777</v>
      </c>
      <c r="H133" s="38" t="n">
        <v>10.6457555394483</v>
      </c>
      <c r="I133" s="38" t="n">
        <v>224.45386525204</v>
      </c>
      <c r="J133" s="38" t="n">
        <v>188.081881125056</v>
      </c>
      <c r="K133" s="38" t="n">
        <v>104.792664615048</v>
      </c>
      <c r="L133" s="38" t="n">
        <v>64.7339569974566</v>
      </c>
      <c r="M133" s="38" t="n">
        <v>56.1437981888571</v>
      </c>
      <c r="N133" s="38" t="n">
        <v>0</v>
      </c>
    </row>
    <row r="134" customFormat="false" ht="15" hidden="false" customHeight="false" outlineLevel="0" collapsed="false">
      <c r="A134" s="37" t="s">
        <v>552</v>
      </c>
      <c r="B134" s="37" t="s">
        <v>97</v>
      </c>
      <c r="C134" s="37" t="s">
        <v>77</v>
      </c>
      <c r="D134" s="37" t="s">
        <v>78</v>
      </c>
      <c r="E134" s="38" t="n">
        <v>237.567615701703</v>
      </c>
      <c r="F134" s="38" t="n">
        <v>55.8749544164053</v>
      </c>
      <c r="G134" s="38" t="n">
        <v>16.0402542661165</v>
      </c>
      <c r="H134" s="38" t="n">
        <v>23.6310096401959</v>
      </c>
      <c r="I134" s="38" t="n">
        <v>270.454540912478</v>
      </c>
      <c r="J134" s="38" t="n">
        <v>89.0788991825484</v>
      </c>
      <c r="K134" s="38" t="n">
        <v>155.169082850219</v>
      </c>
      <c r="L134" s="38" t="n">
        <v>81.7749757322893</v>
      </c>
      <c r="M134" s="38" t="n">
        <v>78.9723446261233</v>
      </c>
      <c r="N134" s="38" t="n">
        <v>0</v>
      </c>
    </row>
    <row r="135" customFormat="false" ht="15" hidden="false" customHeight="false" outlineLevel="0" collapsed="false">
      <c r="A135" s="37" t="s">
        <v>552</v>
      </c>
      <c r="B135" s="37" t="s">
        <v>100</v>
      </c>
      <c r="C135" s="37" t="s">
        <v>36</v>
      </c>
      <c r="D135" s="37" t="s">
        <v>37</v>
      </c>
      <c r="E135" s="38" t="n">
        <v>202.11984889833</v>
      </c>
      <c r="F135" s="38" t="n">
        <v>38.6972262898806</v>
      </c>
      <c r="G135" s="38" t="n">
        <v>15.9056096792055</v>
      </c>
      <c r="H135" s="38" t="n">
        <v>5.01869644449263</v>
      </c>
      <c r="I135" s="38" t="n">
        <v>228.558244862457</v>
      </c>
      <c r="J135" s="38" t="n">
        <v>36.3321132328741</v>
      </c>
      <c r="K135" s="38" t="n">
        <v>101.555768486597</v>
      </c>
      <c r="L135" s="38" t="n">
        <v>62.8072515516548</v>
      </c>
      <c r="M135" s="38" t="n">
        <v>58.1429714156504</v>
      </c>
      <c r="N135" s="38" t="n">
        <v>0</v>
      </c>
    </row>
    <row r="136" customFormat="false" ht="15" hidden="false" customHeight="false" outlineLevel="0" collapsed="false">
      <c r="A136" s="37" t="s">
        <v>552</v>
      </c>
      <c r="B136" s="37" t="s">
        <v>100</v>
      </c>
      <c r="C136" s="37" t="s">
        <v>41</v>
      </c>
      <c r="D136" s="37" t="s">
        <v>42</v>
      </c>
      <c r="E136" s="38" t="n">
        <v>200.027409505149</v>
      </c>
      <c r="F136" s="38" t="n">
        <v>59.9635651431899</v>
      </c>
      <c r="G136" s="38" t="n">
        <v>15.8897319961043</v>
      </c>
      <c r="H136" s="38" t="n">
        <v>4.9146005606619</v>
      </c>
      <c r="I136" s="38" t="n">
        <v>197.34632550691</v>
      </c>
      <c r="J136" s="38" t="n">
        <v>23.2800514438064</v>
      </c>
      <c r="K136" s="38" t="n">
        <v>88.0560314112821</v>
      </c>
      <c r="L136" s="38" t="n">
        <v>60.4384741978575</v>
      </c>
      <c r="M136" s="38" t="n">
        <v>50.7367512603776</v>
      </c>
      <c r="N136" s="38" t="n">
        <v>0</v>
      </c>
    </row>
    <row r="137" customFormat="false" ht="15" hidden="false" customHeight="false" outlineLevel="0" collapsed="false">
      <c r="A137" s="37" t="s">
        <v>552</v>
      </c>
      <c r="B137" s="37" t="s">
        <v>100</v>
      </c>
      <c r="C137" s="37" t="s">
        <v>46</v>
      </c>
      <c r="D137" s="37" t="s">
        <v>47</v>
      </c>
      <c r="E137" s="38" t="n">
        <v>227.068215529673</v>
      </c>
      <c r="F137" s="38" t="n">
        <v>38.5549344701727</v>
      </c>
      <c r="G137" s="38" t="n">
        <v>15.9221667710777</v>
      </c>
      <c r="H137" s="38" t="n">
        <v>39.2538560628545</v>
      </c>
      <c r="I137" s="38" t="n">
        <v>262.260303098508</v>
      </c>
      <c r="J137" s="38" t="n">
        <v>69.0103030985079</v>
      </c>
      <c r="K137" s="38" t="n">
        <v>141.095174408913</v>
      </c>
      <c r="L137" s="38" t="n">
        <v>78.285661105592</v>
      </c>
      <c r="M137" s="38" t="n">
        <v>70.2343043096263</v>
      </c>
      <c r="N137" s="38" t="n">
        <v>0</v>
      </c>
    </row>
    <row r="138" customFormat="false" ht="15" hidden="false" customHeight="false" outlineLevel="0" collapsed="false">
      <c r="A138" s="37" t="s">
        <v>552</v>
      </c>
      <c r="B138" s="37" t="s">
        <v>100</v>
      </c>
      <c r="C138" s="37" t="s">
        <v>51</v>
      </c>
      <c r="D138" s="37" t="s">
        <v>51</v>
      </c>
      <c r="E138" s="38" t="n">
        <v>222.680233873246</v>
      </c>
      <c r="F138" s="38" t="n">
        <v>47.9786413932211</v>
      </c>
      <c r="G138" s="38" t="n">
        <v>15.9221667710777</v>
      </c>
      <c r="H138" s="38" t="n">
        <v>24.6229816723716</v>
      </c>
      <c r="I138" s="38" t="n">
        <v>260.676885113061</v>
      </c>
      <c r="J138" s="38" t="n">
        <v>64.0031844781837</v>
      </c>
      <c r="K138" s="38" t="n">
        <v>143.500440751777</v>
      </c>
      <c r="L138" s="38" t="n">
        <v>76.1675538948509</v>
      </c>
      <c r="M138" s="38" t="n">
        <v>71.9373353656312</v>
      </c>
      <c r="N138" s="38" t="n">
        <v>0</v>
      </c>
    </row>
    <row r="139" customFormat="false" ht="15" hidden="false" customHeight="false" outlineLevel="0" collapsed="false">
      <c r="A139" s="37" t="s">
        <v>552</v>
      </c>
      <c r="B139" s="37" t="s">
        <v>100</v>
      </c>
      <c r="C139" s="37" t="s">
        <v>55</v>
      </c>
      <c r="D139" s="37" t="s">
        <v>37</v>
      </c>
      <c r="E139" s="38" t="n">
        <v>194.027312507436</v>
      </c>
      <c r="F139" s="38" t="n">
        <v>38.3904436384922</v>
      </c>
      <c r="G139" s="38" t="n">
        <v>15.9039248586816</v>
      </c>
      <c r="H139" s="38" t="n">
        <v>4.78960818182069</v>
      </c>
      <c r="I139" s="38" t="n">
        <v>234.829252128865</v>
      </c>
      <c r="J139" s="38" t="n">
        <v>33.9604629585053</v>
      </c>
      <c r="K139" s="38" t="n">
        <v>93.0677993087597</v>
      </c>
      <c r="L139" s="38" t="n">
        <v>58.9682257999041</v>
      </c>
      <c r="M139" s="38" t="n">
        <v>52.1998033371396</v>
      </c>
      <c r="N139" s="38" t="n">
        <v>0</v>
      </c>
    </row>
    <row r="140" customFormat="false" ht="15" hidden="false" customHeight="false" outlineLevel="0" collapsed="false">
      <c r="A140" s="37" t="s">
        <v>552</v>
      </c>
      <c r="B140" s="37" t="s">
        <v>100</v>
      </c>
      <c r="C140" s="37" t="s">
        <v>59</v>
      </c>
      <c r="D140" s="37" t="s">
        <v>42</v>
      </c>
      <c r="E140" s="38" t="n">
        <v>198.842754102331</v>
      </c>
      <c r="F140" s="38" t="n">
        <v>64.6605317026892</v>
      </c>
      <c r="G140" s="38" t="n">
        <v>15.8887658573838</v>
      </c>
      <c r="H140" s="38" t="n">
        <v>4.71774603816191</v>
      </c>
      <c r="I140" s="38" t="n">
        <v>197.891150960377</v>
      </c>
      <c r="J140" s="38" t="n">
        <v>-1.26994546021265</v>
      </c>
      <c r="K140" s="38" t="n">
        <v>84.1632632313894</v>
      </c>
      <c r="L140" s="38" t="n">
        <v>54.4500496642939</v>
      </c>
      <c r="M140" s="38" t="n">
        <v>46.1291132801309</v>
      </c>
      <c r="N140" s="38" t="n">
        <v>0</v>
      </c>
    </row>
    <row r="141" customFormat="false" ht="15" hidden="false" customHeight="false" outlineLevel="0" collapsed="false">
      <c r="A141" s="37" t="s">
        <v>552</v>
      </c>
      <c r="B141" s="37" t="s">
        <v>100</v>
      </c>
      <c r="C141" s="37" t="s">
        <v>63</v>
      </c>
      <c r="D141" s="37" t="s">
        <v>47</v>
      </c>
      <c r="E141" s="38" t="n">
        <v>213.486992750433</v>
      </c>
      <c r="F141" s="38" t="n">
        <v>38.8655477059145</v>
      </c>
      <c r="G141" s="38" t="n">
        <v>15.9080083588074</v>
      </c>
      <c r="H141" s="38" t="n">
        <v>38.7510974202793</v>
      </c>
      <c r="I141" s="38" t="n">
        <v>242.480623039953</v>
      </c>
      <c r="J141" s="38" t="n">
        <v>44.3811957635329</v>
      </c>
      <c r="K141" s="38" t="n">
        <v>119.430059327726</v>
      </c>
      <c r="L141" s="38" t="n">
        <v>67.1368373550208</v>
      </c>
      <c r="M141" s="38" t="n">
        <v>62.3085596702102</v>
      </c>
      <c r="N141" s="38" t="n">
        <v>0</v>
      </c>
    </row>
    <row r="142" customFormat="false" ht="15" hidden="false" customHeight="false" outlineLevel="0" collapsed="false">
      <c r="A142" s="37" t="s">
        <v>552</v>
      </c>
      <c r="B142" s="37" t="s">
        <v>100</v>
      </c>
      <c r="C142" s="37" t="s">
        <v>67</v>
      </c>
      <c r="D142" s="37" t="s">
        <v>68</v>
      </c>
      <c r="E142" s="38" t="n">
        <v>189.407333131489</v>
      </c>
      <c r="F142" s="38" t="n">
        <v>39.8266776292763</v>
      </c>
      <c r="G142" s="38" t="n">
        <v>15.1151409103681</v>
      </c>
      <c r="H142" s="38" t="n">
        <v>4.98490338248564</v>
      </c>
      <c r="I142" s="38" t="n">
        <v>194.212645989577</v>
      </c>
      <c r="J142" s="38" t="n">
        <v>23.9877805707432</v>
      </c>
      <c r="K142" s="38" t="n">
        <v>93.1912835358005</v>
      </c>
      <c r="L142" s="38" t="n">
        <v>61.4524176766391</v>
      </c>
      <c r="M142" s="38" t="n">
        <v>52.8930007499617</v>
      </c>
      <c r="N142" s="38" t="n">
        <v>0</v>
      </c>
    </row>
    <row r="143" customFormat="false" ht="15" hidden="false" customHeight="false" outlineLevel="0" collapsed="false">
      <c r="A143" s="37" t="s">
        <v>552</v>
      </c>
      <c r="B143" s="37" t="s">
        <v>100</v>
      </c>
      <c r="C143" s="37" t="s">
        <v>72</v>
      </c>
      <c r="D143" s="37" t="s">
        <v>73</v>
      </c>
      <c r="E143" s="38" t="n">
        <v>189.694590417668</v>
      </c>
      <c r="F143" s="38" t="n">
        <v>41.6356906794911</v>
      </c>
      <c r="G143" s="38" t="n">
        <v>15.9221667710777</v>
      </c>
      <c r="H143" s="38" t="n">
        <v>10.6457555394483</v>
      </c>
      <c r="I143" s="38" t="n">
        <v>205.857608280807</v>
      </c>
      <c r="J143" s="38" t="n">
        <v>169.485624153823</v>
      </c>
      <c r="K143" s="38" t="n">
        <v>96.1176684842809</v>
      </c>
      <c r="L143" s="38" t="n">
        <v>63.1566704782836</v>
      </c>
      <c r="M143" s="38" t="n">
        <v>52.4385286899217</v>
      </c>
      <c r="N143" s="38" t="n">
        <v>0</v>
      </c>
    </row>
    <row r="144" customFormat="false" ht="15" hidden="false" customHeight="false" outlineLevel="0" collapsed="false">
      <c r="A144" s="37" t="s">
        <v>552</v>
      </c>
      <c r="B144" s="37" t="s">
        <v>100</v>
      </c>
      <c r="C144" s="37" t="s">
        <v>77</v>
      </c>
      <c r="D144" s="37" t="s">
        <v>78</v>
      </c>
      <c r="E144" s="38" t="n">
        <v>229.928237864406</v>
      </c>
      <c r="F144" s="38" t="n">
        <v>55.8378096457875</v>
      </c>
      <c r="G144" s="38" t="n">
        <v>16.0402531893154</v>
      </c>
      <c r="H144" s="38" t="n">
        <v>23.6310096401959</v>
      </c>
      <c r="I144" s="38" t="n">
        <v>253.354807230634</v>
      </c>
      <c r="J144" s="38" t="n">
        <v>71.9786248388778</v>
      </c>
      <c r="K144" s="38" t="n">
        <v>148.368737294703</v>
      </c>
      <c r="L144" s="38" t="n">
        <v>79.8387849758661</v>
      </c>
      <c r="M144" s="38" t="n">
        <v>76.0228674865353</v>
      </c>
      <c r="N144" s="38" t="n">
        <v>0</v>
      </c>
    </row>
    <row r="145" customFormat="false" ht="15" hidden="false" customHeight="false" outlineLevel="0" collapsed="false">
      <c r="A145" s="37" t="s">
        <v>552</v>
      </c>
      <c r="B145" s="37" t="s">
        <v>106</v>
      </c>
      <c r="C145" s="37" t="s">
        <v>36</v>
      </c>
      <c r="D145" s="37" t="s">
        <v>37</v>
      </c>
      <c r="E145" s="38" t="n">
        <v>212.493795887267</v>
      </c>
      <c r="F145" s="38" t="n">
        <v>39.6626293162633</v>
      </c>
      <c r="G145" s="38" t="n">
        <v>15.9058667561859</v>
      </c>
      <c r="H145" s="38" t="n">
        <v>5.03770740845352</v>
      </c>
      <c r="I145" s="38" t="n">
        <v>250.501522292948</v>
      </c>
      <c r="J145" s="38" t="n">
        <v>47.1997371672153</v>
      </c>
      <c r="K145" s="38" t="n">
        <v>116.098481965951</v>
      </c>
      <c r="L145" s="38" t="n">
        <v>69.4365612615885</v>
      </c>
      <c r="M145" s="38" t="n">
        <v>64.1290342011051</v>
      </c>
      <c r="N145" s="38" t="n">
        <v>0</v>
      </c>
    </row>
    <row r="146" customFormat="false" ht="15" hidden="false" customHeight="false" outlineLevel="0" collapsed="false">
      <c r="A146" s="37" t="s">
        <v>552</v>
      </c>
      <c r="B146" s="37" t="s">
        <v>106</v>
      </c>
      <c r="C146" s="37" t="s">
        <v>41</v>
      </c>
      <c r="D146" s="37" t="s">
        <v>42</v>
      </c>
      <c r="E146" s="38" t="n">
        <v>211.63527042238</v>
      </c>
      <c r="F146" s="38" t="n">
        <v>63.966207949493</v>
      </c>
      <c r="G146" s="38" t="n">
        <v>15.8899443267592</v>
      </c>
      <c r="H146" s="38" t="n">
        <v>4.99262009630934</v>
      </c>
      <c r="I146" s="38" t="n">
        <v>219.481389739513</v>
      </c>
      <c r="J146" s="38" t="n">
        <v>71.2329014895753</v>
      </c>
      <c r="K146" s="38" t="n">
        <v>111.385064200575</v>
      </c>
      <c r="L146" s="38" t="n">
        <v>67.4228542011838</v>
      </c>
      <c r="M146" s="38" t="n">
        <v>59.7773019176165</v>
      </c>
      <c r="N146" s="38" t="n">
        <v>0</v>
      </c>
    </row>
    <row r="147" customFormat="false" ht="15" hidden="false" customHeight="false" outlineLevel="0" collapsed="false">
      <c r="A147" s="37" t="s">
        <v>552</v>
      </c>
      <c r="B147" s="37" t="s">
        <v>106</v>
      </c>
      <c r="C147" s="37" t="s">
        <v>46</v>
      </c>
      <c r="D147" s="37" t="s">
        <v>47</v>
      </c>
      <c r="E147" s="38" t="n">
        <v>235.042757423952</v>
      </c>
      <c r="F147" s="38" t="n">
        <v>39.7136421990194</v>
      </c>
      <c r="G147" s="38" t="n">
        <v>15.9221667710777</v>
      </c>
      <c r="H147" s="38" t="n">
        <v>39.2538560628545</v>
      </c>
      <c r="I147" s="38" t="n">
        <v>278.673431353946</v>
      </c>
      <c r="J147" s="38" t="n">
        <v>85.4234313539459</v>
      </c>
      <c r="K147" s="38" t="n">
        <v>148.689633950287</v>
      </c>
      <c r="L147" s="38" t="n">
        <v>80.6221804209083</v>
      </c>
      <c r="M147" s="38" t="n">
        <v>73.6087135740245</v>
      </c>
      <c r="N147" s="38" t="n">
        <v>0</v>
      </c>
    </row>
    <row r="148" customFormat="false" ht="15" hidden="false" customHeight="false" outlineLevel="0" collapsed="false">
      <c r="A148" s="37" t="s">
        <v>552</v>
      </c>
      <c r="B148" s="37" t="s">
        <v>106</v>
      </c>
      <c r="C148" s="37" t="s">
        <v>51</v>
      </c>
      <c r="D148" s="37" t="s">
        <v>51</v>
      </c>
      <c r="E148" s="38" t="n">
        <v>233.16957747689</v>
      </c>
      <c r="F148" s="38" t="n">
        <v>50.7469123340272</v>
      </c>
      <c r="G148" s="38" t="n">
        <v>15.9221667710777</v>
      </c>
      <c r="H148" s="38" t="n">
        <v>24.6229816723716</v>
      </c>
      <c r="I148" s="38" t="n">
        <v>281.741992774445</v>
      </c>
      <c r="J148" s="38" t="n">
        <v>85.0682921395677</v>
      </c>
      <c r="K148" s="38" t="n">
        <v>153.823246443578</v>
      </c>
      <c r="L148" s="38" t="n">
        <v>79.2118773424079</v>
      </c>
      <c r="M148" s="38" t="n">
        <v>76.1747306985245</v>
      </c>
      <c r="N148" s="38" t="n">
        <v>0</v>
      </c>
    </row>
    <row r="149" customFormat="false" ht="15" hidden="false" customHeight="false" outlineLevel="0" collapsed="false">
      <c r="A149" s="37" t="s">
        <v>552</v>
      </c>
      <c r="B149" s="37" t="s">
        <v>106</v>
      </c>
      <c r="C149" s="37" t="s">
        <v>55</v>
      </c>
      <c r="D149" s="37" t="s">
        <v>37</v>
      </c>
      <c r="E149" s="38" t="n">
        <v>203.967225365754</v>
      </c>
      <c r="F149" s="38" t="n">
        <v>39.3184504863476</v>
      </c>
      <c r="G149" s="38" t="n">
        <v>15.9041996593111</v>
      </c>
      <c r="H149" s="38" t="n">
        <v>4.78960818182069</v>
      </c>
      <c r="I149" s="38" t="n">
        <v>257.537106468442</v>
      </c>
      <c r="J149" s="38" t="n">
        <v>56.8546929466285</v>
      </c>
      <c r="K149" s="38" t="n">
        <v>109.726582311561</v>
      </c>
      <c r="L149" s="38" t="n">
        <v>61.8474310550926</v>
      </c>
      <c r="M149" s="38" t="n">
        <v>58.5190782372796</v>
      </c>
      <c r="N149" s="38" t="n">
        <v>0</v>
      </c>
    </row>
    <row r="150" customFormat="false" ht="15" hidden="false" customHeight="false" outlineLevel="0" collapsed="false">
      <c r="A150" s="37" t="s">
        <v>552</v>
      </c>
      <c r="B150" s="37" t="s">
        <v>106</v>
      </c>
      <c r="C150" s="37" t="s">
        <v>59</v>
      </c>
      <c r="D150" s="37" t="s">
        <v>42</v>
      </c>
      <c r="E150" s="38" t="n">
        <v>210.612031079021</v>
      </c>
      <c r="F150" s="38" t="n">
        <v>69.3011182810061</v>
      </c>
      <c r="G150" s="38" t="n">
        <v>15.8889273304193</v>
      </c>
      <c r="H150" s="38" t="n">
        <v>4.71894151401479</v>
      </c>
      <c r="I150" s="38" t="n">
        <v>221.538374741989</v>
      </c>
      <c r="J150" s="38" t="n">
        <v>67.3831220580568</v>
      </c>
      <c r="K150" s="38" t="n">
        <v>109.950506790675</v>
      </c>
      <c r="L150" s="38" t="n">
        <v>61.086508730084</v>
      </c>
      <c r="M150" s="38" t="n">
        <v>55.4971653886366</v>
      </c>
      <c r="N150" s="38" t="n">
        <v>0</v>
      </c>
    </row>
    <row r="151" customFormat="false" ht="15" hidden="false" customHeight="false" outlineLevel="0" collapsed="false">
      <c r="A151" s="37" t="s">
        <v>552</v>
      </c>
      <c r="B151" s="37" t="s">
        <v>106</v>
      </c>
      <c r="C151" s="37" t="s">
        <v>63</v>
      </c>
      <c r="D151" s="37" t="s">
        <v>47</v>
      </c>
      <c r="E151" s="38" t="n">
        <v>221.208763012871</v>
      </c>
      <c r="F151" s="38" t="n">
        <v>39.9754341656368</v>
      </c>
      <c r="G151" s="38" t="n">
        <v>15.9081917718983</v>
      </c>
      <c r="H151" s="38" t="n">
        <v>38.7510974202793</v>
      </c>
      <c r="I151" s="38" t="n">
        <v>259.0567010849</v>
      </c>
      <c r="J151" s="38" t="n">
        <v>61.0816537190869</v>
      </c>
      <c r="K151" s="38" t="n">
        <v>127.389406767105</v>
      </c>
      <c r="L151" s="38" t="n">
        <v>69.3683323101077</v>
      </c>
      <c r="M151" s="38" t="n">
        <v>65.8839876525799</v>
      </c>
      <c r="N151" s="38" t="n">
        <v>0</v>
      </c>
    </row>
    <row r="152" customFormat="false" ht="15" hidden="false" customHeight="false" outlineLevel="0" collapsed="false">
      <c r="A152" s="37" t="s">
        <v>552</v>
      </c>
      <c r="B152" s="37" t="s">
        <v>106</v>
      </c>
      <c r="C152" s="37" t="s">
        <v>67</v>
      </c>
      <c r="D152" s="37" t="s">
        <v>68</v>
      </c>
      <c r="E152" s="38" t="n">
        <v>198.383577731893</v>
      </c>
      <c r="F152" s="38" t="n">
        <v>40.8716520252169</v>
      </c>
      <c r="G152" s="38" t="n">
        <v>15.122012032912</v>
      </c>
      <c r="H152" s="38" t="n">
        <v>4.99119857494195</v>
      </c>
      <c r="I152" s="38" t="n">
        <v>214.762553414653</v>
      </c>
      <c r="J152" s="38" t="n">
        <v>33.2625534146532</v>
      </c>
      <c r="K152" s="38" t="n">
        <v>111.4910863664</v>
      </c>
      <c r="L152" s="38" t="n">
        <v>63.7602616387952</v>
      </c>
      <c r="M152" s="38" t="n">
        <v>59.8490357544271</v>
      </c>
      <c r="N152" s="38" t="n">
        <v>0</v>
      </c>
    </row>
    <row r="153" customFormat="false" ht="15" hidden="false" customHeight="false" outlineLevel="0" collapsed="false">
      <c r="A153" s="37" t="s">
        <v>552</v>
      </c>
      <c r="B153" s="37" t="s">
        <v>106</v>
      </c>
      <c r="C153" s="37" t="s">
        <v>72</v>
      </c>
      <c r="D153" s="37" t="s">
        <v>73</v>
      </c>
      <c r="E153" s="38" t="n">
        <v>198.755245981012</v>
      </c>
      <c r="F153" s="38" t="n">
        <v>43.1791296763246</v>
      </c>
      <c r="G153" s="38" t="n">
        <v>15.9221667710777</v>
      </c>
      <c r="H153" s="38" t="n">
        <v>10.6457555394483</v>
      </c>
      <c r="I153" s="38" t="n">
        <v>226.702808297785</v>
      </c>
      <c r="J153" s="38" t="n">
        <v>190.3308241708</v>
      </c>
      <c r="K153" s="38" t="n">
        <v>107.327964721028</v>
      </c>
      <c r="L153" s="38" t="n">
        <v>65.2444108949411</v>
      </c>
      <c r="M153" s="38" t="n">
        <v>57.2193603117712</v>
      </c>
      <c r="N153" s="38" t="n">
        <v>0</v>
      </c>
    </row>
    <row r="154" customFormat="false" ht="15" hidden="false" customHeight="false" outlineLevel="0" collapsed="false">
      <c r="A154" s="37" t="s">
        <v>552</v>
      </c>
      <c r="B154" s="37" t="s">
        <v>106</v>
      </c>
      <c r="C154" s="37" t="s">
        <v>77</v>
      </c>
      <c r="D154" s="37" t="s">
        <v>78</v>
      </c>
      <c r="E154" s="38" t="n">
        <v>240.199719746859</v>
      </c>
      <c r="F154" s="38" t="n">
        <v>58.5040825225553</v>
      </c>
      <c r="G154" s="38" t="n">
        <v>16.0403284034229</v>
      </c>
      <c r="H154" s="38" t="n">
        <v>23.6310096401959</v>
      </c>
      <c r="I154" s="38" t="n">
        <v>273.633855462958</v>
      </c>
      <c r="J154" s="38" t="n">
        <v>92.2954644796727</v>
      </c>
      <c r="K154" s="38" t="n">
        <v>157.814518653068</v>
      </c>
      <c r="L154" s="38" t="n">
        <v>82.4281339006791</v>
      </c>
      <c r="M154" s="38" t="n">
        <v>79.7131007006116</v>
      </c>
      <c r="N154" s="38" t="n">
        <v>0</v>
      </c>
    </row>
    <row r="155" customFormat="false" ht="15" hidden="false" customHeight="false" outlineLevel="0" collapsed="false">
      <c r="A155" s="37" t="s">
        <v>552</v>
      </c>
      <c r="B155" s="37" t="s">
        <v>112</v>
      </c>
      <c r="C155" s="37" t="s">
        <v>36</v>
      </c>
      <c r="D155" s="37" t="s">
        <v>37</v>
      </c>
      <c r="E155" s="38" t="n">
        <v>212.478840382992</v>
      </c>
      <c r="F155" s="38" t="n">
        <v>38.7145049020742</v>
      </c>
      <c r="G155" s="38" t="n">
        <v>15.9058717568657</v>
      </c>
      <c r="H155" s="38" t="n">
        <v>5.96872004502589</v>
      </c>
      <c r="I155" s="38" t="n">
        <v>252.362971404628</v>
      </c>
      <c r="J155" s="38" t="n">
        <v>49.0645776665278</v>
      </c>
      <c r="K155" s="38" t="n">
        <v>115.660005040696</v>
      </c>
      <c r="L155" s="38" t="n">
        <v>68.1219590053346</v>
      </c>
      <c r="M155" s="38" t="n">
        <v>64.0090957889689</v>
      </c>
      <c r="N155" s="38" t="n">
        <v>0</v>
      </c>
    </row>
    <row r="156" customFormat="false" ht="15" hidden="false" customHeight="false" outlineLevel="0" collapsed="false">
      <c r="A156" s="37" t="s">
        <v>552</v>
      </c>
      <c r="B156" s="37" t="s">
        <v>112</v>
      </c>
      <c r="C156" s="37" t="s">
        <v>41</v>
      </c>
      <c r="D156" s="37" t="s">
        <v>42</v>
      </c>
      <c r="E156" s="38" t="n">
        <v>213.385252165882</v>
      </c>
      <c r="F156" s="38" t="n">
        <v>64.6370688197883</v>
      </c>
      <c r="G156" s="38" t="n">
        <v>15.9023760662811</v>
      </c>
      <c r="H156" s="38" t="n">
        <v>5.91811253067206</v>
      </c>
      <c r="I156" s="38" t="n">
        <v>224.752304417583</v>
      </c>
      <c r="J156" s="38" t="n">
        <v>68.6912749697376</v>
      </c>
      <c r="K156" s="38" t="n">
        <v>114.021796696033</v>
      </c>
      <c r="L156" s="38" t="n">
        <v>68.1552078417447</v>
      </c>
      <c r="M156" s="38" t="n">
        <v>61.1279285568215</v>
      </c>
      <c r="N156" s="38" t="n">
        <v>0</v>
      </c>
    </row>
    <row r="157" customFormat="false" ht="15" hidden="false" customHeight="false" outlineLevel="0" collapsed="false">
      <c r="A157" s="37" t="s">
        <v>552</v>
      </c>
      <c r="B157" s="37" t="s">
        <v>112</v>
      </c>
      <c r="C157" s="37" t="s">
        <v>46</v>
      </c>
      <c r="D157" s="37" t="s">
        <v>47</v>
      </c>
      <c r="E157" s="38" t="n">
        <v>251.723424924811</v>
      </c>
      <c r="F157" s="38" t="n">
        <v>38.6426215719978</v>
      </c>
      <c r="G157" s="38" t="n">
        <v>15.9221667710777</v>
      </c>
      <c r="H157" s="38" t="n">
        <v>57.0055441907341</v>
      </c>
      <c r="I157" s="38" t="n">
        <v>328.08330169859</v>
      </c>
      <c r="J157" s="38" t="n">
        <v>134.83330169859</v>
      </c>
      <c r="K157" s="38" t="n">
        <v>162.727766541315</v>
      </c>
      <c r="L157" s="38" t="n">
        <v>85.2795543565875</v>
      </c>
      <c r="M157" s="38" t="n">
        <v>78.4532613925722</v>
      </c>
      <c r="N157" s="38" t="n">
        <v>0</v>
      </c>
    </row>
    <row r="158" customFormat="false" ht="15" hidden="false" customHeight="false" outlineLevel="0" collapsed="false">
      <c r="A158" s="37" t="s">
        <v>552</v>
      </c>
      <c r="B158" s="37" t="s">
        <v>112</v>
      </c>
      <c r="C158" s="37" t="s">
        <v>51</v>
      </c>
      <c r="D158" s="37" t="s">
        <v>51</v>
      </c>
      <c r="E158" s="38" t="n">
        <v>242.96955438052</v>
      </c>
      <c r="F158" s="38" t="n">
        <v>48.1041231540819</v>
      </c>
      <c r="G158" s="38" t="n">
        <v>15.9221667710777</v>
      </c>
      <c r="H158" s="38" t="n">
        <v>37.0657477559462</v>
      </c>
      <c r="I158" s="38" t="n">
        <v>309.256759303406</v>
      </c>
      <c r="J158" s="38" t="n">
        <v>112.583058668529</v>
      </c>
      <c r="K158" s="38" t="n">
        <v>162.742490715787</v>
      </c>
      <c r="L158" s="38" t="n">
        <v>81.8088598107811</v>
      </c>
      <c r="M158" s="38" t="n">
        <v>79.4589431922871</v>
      </c>
      <c r="N158" s="38" t="n">
        <v>0</v>
      </c>
    </row>
    <row r="159" customFormat="false" ht="15" hidden="false" customHeight="false" outlineLevel="0" collapsed="false">
      <c r="A159" s="37" t="s">
        <v>552</v>
      </c>
      <c r="B159" s="37" t="s">
        <v>112</v>
      </c>
      <c r="C159" s="37" t="s">
        <v>55</v>
      </c>
      <c r="D159" s="37" t="s">
        <v>37</v>
      </c>
      <c r="E159" s="38" t="n">
        <v>203.911252738118</v>
      </c>
      <c r="F159" s="38" t="n">
        <v>38.4083257966881</v>
      </c>
      <c r="G159" s="38" t="n">
        <v>15.9042040766324</v>
      </c>
      <c r="H159" s="38" t="n">
        <v>5.64209299144803</v>
      </c>
      <c r="I159" s="38" t="n">
        <v>259.28661945805</v>
      </c>
      <c r="J159" s="38" t="n">
        <v>58.6072018454929</v>
      </c>
      <c r="K159" s="38" t="n">
        <v>109.238640500177</v>
      </c>
      <c r="L159" s="38" t="n">
        <v>61.833383448795</v>
      </c>
      <c r="M159" s="38" t="n">
        <v>58.3754143725879</v>
      </c>
      <c r="N159" s="38" t="n">
        <v>0</v>
      </c>
    </row>
    <row r="160" customFormat="false" ht="15" hidden="false" customHeight="false" outlineLevel="0" collapsed="false">
      <c r="A160" s="37" t="s">
        <v>552</v>
      </c>
      <c r="B160" s="37" t="s">
        <v>112</v>
      </c>
      <c r="C160" s="37" t="s">
        <v>59</v>
      </c>
      <c r="D160" s="37" t="s">
        <v>42</v>
      </c>
      <c r="E160" s="38" t="n">
        <v>206.864493229391</v>
      </c>
      <c r="F160" s="38" t="n">
        <v>64.7348246231301</v>
      </c>
      <c r="G160" s="38" t="n">
        <v>15.8887682283369</v>
      </c>
      <c r="H160" s="38" t="n">
        <v>5.54833681410179</v>
      </c>
      <c r="I160" s="38" t="n">
        <v>219.260892430625</v>
      </c>
      <c r="J160" s="38" t="n">
        <v>20.0998814166021</v>
      </c>
      <c r="K160" s="38" t="n">
        <v>96.8728818224533</v>
      </c>
      <c r="L160" s="38" t="n">
        <v>56.8218951749232</v>
      </c>
      <c r="M160" s="38" t="n">
        <v>50.8768794139058</v>
      </c>
      <c r="N160" s="38" t="n">
        <v>0</v>
      </c>
    </row>
    <row r="161" customFormat="false" ht="15" hidden="false" customHeight="false" outlineLevel="0" collapsed="false">
      <c r="A161" s="37" t="s">
        <v>552</v>
      </c>
      <c r="B161" s="37" t="s">
        <v>112</v>
      </c>
      <c r="C161" s="37" t="s">
        <v>63</v>
      </c>
      <c r="D161" s="37" t="s">
        <v>47</v>
      </c>
      <c r="E161" s="38" t="n">
        <v>238.525588210208</v>
      </c>
      <c r="F161" s="38" t="n">
        <v>38.9584340394525</v>
      </c>
      <c r="G161" s="38" t="n">
        <v>15.9084270984548</v>
      </c>
      <c r="H161" s="38" t="n">
        <v>57.0139594948565</v>
      </c>
      <c r="I161" s="38" t="n">
        <v>310.354454699788</v>
      </c>
      <c r="J161" s="38" t="n">
        <v>112.538990904852</v>
      </c>
      <c r="K161" s="38" t="n">
        <v>143.094575668874</v>
      </c>
      <c r="L161" s="38" t="n">
        <v>75.3853370564507</v>
      </c>
      <c r="M161" s="38" t="n">
        <v>72.1299267765165</v>
      </c>
      <c r="N161" s="38" t="n">
        <v>0</v>
      </c>
    </row>
    <row r="162" customFormat="false" ht="15" hidden="false" customHeight="false" outlineLevel="0" collapsed="false">
      <c r="A162" s="37" t="s">
        <v>552</v>
      </c>
      <c r="B162" s="37" t="s">
        <v>112</v>
      </c>
      <c r="C162" s="37" t="s">
        <v>67</v>
      </c>
      <c r="D162" s="37" t="s">
        <v>68</v>
      </c>
      <c r="E162" s="38" t="n">
        <v>198.270707766546</v>
      </c>
      <c r="F162" s="38" t="n">
        <v>39.8444049597365</v>
      </c>
      <c r="G162" s="38" t="n">
        <v>15.1224075376679</v>
      </c>
      <c r="H162" s="38" t="n">
        <v>5.90016312269727</v>
      </c>
      <c r="I162" s="38" t="n">
        <v>216.651576720599</v>
      </c>
      <c r="J162" s="38" t="n">
        <v>25.1515767205993</v>
      </c>
      <c r="K162" s="38" t="n">
        <v>103.938383378108</v>
      </c>
      <c r="L162" s="38" t="n">
        <v>66.1350744098121</v>
      </c>
      <c r="M162" s="38" t="n">
        <v>57.9019776823121</v>
      </c>
      <c r="N162" s="38" t="n">
        <v>0</v>
      </c>
    </row>
    <row r="163" customFormat="false" ht="15" hidden="false" customHeight="false" outlineLevel="0" collapsed="false">
      <c r="A163" s="37" t="s">
        <v>552</v>
      </c>
      <c r="B163" s="37" t="s">
        <v>112</v>
      </c>
      <c r="C163" s="37" t="s">
        <v>72</v>
      </c>
      <c r="D163" s="37" t="s">
        <v>73</v>
      </c>
      <c r="E163" s="38" t="n">
        <v>201.787590238355</v>
      </c>
      <c r="F163" s="38" t="n">
        <v>41.6703176992077</v>
      </c>
      <c r="G163" s="38" t="n">
        <v>15.9221667710777</v>
      </c>
      <c r="H163" s="38" t="n">
        <v>15.186911773909</v>
      </c>
      <c r="I163" s="38" t="n">
        <v>235.450139938493</v>
      </c>
      <c r="J163" s="38" t="n">
        <v>199.078155811509</v>
      </c>
      <c r="K163" s="38" t="n">
        <v>111.089065199157</v>
      </c>
      <c r="L163" s="38" t="n">
        <v>66.0687953006555</v>
      </c>
      <c r="M163" s="38" t="n">
        <v>58.6957720938376</v>
      </c>
      <c r="N163" s="38" t="n">
        <v>0</v>
      </c>
    </row>
    <row r="164" customFormat="false" ht="15" hidden="false" customHeight="false" outlineLevel="0" collapsed="false">
      <c r="A164" s="37" t="s">
        <v>552</v>
      </c>
      <c r="B164" s="37" t="s">
        <v>112</v>
      </c>
      <c r="C164" s="37" t="s">
        <v>77</v>
      </c>
      <c r="D164" s="37" t="s">
        <v>78</v>
      </c>
      <c r="E164" s="38" t="n">
        <v>249.688549090153</v>
      </c>
      <c r="F164" s="38" t="n">
        <v>55.9448715183159</v>
      </c>
      <c r="G164" s="38" t="n">
        <v>16.0402556248014</v>
      </c>
      <c r="H164" s="38" t="n">
        <v>35.6819713564499</v>
      </c>
      <c r="I164" s="38" t="n">
        <v>297.990636301214</v>
      </c>
      <c r="J164" s="38" t="n">
        <v>116.61567678265</v>
      </c>
      <c r="K164" s="38" t="n">
        <v>166.704937466281</v>
      </c>
      <c r="L164" s="38" t="n">
        <v>84.323018300559</v>
      </c>
      <c r="M164" s="38" t="n">
        <v>82.702887578709</v>
      </c>
      <c r="N164" s="38" t="n">
        <v>0</v>
      </c>
    </row>
    <row r="165" customFormat="false" ht="15" hidden="false" customHeight="false" outlineLevel="0" collapsed="false">
      <c r="A165" s="37" t="s">
        <v>552</v>
      </c>
      <c r="B165" s="37" t="s">
        <v>118</v>
      </c>
      <c r="C165" s="37" t="s">
        <v>36</v>
      </c>
      <c r="D165" s="37" t="s">
        <v>37</v>
      </c>
      <c r="E165" s="38" t="n">
        <v>227.87157623957</v>
      </c>
      <c r="F165" s="38" t="n">
        <v>38.7551893266055</v>
      </c>
      <c r="G165" s="38" t="n">
        <v>15.9058484952439</v>
      </c>
      <c r="H165" s="38" t="n">
        <v>4.11995796165717</v>
      </c>
      <c r="I165" s="38" t="n">
        <v>286.631943282222</v>
      </c>
      <c r="J165" s="38" t="n">
        <v>83.3177738495895</v>
      </c>
      <c r="K165" s="38" t="n">
        <v>130.877018211941</v>
      </c>
      <c r="L165" s="38" t="n">
        <v>73.6180503979996</v>
      </c>
      <c r="M165" s="38" t="n">
        <v>70.3321255629879</v>
      </c>
      <c r="N165" s="38" t="n">
        <v>0</v>
      </c>
    </row>
    <row r="166" customFormat="false" ht="15" hidden="false" customHeight="false" outlineLevel="0" collapsed="false">
      <c r="A166" s="37" t="s">
        <v>552</v>
      </c>
      <c r="B166" s="37" t="s">
        <v>118</v>
      </c>
      <c r="C166" s="37" t="s">
        <v>41</v>
      </c>
      <c r="D166" s="37" t="s">
        <v>42</v>
      </c>
      <c r="E166" s="38" t="n">
        <v>226.793638041334</v>
      </c>
      <c r="F166" s="38" t="n">
        <v>66.1306335471099</v>
      </c>
      <c r="G166" s="38" t="n">
        <v>15.9051482418141</v>
      </c>
      <c r="H166" s="38" t="n">
        <v>4.13159462901659</v>
      </c>
      <c r="I166" s="38" t="n">
        <v>237.33137049955</v>
      </c>
      <c r="J166" s="38" t="n">
        <v>76.3300266059333</v>
      </c>
      <c r="K166" s="38" t="n">
        <v>124.057431983614</v>
      </c>
      <c r="L166" s="38" t="n">
        <v>72.4429772203804</v>
      </c>
      <c r="M166" s="38" t="n">
        <v>66.9252332811559</v>
      </c>
      <c r="N166" s="38" t="n">
        <v>0</v>
      </c>
    </row>
    <row r="167" customFormat="false" ht="15" hidden="false" customHeight="false" outlineLevel="0" collapsed="false">
      <c r="A167" s="37" t="s">
        <v>552</v>
      </c>
      <c r="B167" s="37" t="s">
        <v>118</v>
      </c>
      <c r="C167" s="37" t="s">
        <v>46</v>
      </c>
      <c r="D167" s="37" t="s">
        <v>47</v>
      </c>
      <c r="E167" s="38" t="n">
        <v>228.58009374364</v>
      </c>
      <c r="F167" s="38" t="n">
        <v>38.3972304931961</v>
      </c>
      <c r="G167" s="38" t="n">
        <v>15.9221667710777</v>
      </c>
      <c r="H167" s="38" t="n">
        <v>23.3494886150677</v>
      </c>
      <c r="I167" s="38" t="n">
        <v>261.594860780946</v>
      </c>
      <c r="J167" s="38" t="n">
        <v>68.3448607809456</v>
      </c>
      <c r="K167" s="38" t="n">
        <v>140.626020098363</v>
      </c>
      <c r="L167" s="38" t="n">
        <v>77.3879899921091</v>
      </c>
      <c r="M167" s="38" t="n">
        <v>72.0061339634898</v>
      </c>
      <c r="N167" s="38" t="n">
        <v>0</v>
      </c>
    </row>
    <row r="168" customFormat="false" ht="15" hidden="false" customHeight="false" outlineLevel="0" collapsed="false">
      <c r="A168" s="37" t="s">
        <v>552</v>
      </c>
      <c r="B168" s="37" t="s">
        <v>118</v>
      </c>
      <c r="C168" s="37" t="s">
        <v>51</v>
      </c>
      <c r="D168" s="37" t="s">
        <v>51</v>
      </c>
      <c r="E168" s="38" t="n">
        <v>233.804885091452</v>
      </c>
      <c r="F168" s="38" t="n">
        <v>47.8874298302475</v>
      </c>
      <c r="G168" s="38" t="n">
        <v>15.9221667710777</v>
      </c>
      <c r="H168" s="38" t="n">
        <v>15.0139538974469</v>
      </c>
      <c r="I168" s="38" t="n">
        <v>287.933487075692</v>
      </c>
      <c r="J168" s="38" t="n">
        <v>91.2597864408146</v>
      </c>
      <c r="K168" s="38" t="n">
        <v>151.712442048208</v>
      </c>
      <c r="L168" s="38" t="n">
        <v>78.4236456786326</v>
      </c>
      <c r="M168" s="38" t="n">
        <v>76.5943046044426</v>
      </c>
      <c r="N168" s="38" t="n">
        <v>0</v>
      </c>
    </row>
    <row r="169" customFormat="false" ht="15" hidden="false" customHeight="false" outlineLevel="0" collapsed="false">
      <c r="A169" s="37" t="s">
        <v>552</v>
      </c>
      <c r="B169" s="37" t="s">
        <v>118</v>
      </c>
      <c r="C169" s="37" t="s">
        <v>55</v>
      </c>
      <c r="D169" s="37" t="s">
        <v>37</v>
      </c>
      <c r="E169" s="38" t="n">
        <v>218.776183144035</v>
      </c>
      <c r="F169" s="38" t="n">
        <v>38.4525367730383</v>
      </c>
      <c r="G169" s="38" t="n">
        <v>15.9045515363897</v>
      </c>
      <c r="H169" s="38" t="n">
        <v>3.94328429515778</v>
      </c>
      <c r="I169" s="38" t="n">
        <v>293.930808624933</v>
      </c>
      <c r="J169" s="38" t="n">
        <v>93.4870434457004</v>
      </c>
      <c r="K169" s="38" t="n">
        <v>124.501299923756</v>
      </c>
      <c r="L169" s="38" t="n">
        <v>67.2176649365022</v>
      </c>
      <c r="M169" s="38" t="n">
        <v>65.0906340560114</v>
      </c>
      <c r="N169" s="38" t="n">
        <v>0</v>
      </c>
    </row>
    <row r="170" customFormat="false" ht="15" hidden="false" customHeight="false" outlineLevel="0" collapsed="false">
      <c r="A170" s="37" t="s">
        <v>552</v>
      </c>
      <c r="B170" s="37" t="s">
        <v>118</v>
      </c>
      <c r="C170" s="37" t="s">
        <v>59</v>
      </c>
      <c r="D170" s="37" t="s">
        <v>42</v>
      </c>
      <c r="E170" s="38" t="n">
        <v>224.144120036173</v>
      </c>
      <c r="F170" s="38" t="n">
        <v>70.7729851550755</v>
      </c>
      <c r="G170" s="38" t="n">
        <v>15.9039304673989</v>
      </c>
      <c r="H170" s="38" t="n">
        <v>3.921970682995</v>
      </c>
      <c r="I170" s="38" t="n">
        <v>239.963897955644</v>
      </c>
      <c r="J170" s="38" t="n">
        <v>82.7159708111848</v>
      </c>
      <c r="K170" s="38" t="n">
        <v>122.605177726007</v>
      </c>
      <c r="L170" s="38" t="n">
        <v>68.3219664410882</v>
      </c>
      <c r="M170" s="38" t="n">
        <v>63.0361477381068</v>
      </c>
      <c r="N170" s="38" t="n">
        <v>0</v>
      </c>
    </row>
    <row r="171" customFormat="false" ht="15" hidden="false" customHeight="false" outlineLevel="0" collapsed="false">
      <c r="A171" s="37" t="s">
        <v>552</v>
      </c>
      <c r="B171" s="37" t="s">
        <v>118</v>
      </c>
      <c r="C171" s="37" t="s">
        <v>63</v>
      </c>
      <c r="D171" s="37" t="s">
        <v>47</v>
      </c>
      <c r="E171" s="38" t="n">
        <v>214.512573977076</v>
      </c>
      <c r="F171" s="38" t="n">
        <v>38.710063721147</v>
      </c>
      <c r="G171" s="38" t="n">
        <v>15.9081929805708</v>
      </c>
      <c r="H171" s="38" t="n">
        <v>22.7881179248509</v>
      </c>
      <c r="I171" s="38" t="n">
        <v>241.247213265588</v>
      </c>
      <c r="J171" s="38" t="n">
        <v>43.2729855477634</v>
      </c>
      <c r="K171" s="38" t="n">
        <v>118.985069763822</v>
      </c>
      <c r="L171" s="38" t="n">
        <v>66.1089992348137</v>
      </c>
      <c r="M171" s="38" t="n">
        <v>63.3899307736014</v>
      </c>
      <c r="N171" s="38" t="n">
        <v>0</v>
      </c>
    </row>
    <row r="172" customFormat="false" ht="15" hidden="false" customHeight="false" outlineLevel="0" collapsed="false">
      <c r="A172" s="37" t="s">
        <v>552</v>
      </c>
      <c r="B172" s="37" t="s">
        <v>118</v>
      </c>
      <c r="C172" s="37" t="s">
        <v>67</v>
      </c>
      <c r="D172" s="37" t="s">
        <v>68</v>
      </c>
      <c r="E172" s="38" t="n">
        <v>210.013852244956</v>
      </c>
      <c r="F172" s="38" t="n">
        <v>39.8856682524224</v>
      </c>
      <c r="G172" s="38" t="n">
        <v>15.1309759268139</v>
      </c>
      <c r="H172" s="38" t="n">
        <v>4.09069122026735</v>
      </c>
      <c r="I172" s="38" t="n">
        <v>244.872587941289</v>
      </c>
      <c r="J172" s="38" t="n">
        <v>53.3725879412892</v>
      </c>
      <c r="K172" s="38" t="n">
        <v>129.594079815075</v>
      </c>
      <c r="L172" s="38" t="n">
        <v>69.304324307352</v>
      </c>
      <c r="M172" s="38" t="n">
        <v>66.5106100908725</v>
      </c>
      <c r="N172" s="38" t="n">
        <v>0</v>
      </c>
    </row>
    <row r="173" customFormat="false" ht="15" hidden="false" customHeight="false" outlineLevel="0" collapsed="false">
      <c r="A173" s="37" t="s">
        <v>552</v>
      </c>
      <c r="B173" s="37" t="s">
        <v>118</v>
      </c>
      <c r="C173" s="37" t="s">
        <v>72</v>
      </c>
      <c r="D173" s="37" t="s">
        <v>73</v>
      </c>
      <c r="E173" s="38" t="n">
        <v>206.800494703186</v>
      </c>
      <c r="F173" s="38" t="n">
        <v>41.6992351738003</v>
      </c>
      <c r="G173" s="38" t="n">
        <v>15.9221667710777</v>
      </c>
      <c r="H173" s="38" t="n">
        <v>7.19915351066677</v>
      </c>
      <c r="I173" s="38" t="n">
        <v>251.674137615011</v>
      </c>
      <c r="J173" s="38" t="n">
        <v>215.302153488027</v>
      </c>
      <c r="K173" s="38" t="n">
        <v>114.28525175513</v>
      </c>
      <c r="L173" s="38" t="n">
        <v>66.5081996623097</v>
      </c>
      <c r="M173" s="38" t="n">
        <v>60.7283152168734</v>
      </c>
      <c r="N173" s="38" t="n">
        <v>0</v>
      </c>
    </row>
    <row r="174" customFormat="false" ht="15" hidden="false" customHeight="false" outlineLevel="0" collapsed="false">
      <c r="A174" s="37" t="s">
        <v>552</v>
      </c>
      <c r="B174" s="37" t="s">
        <v>118</v>
      </c>
      <c r="C174" s="37" t="s">
        <v>77</v>
      </c>
      <c r="D174" s="37" t="s">
        <v>78</v>
      </c>
      <c r="E174" s="38" t="n">
        <v>241.086978259526</v>
      </c>
      <c r="F174" s="38" t="n">
        <v>55.7828964245988</v>
      </c>
      <c r="G174" s="38" t="n">
        <v>16.0402528120991</v>
      </c>
      <c r="H174" s="38" t="n">
        <v>14.4925927492181</v>
      </c>
      <c r="I174" s="38" t="n">
        <v>281.884828081303</v>
      </c>
      <c r="J174" s="38" t="n">
        <v>100.508456291834</v>
      </c>
      <c r="K174" s="38" t="n">
        <v>155.879714126732</v>
      </c>
      <c r="L174" s="38" t="n">
        <v>82.3989811720894</v>
      </c>
      <c r="M174" s="38" t="n">
        <v>79.600759043212</v>
      </c>
      <c r="N174" s="38" t="n">
        <v>0</v>
      </c>
    </row>
    <row r="175" customFormat="false" ht="15" hidden="false" customHeight="false" outlineLevel="0" collapsed="false">
      <c r="A175" s="37" t="s">
        <v>552</v>
      </c>
      <c r="B175" s="37" t="s">
        <v>121</v>
      </c>
      <c r="C175" s="37" t="s">
        <v>36</v>
      </c>
      <c r="D175" s="37" t="s">
        <v>37</v>
      </c>
      <c r="E175" s="38" t="n">
        <v>207.636928223177</v>
      </c>
      <c r="F175" s="38" t="n">
        <v>38.3664285114008</v>
      </c>
      <c r="G175" s="38" t="n">
        <v>15.8693820511492</v>
      </c>
      <c r="H175" s="38" t="n">
        <v>4.88725928327094</v>
      </c>
      <c r="I175" s="38" t="n">
        <v>244.293228273939</v>
      </c>
      <c r="J175" s="38" t="n">
        <v>40.886247887398</v>
      </c>
      <c r="K175" s="38" t="n">
        <v>108.909389648077</v>
      </c>
      <c r="L175" s="38" t="n">
        <v>66.6549140472689</v>
      </c>
      <c r="M175" s="38" t="n">
        <v>61.2663283812249</v>
      </c>
      <c r="N175" s="38" t="n">
        <v>0</v>
      </c>
    </row>
    <row r="176" customFormat="false" ht="15" hidden="false" customHeight="false" outlineLevel="0" collapsed="false">
      <c r="A176" s="37" t="s">
        <v>552</v>
      </c>
      <c r="B176" s="37" t="s">
        <v>121</v>
      </c>
      <c r="C176" s="37" t="s">
        <v>41</v>
      </c>
      <c r="D176" s="37" t="s">
        <v>42</v>
      </c>
      <c r="E176" s="38" t="n">
        <v>204.170554930022</v>
      </c>
      <c r="F176" s="38" t="n">
        <v>59.4120148133208</v>
      </c>
      <c r="G176" s="38" t="n">
        <v>15.8534801146348</v>
      </c>
      <c r="H176" s="38" t="n">
        <v>4.78573381572483</v>
      </c>
      <c r="I176" s="38" t="n">
        <v>210.832503324739</v>
      </c>
      <c r="J176" s="38" t="n">
        <v>24.9886335344221</v>
      </c>
      <c r="K176" s="38" t="n">
        <v>90.9306336436436</v>
      </c>
      <c r="L176" s="38" t="n">
        <v>61.7741392026467</v>
      </c>
      <c r="M176" s="38" t="n">
        <v>52.499614499879</v>
      </c>
      <c r="N176" s="38" t="n">
        <v>0</v>
      </c>
    </row>
    <row r="177" customFormat="false" ht="15" hidden="false" customHeight="false" outlineLevel="0" collapsed="false">
      <c r="A177" s="37" t="s">
        <v>552</v>
      </c>
      <c r="B177" s="37" t="s">
        <v>121</v>
      </c>
      <c r="C177" s="37" t="s">
        <v>46</v>
      </c>
      <c r="D177" s="37" t="s">
        <v>47</v>
      </c>
      <c r="E177" s="38" t="n">
        <v>227.855038292939</v>
      </c>
      <c r="F177" s="38" t="n">
        <v>38.2211873239879</v>
      </c>
      <c r="G177" s="38" t="n">
        <v>15.8858144937776</v>
      </c>
      <c r="H177" s="38" t="n">
        <v>36.4809098596098</v>
      </c>
      <c r="I177" s="38" t="n">
        <v>268.234726878685</v>
      </c>
      <c r="J177" s="38" t="n">
        <v>74.9847268786849</v>
      </c>
      <c r="K177" s="38" t="n">
        <v>139.534041805458</v>
      </c>
      <c r="L177" s="38" t="n">
        <v>78.2723837133813</v>
      </c>
      <c r="M177" s="38" t="n">
        <v>70.1333142168487</v>
      </c>
      <c r="N177" s="38" t="n">
        <v>0</v>
      </c>
    </row>
    <row r="178" customFormat="false" ht="15" hidden="false" customHeight="false" outlineLevel="0" collapsed="false">
      <c r="A178" s="37" t="s">
        <v>552</v>
      </c>
      <c r="B178" s="37" t="s">
        <v>121</v>
      </c>
      <c r="C178" s="37" t="s">
        <v>51</v>
      </c>
      <c r="D178" s="37" t="s">
        <v>51</v>
      </c>
      <c r="E178" s="38" t="n">
        <v>225.081580992729</v>
      </c>
      <c r="F178" s="38" t="n">
        <v>47.5116651756687</v>
      </c>
      <c r="G178" s="38" t="n">
        <v>15.8858144937776</v>
      </c>
      <c r="H178" s="38" t="n">
        <v>22.7425755917193</v>
      </c>
      <c r="I178" s="38" t="n">
        <v>271.120239719132</v>
      </c>
      <c r="J178" s="38" t="n">
        <v>74.4465390842551</v>
      </c>
      <c r="K178" s="38" t="n">
        <v>143.094692148613</v>
      </c>
      <c r="L178" s="38" t="n">
        <v>76.5716679219461</v>
      </c>
      <c r="M178" s="38" t="n">
        <v>72.2782525608924</v>
      </c>
      <c r="N178" s="38" t="n">
        <v>0</v>
      </c>
    </row>
    <row r="179" customFormat="false" ht="15" hidden="false" customHeight="false" outlineLevel="0" collapsed="false">
      <c r="A179" s="37" t="s">
        <v>552</v>
      </c>
      <c r="B179" s="37" t="s">
        <v>121</v>
      </c>
      <c r="C179" s="37" t="s">
        <v>55</v>
      </c>
      <c r="D179" s="37" t="s">
        <v>37</v>
      </c>
      <c r="E179" s="38" t="n">
        <v>199.380471208388</v>
      </c>
      <c r="F179" s="38" t="n">
        <v>38.0637563176193</v>
      </c>
      <c r="G179" s="38" t="n">
        <v>15.867717340688</v>
      </c>
      <c r="H179" s="38" t="n">
        <v>4.65397394027493</v>
      </c>
      <c r="I179" s="38" t="n">
        <v>251.562512675506</v>
      </c>
      <c r="J179" s="38" t="n">
        <v>50.7749583473682</v>
      </c>
      <c r="K179" s="38" t="n">
        <v>102.631867811506</v>
      </c>
      <c r="L179" s="38" t="n">
        <v>60.4505444796213</v>
      </c>
      <c r="M179" s="38" t="n">
        <v>55.7090595576766</v>
      </c>
      <c r="N179" s="38" t="n">
        <v>0</v>
      </c>
    </row>
    <row r="180" customFormat="false" ht="15" hidden="false" customHeight="false" outlineLevel="0" collapsed="false">
      <c r="A180" s="37" t="s">
        <v>552</v>
      </c>
      <c r="B180" s="37" t="s">
        <v>121</v>
      </c>
      <c r="C180" s="37" t="s">
        <v>59</v>
      </c>
      <c r="D180" s="37" t="s">
        <v>42</v>
      </c>
      <c r="E180" s="38" t="n">
        <v>202.707313637548</v>
      </c>
      <c r="F180" s="38" t="n">
        <v>64.098183877207</v>
      </c>
      <c r="G180" s="38" t="n">
        <v>15.8524549428499</v>
      </c>
      <c r="H180" s="38" t="n">
        <v>4.58873400190192</v>
      </c>
      <c r="I180" s="38" t="n">
        <v>212.309626932106</v>
      </c>
      <c r="J180" s="38" t="n">
        <v>13.1483627295689</v>
      </c>
      <c r="K180" s="38" t="n">
        <v>89.0490096899681</v>
      </c>
      <c r="L180" s="38" t="n">
        <v>55.588331558184</v>
      </c>
      <c r="M180" s="38" t="n">
        <v>48.2745311143361</v>
      </c>
      <c r="N180" s="38" t="n">
        <v>0</v>
      </c>
    </row>
    <row r="181" customFormat="false" ht="15" hidden="false" customHeight="false" outlineLevel="0" collapsed="false">
      <c r="A181" s="37" t="s">
        <v>552</v>
      </c>
      <c r="B181" s="37" t="s">
        <v>121</v>
      </c>
      <c r="C181" s="37" t="s">
        <v>63</v>
      </c>
      <c r="D181" s="37" t="s">
        <v>47</v>
      </c>
      <c r="E181" s="38" t="n">
        <v>214.294848548638</v>
      </c>
      <c r="F181" s="38" t="n">
        <v>38.5335900851276</v>
      </c>
      <c r="G181" s="38" t="n">
        <v>15.8716856809451</v>
      </c>
      <c r="H181" s="38" t="n">
        <v>35.9859454421551</v>
      </c>
      <c r="I181" s="38" t="n">
        <v>248.976020297842</v>
      </c>
      <c r="J181" s="38" t="n">
        <v>50.8834390468804</v>
      </c>
      <c r="K181" s="38" t="n">
        <v>118.102111123352</v>
      </c>
      <c r="L181" s="38" t="n">
        <v>67.1534451234916</v>
      </c>
      <c r="M181" s="38" t="n">
        <v>62.1883476640256</v>
      </c>
      <c r="N181" s="38" t="n">
        <v>0</v>
      </c>
    </row>
    <row r="182" customFormat="false" ht="15" hidden="false" customHeight="false" outlineLevel="0" collapsed="false">
      <c r="A182" s="37" t="s">
        <v>552</v>
      </c>
      <c r="B182" s="37" t="s">
        <v>121</v>
      </c>
      <c r="C182" s="37" t="s">
        <v>67</v>
      </c>
      <c r="D182" s="37" t="s">
        <v>68</v>
      </c>
      <c r="E182" s="38" t="n">
        <v>193.913396495355</v>
      </c>
      <c r="F182" s="38" t="n">
        <v>39.4799771945205</v>
      </c>
      <c r="G182" s="38" t="n">
        <v>15.086392701221</v>
      </c>
      <c r="H182" s="38" t="n">
        <v>4.84400508234978</v>
      </c>
      <c r="I182" s="38" t="n">
        <v>208.854083862473</v>
      </c>
      <c r="J182" s="38" t="n">
        <v>27.3540838624727</v>
      </c>
      <c r="K182" s="38" t="n">
        <v>98.7835542550241</v>
      </c>
      <c r="L182" s="38" t="n">
        <v>62.3517330769097</v>
      </c>
      <c r="M182" s="38" t="n">
        <v>55.4499644945984</v>
      </c>
      <c r="N182" s="38" t="n">
        <v>0</v>
      </c>
    </row>
    <row r="183" customFormat="false" ht="15" hidden="false" customHeight="false" outlineLevel="0" collapsed="false">
      <c r="A183" s="37" t="s">
        <v>552</v>
      </c>
      <c r="B183" s="37" t="s">
        <v>121</v>
      </c>
      <c r="C183" s="37" t="s">
        <v>72</v>
      </c>
      <c r="D183" s="37" t="s">
        <v>73</v>
      </c>
      <c r="E183" s="38" t="n">
        <v>193.350727041884</v>
      </c>
      <c r="F183" s="38" t="n">
        <v>41.2534762460655</v>
      </c>
      <c r="G183" s="38" t="n">
        <v>15.8858144937776</v>
      </c>
      <c r="H183" s="38" t="n">
        <v>9.90557949042705</v>
      </c>
      <c r="I183" s="38" t="n">
        <v>219.399019232894</v>
      </c>
      <c r="J183" s="38" t="n">
        <v>183.02703510591</v>
      </c>
      <c r="K183" s="38" t="n">
        <v>98.172318902019</v>
      </c>
      <c r="L183" s="38" t="n">
        <v>63.7042328129862</v>
      </c>
      <c r="M183" s="38" t="n">
        <v>53.5401750794711</v>
      </c>
      <c r="N183" s="38" t="n">
        <v>0</v>
      </c>
    </row>
    <row r="184" customFormat="false" ht="15" hidden="false" customHeight="false" outlineLevel="0" collapsed="false">
      <c r="A184" s="37" t="s">
        <v>552</v>
      </c>
      <c r="B184" s="37" t="s">
        <v>121</v>
      </c>
      <c r="C184" s="37" t="s">
        <v>77</v>
      </c>
      <c r="D184" s="37" t="s">
        <v>78</v>
      </c>
      <c r="E184" s="38" t="n">
        <v>232.136663585534</v>
      </c>
      <c r="F184" s="38" t="n">
        <v>55.3448109621898</v>
      </c>
      <c r="G184" s="38" t="n">
        <v>16.0037147315992</v>
      </c>
      <c r="H184" s="38" t="n">
        <v>21.6998924272503</v>
      </c>
      <c r="I184" s="38" t="n">
        <v>263.241582476011</v>
      </c>
      <c r="J184" s="38" t="n">
        <v>81.8629862504749</v>
      </c>
      <c r="K184" s="38" t="n">
        <v>147.90693314308</v>
      </c>
      <c r="L184" s="38" t="n">
        <v>80.2865272606653</v>
      </c>
      <c r="M184" s="38" t="n">
        <v>76.4651949838447</v>
      </c>
      <c r="N184" s="38" t="n">
        <v>0</v>
      </c>
    </row>
    <row r="185" customFormat="false" ht="15" hidden="false" customHeight="false" outlineLevel="0" collapsed="false">
      <c r="A185" s="37" t="s">
        <v>554</v>
      </c>
      <c r="B185" s="37" t="s">
        <v>97</v>
      </c>
      <c r="C185" s="37" t="s">
        <v>36</v>
      </c>
      <c r="D185" s="37" t="s">
        <v>37</v>
      </c>
      <c r="E185" s="38" t="n">
        <v>211.533941265999</v>
      </c>
      <c r="F185" s="38" t="n">
        <v>38.7144009106094</v>
      </c>
      <c r="G185" s="38" t="n">
        <v>15.9058543963719</v>
      </c>
      <c r="H185" s="38" t="n">
        <v>5.03141085364453</v>
      </c>
      <c r="I185" s="38" t="n">
        <v>249.040239140166</v>
      </c>
      <c r="J185" s="38" t="n">
        <v>45.7300717679636</v>
      </c>
      <c r="K185" s="38" t="n">
        <v>114.716845929947</v>
      </c>
      <c r="L185" s="38" t="n">
        <v>67.7782694146519</v>
      </c>
      <c r="M185" s="38" t="n">
        <v>63.5230259795179</v>
      </c>
      <c r="N185" s="38" t="n">
        <v>0</v>
      </c>
    </row>
    <row r="186" customFormat="false" ht="15" hidden="false" customHeight="false" outlineLevel="0" collapsed="false">
      <c r="A186" s="37" t="s">
        <v>554</v>
      </c>
      <c r="B186" s="37" t="s">
        <v>97</v>
      </c>
      <c r="C186" s="37" t="s">
        <v>41</v>
      </c>
      <c r="D186" s="37" t="s">
        <v>42</v>
      </c>
      <c r="E186" s="38" t="n">
        <v>207.619002879074</v>
      </c>
      <c r="F186" s="38" t="n">
        <v>60.0241488269756</v>
      </c>
      <c r="G186" s="38" t="n">
        <v>15.8897957068484</v>
      </c>
      <c r="H186" s="38" t="n">
        <v>4.92813059869946</v>
      </c>
      <c r="I186" s="38" t="n">
        <v>214.628077091229</v>
      </c>
      <c r="J186" s="38" t="n">
        <v>26.3741370927126</v>
      </c>
      <c r="K186" s="38" t="n">
        <v>97.418311854352</v>
      </c>
      <c r="L186" s="38" t="n">
        <v>62.671975093935</v>
      </c>
      <c r="M186" s="38" t="n">
        <v>54.8353668115852</v>
      </c>
      <c r="N186" s="38" t="n">
        <v>0</v>
      </c>
    </row>
    <row r="187" customFormat="false" ht="15" hidden="false" customHeight="false" outlineLevel="0" collapsed="false">
      <c r="A187" s="37" t="s">
        <v>554</v>
      </c>
      <c r="B187" s="37" t="s">
        <v>97</v>
      </c>
      <c r="C187" s="37" t="s">
        <v>46</v>
      </c>
      <c r="D187" s="37" t="s">
        <v>47</v>
      </c>
      <c r="E187" s="38" t="n">
        <v>222.535662741642</v>
      </c>
      <c r="F187" s="38" t="n">
        <v>38.5701385074056</v>
      </c>
      <c r="G187" s="38" t="n">
        <v>15.9221667710777</v>
      </c>
      <c r="H187" s="38" t="n">
        <v>27.8902650721573</v>
      </c>
      <c r="I187" s="38" t="n">
        <v>247.791747968487</v>
      </c>
      <c r="J187" s="38" t="n">
        <v>54.5417479684872</v>
      </c>
      <c r="K187" s="38" t="n">
        <v>135.8353331815</v>
      </c>
      <c r="L187" s="38" t="n">
        <v>75.988129946272</v>
      </c>
      <c r="M187" s="38" t="n">
        <v>69.1569034463076</v>
      </c>
      <c r="N187" s="38" t="n">
        <v>0</v>
      </c>
    </row>
    <row r="188" customFormat="false" ht="15" hidden="false" customHeight="false" outlineLevel="0" collapsed="false">
      <c r="A188" s="37" t="s">
        <v>554</v>
      </c>
      <c r="B188" s="37" t="s">
        <v>97</v>
      </c>
      <c r="C188" s="37" t="s">
        <v>51</v>
      </c>
      <c r="D188" s="37" t="s">
        <v>51</v>
      </c>
      <c r="E188" s="38" t="n">
        <v>223.695232764029</v>
      </c>
      <c r="F188" s="38" t="n">
        <v>48.0189800151662</v>
      </c>
      <c r="G188" s="38" t="n">
        <v>15.9221667710777</v>
      </c>
      <c r="H188" s="38" t="n">
        <v>17.8765692783715</v>
      </c>
      <c r="I188" s="38" t="n">
        <v>262.506781488358</v>
      </c>
      <c r="J188" s="38" t="n">
        <v>65.8330808534803</v>
      </c>
      <c r="K188" s="38" t="n">
        <v>143.702919427631</v>
      </c>
      <c r="L188" s="38" t="n">
        <v>75.7974647109205</v>
      </c>
      <c r="M188" s="38" t="n">
        <v>72.5123833943225</v>
      </c>
      <c r="N188" s="38" t="n">
        <v>0</v>
      </c>
    </row>
    <row r="189" customFormat="false" ht="15" hidden="false" customHeight="false" outlineLevel="0" collapsed="false">
      <c r="A189" s="37" t="s">
        <v>554</v>
      </c>
      <c r="B189" s="37" t="s">
        <v>97</v>
      </c>
      <c r="C189" s="37" t="s">
        <v>55</v>
      </c>
      <c r="D189" s="37" t="s">
        <v>37</v>
      </c>
      <c r="E189" s="38" t="n">
        <v>203.052403070737</v>
      </c>
      <c r="F189" s="38" t="n">
        <v>38.4082299153333</v>
      </c>
      <c r="G189" s="38" t="n">
        <v>15.9041874672204</v>
      </c>
      <c r="H189" s="38" t="n">
        <v>4.78960818182069</v>
      </c>
      <c r="I189" s="38" t="n">
        <v>256.095494954286</v>
      </c>
      <c r="J189" s="38" t="n">
        <v>55.4048125284185</v>
      </c>
      <c r="K189" s="38" t="n">
        <v>108.370898080605</v>
      </c>
      <c r="L189" s="38" t="n">
        <v>61.5153762106762</v>
      </c>
      <c r="M189" s="38" t="n">
        <v>57.922805788614</v>
      </c>
      <c r="N189" s="38" t="n">
        <v>0</v>
      </c>
    </row>
    <row r="190" customFormat="false" ht="15" hidden="false" customHeight="false" outlineLevel="0" collapsed="false">
      <c r="A190" s="37" t="s">
        <v>554</v>
      </c>
      <c r="B190" s="37" t="s">
        <v>97</v>
      </c>
      <c r="C190" s="37" t="s">
        <v>59</v>
      </c>
      <c r="D190" s="37" t="s">
        <v>42</v>
      </c>
      <c r="E190" s="38" t="n">
        <v>206.033902453451</v>
      </c>
      <c r="F190" s="38" t="n">
        <v>64.7348246231301</v>
      </c>
      <c r="G190" s="38" t="n">
        <v>15.8887682283369</v>
      </c>
      <c r="H190" s="38" t="n">
        <v>4.71774603816191</v>
      </c>
      <c r="I190" s="38" t="n">
        <v>215.937824891497</v>
      </c>
      <c r="J190" s="38" t="n">
        <v>16.7768138774745</v>
      </c>
      <c r="K190" s="38" t="n">
        <v>95.068851729654</v>
      </c>
      <c r="L190" s="38" t="n">
        <v>56.5308906702868</v>
      </c>
      <c r="M190" s="38" t="n">
        <v>50.1575911528307</v>
      </c>
      <c r="N190" s="38" t="n">
        <v>0</v>
      </c>
    </row>
    <row r="191" customFormat="false" ht="15" hidden="false" customHeight="false" outlineLevel="0" collapsed="false">
      <c r="A191" s="37" t="s">
        <v>554</v>
      </c>
      <c r="B191" s="37" t="s">
        <v>97</v>
      </c>
      <c r="C191" s="37" t="s">
        <v>63</v>
      </c>
      <c r="D191" s="37" t="s">
        <v>47</v>
      </c>
      <c r="E191" s="38" t="n">
        <v>208.455803401067</v>
      </c>
      <c r="F191" s="38" t="n">
        <v>38.8824750746728</v>
      </c>
      <c r="G191" s="38" t="n">
        <v>15.9080331192113</v>
      </c>
      <c r="H191" s="38" t="n">
        <v>27.3506241763368</v>
      </c>
      <c r="I191" s="38" t="n">
        <v>227.318911071216</v>
      </c>
      <c r="J191" s="38" t="n">
        <v>36.7362748754682</v>
      </c>
      <c r="K191" s="38" t="n">
        <v>109.824670056851</v>
      </c>
      <c r="L191" s="38" t="n">
        <v>60.6211205310333</v>
      </c>
      <c r="M191" s="38" t="n">
        <v>59.024081677536</v>
      </c>
      <c r="N191" s="38" t="n">
        <v>0</v>
      </c>
    </row>
    <row r="192" customFormat="false" ht="15" hidden="false" customHeight="false" outlineLevel="0" collapsed="false">
      <c r="A192" s="37" t="s">
        <v>554</v>
      </c>
      <c r="B192" s="37" t="s">
        <v>97</v>
      </c>
      <c r="C192" s="37" t="s">
        <v>67</v>
      </c>
      <c r="D192" s="37" t="s">
        <v>68</v>
      </c>
      <c r="E192" s="38" t="n">
        <v>197.353717705148</v>
      </c>
      <c r="F192" s="38" t="n">
        <v>39.8428575101211</v>
      </c>
      <c r="G192" s="38" t="n">
        <v>15.1214325041648</v>
      </c>
      <c r="H192" s="38" t="n">
        <v>4.99119857494195</v>
      </c>
      <c r="I192" s="38" t="n">
        <v>213.105616900139</v>
      </c>
      <c r="J192" s="38" t="n">
        <v>31.6056169001387</v>
      </c>
      <c r="K192" s="38" t="n">
        <v>108.428093491228</v>
      </c>
      <c r="L192" s="38" t="n">
        <v>63.3608400690098</v>
      </c>
      <c r="M192" s="38" t="n">
        <v>58.7477837076184</v>
      </c>
      <c r="N192" s="38" t="n">
        <v>0</v>
      </c>
    </row>
    <row r="193" customFormat="false" ht="15" hidden="false" customHeight="false" outlineLevel="0" collapsed="false">
      <c r="A193" s="37" t="s">
        <v>554</v>
      </c>
      <c r="B193" s="37" t="s">
        <v>97</v>
      </c>
      <c r="C193" s="37" t="s">
        <v>72</v>
      </c>
      <c r="D193" s="37" t="s">
        <v>73</v>
      </c>
      <c r="E193" s="38" t="n">
        <v>195.187922488837</v>
      </c>
      <c r="F193" s="38" t="n">
        <v>41.6603849599088</v>
      </c>
      <c r="G193" s="38" t="n">
        <v>15.9221667710777</v>
      </c>
      <c r="H193" s="38" t="n">
        <v>8.59717676368948</v>
      </c>
      <c r="I193" s="38" t="n">
        <v>220.261569140343</v>
      </c>
      <c r="J193" s="38" t="n">
        <v>183.889585013359</v>
      </c>
      <c r="K193" s="38" t="n">
        <v>102.139448821625</v>
      </c>
      <c r="L193" s="38" t="n">
        <v>64.1211076993482</v>
      </c>
      <c r="M193" s="38" t="n">
        <v>55.0594589728132</v>
      </c>
      <c r="N193" s="38" t="n">
        <v>0</v>
      </c>
    </row>
    <row r="194" customFormat="false" ht="15" hidden="false" customHeight="false" outlineLevel="0" collapsed="false">
      <c r="A194" s="37" t="s">
        <v>554</v>
      </c>
      <c r="B194" s="37" t="s">
        <v>97</v>
      </c>
      <c r="C194" s="37" t="s">
        <v>77</v>
      </c>
      <c r="D194" s="37" t="s">
        <v>78</v>
      </c>
      <c r="E194" s="38" t="n">
        <v>231.155826500467</v>
      </c>
      <c r="F194" s="38" t="n">
        <v>55.8749544164053</v>
      </c>
      <c r="G194" s="38" t="n">
        <v>16.0402542661165</v>
      </c>
      <c r="H194" s="38" t="n">
        <v>17.2192204389607</v>
      </c>
      <c r="I194" s="38" t="n">
        <v>256.808666494039</v>
      </c>
      <c r="J194" s="38" t="n">
        <v>75.4330247641098</v>
      </c>
      <c r="K194" s="38" t="n">
        <v>148.584000216114</v>
      </c>
      <c r="L194" s="38" t="n">
        <v>79.8830170766905</v>
      </c>
      <c r="M194" s="38" t="n">
        <v>76.5148345374162</v>
      </c>
      <c r="N194" s="38" t="n">
        <v>0</v>
      </c>
    </row>
    <row r="195" customFormat="false" ht="15" hidden="false" customHeight="false" outlineLevel="0" collapsed="false">
      <c r="A195" s="37" t="s">
        <v>554</v>
      </c>
      <c r="B195" s="37" t="s">
        <v>100</v>
      </c>
      <c r="C195" s="37" t="s">
        <v>36</v>
      </c>
      <c r="D195" s="37" t="s">
        <v>37</v>
      </c>
      <c r="E195" s="38" t="n">
        <v>202.11984889833</v>
      </c>
      <c r="F195" s="38" t="n">
        <v>38.6972262898806</v>
      </c>
      <c r="G195" s="38" t="n">
        <v>15.9056096792055</v>
      </c>
      <c r="H195" s="38" t="n">
        <v>5.01869644449263</v>
      </c>
      <c r="I195" s="38" t="n">
        <v>228.558244862457</v>
      </c>
      <c r="J195" s="38" t="n">
        <v>36.3321132328741</v>
      </c>
      <c r="K195" s="38" t="n">
        <v>101.555768486597</v>
      </c>
      <c r="L195" s="38" t="n">
        <v>62.8072515516548</v>
      </c>
      <c r="M195" s="38" t="n">
        <v>58.1429714156504</v>
      </c>
      <c r="N195" s="38" t="n">
        <v>0</v>
      </c>
    </row>
    <row r="196" customFormat="false" ht="15" hidden="false" customHeight="false" outlineLevel="0" collapsed="false">
      <c r="A196" s="37" t="s">
        <v>554</v>
      </c>
      <c r="B196" s="37" t="s">
        <v>100</v>
      </c>
      <c r="C196" s="37" t="s">
        <v>41</v>
      </c>
      <c r="D196" s="37" t="s">
        <v>42</v>
      </c>
      <c r="E196" s="38" t="n">
        <v>200.027409505149</v>
      </c>
      <c r="F196" s="38" t="n">
        <v>59.9635651431899</v>
      </c>
      <c r="G196" s="38" t="n">
        <v>15.8897319961043</v>
      </c>
      <c r="H196" s="38" t="n">
        <v>4.9146005606619</v>
      </c>
      <c r="I196" s="38" t="n">
        <v>197.34632550691</v>
      </c>
      <c r="J196" s="38" t="n">
        <v>23.2800514438064</v>
      </c>
      <c r="K196" s="38" t="n">
        <v>88.0560314112821</v>
      </c>
      <c r="L196" s="38" t="n">
        <v>60.4384741978575</v>
      </c>
      <c r="M196" s="38" t="n">
        <v>50.7367512603776</v>
      </c>
      <c r="N196" s="38" t="n">
        <v>0</v>
      </c>
    </row>
    <row r="197" customFormat="false" ht="15" hidden="false" customHeight="false" outlineLevel="0" collapsed="false">
      <c r="A197" s="37" t="s">
        <v>554</v>
      </c>
      <c r="B197" s="37" t="s">
        <v>100</v>
      </c>
      <c r="C197" s="37" t="s">
        <v>46</v>
      </c>
      <c r="D197" s="37" t="s">
        <v>47</v>
      </c>
      <c r="E197" s="38" t="n">
        <v>215.704624538976</v>
      </c>
      <c r="F197" s="38" t="n">
        <v>38.5549344701727</v>
      </c>
      <c r="G197" s="38" t="n">
        <v>15.9221667710777</v>
      </c>
      <c r="H197" s="38" t="n">
        <v>27.8902650721573</v>
      </c>
      <c r="I197" s="38" t="n">
        <v>232.882175536464</v>
      </c>
      <c r="J197" s="38" t="n">
        <v>39.6321755364635</v>
      </c>
      <c r="K197" s="38" t="n">
        <v>129.186994076708</v>
      </c>
      <c r="L197" s="38" t="n">
        <v>74.1419969151429</v>
      </c>
      <c r="M197" s="38" t="n">
        <v>66.3015691979173</v>
      </c>
      <c r="N197" s="38" t="n">
        <v>0</v>
      </c>
    </row>
    <row r="198" customFormat="false" ht="15" hidden="false" customHeight="false" outlineLevel="0" collapsed="false">
      <c r="A198" s="37" t="s">
        <v>554</v>
      </c>
      <c r="B198" s="37" t="s">
        <v>100</v>
      </c>
      <c r="C198" s="37" t="s">
        <v>51</v>
      </c>
      <c r="D198" s="37" t="s">
        <v>51</v>
      </c>
      <c r="E198" s="38" t="n">
        <v>215.933821479246</v>
      </c>
      <c r="F198" s="38" t="n">
        <v>47.9786413932211</v>
      </c>
      <c r="G198" s="38" t="n">
        <v>15.9221667710777</v>
      </c>
      <c r="H198" s="38" t="n">
        <v>17.8765692783715</v>
      </c>
      <c r="I198" s="38" t="n">
        <v>244.6776125294</v>
      </c>
      <c r="J198" s="38" t="n">
        <v>48.0039118945224</v>
      </c>
      <c r="K198" s="38" t="n">
        <v>136.338819048575</v>
      </c>
      <c r="L198" s="38" t="n">
        <v>73.7111228681328</v>
      </c>
      <c r="M198" s="38" t="n">
        <v>69.2269517267167</v>
      </c>
      <c r="N198" s="38" t="n">
        <v>0</v>
      </c>
    </row>
    <row r="199" customFormat="false" ht="15" hidden="false" customHeight="false" outlineLevel="0" collapsed="false">
      <c r="A199" s="37" t="s">
        <v>554</v>
      </c>
      <c r="B199" s="37" t="s">
        <v>100</v>
      </c>
      <c r="C199" s="37" t="s">
        <v>55</v>
      </c>
      <c r="D199" s="37" t="s">
        <v>37</v>
      </c>
      <c r="E199" s="38" t="n">
        <v>194.027312507436</v>
      </c>
      <c r="F199" s="38" t="n">
        <v>38.3904436384922</v>
      </c>
      <c r="G199" s="38" t="n">
        <v>15.9039248586816</v>
      </c>
      <c r="H199" s="38" t="n">
        <v>4.78960818182069</v>
      </c>
      <c r="I199" s="38" t="n">
        <v>234.829252128865</v>
      </c>
      <c r="J199" s="38" t="n">
        <v>33.9604629585053</v>
      </c>
      <c r="K199" s="38" t="n">
        <v>93.0677993087597</v>
      </c>
      <c r="L199" s="38" t="n">
        <v>58.9682257999041</v>
      </c>
      <c r="M199" s="38" t="n">
        <v>52.1998033371396</v>
      </c>
      <c r="N199" s="38" t="n">
        <v>0</v>
      </c>
    </row>
    <row r="200" customFormat="false" ht="15" hidden="false" customHeight="false" outlineLevel="0" collapsed="false">
      <c r="A200" s="37" t="s">
        <v>554</v>
      </c>
      <c r="B200" s="37" t="s">
        <v>100</v>
      </c>
      <c r="C200" s="37" t="s">
        <v>59</v>
      </c>
      <c r="D200" s="37" t="s">
        <v>42</v>
      </c>
      <c r="E200" s="38" t="n">
        <v>198.842754102331</v>
      </c>
      <c r="F200" s="38" t="n">
        <v>64.6605317026892</v>
      </c>
      <c r="G200" s="38" t="n">
        <v>15.8887658573838</v>
      </c>
      <c r="H200" s="38" t="n">
        <v>4.71774603816191</v>
      </c>
      <c r="I200" s="38" t="n">
        <v>197.891150960377</v>
      </c>
      <c r="J200" s="38" t="n">
        <v>-1.26994546021265</v>
      </c>
      <c r="K200" s="38" t="n">
        <v>84.1632632313894</v>
      </c>
      <c r="L200" s="38" t="n">
        <v>54.4500496642939</v>
      </c>
      <c r="M200" s="38" t="n">
        <v>46.1291132801309</v>
      </c>
      <c r="N200" s="38" t="n">
        <v>0</v>
      </c>
    </row>
    <row r="201" customFormat="false" ht="15" hidden="false" customHeight="false" outlineLevel="0" collapsed="false">
      <c r="A201" s="37" t="s">
        <v>554</v>
      </c>
      <c r="B201" s="37" t="s">
        <v>100</v>
      </c>
      <c r="C201" s="37" t="s">
        <v>63</v>
      </c>
      <c r="D201" s="37" t="s">
        <v>47</v>
      </c>
      <c r="E201" s="38" t="n">
        <v>201.844334348969</v>
      </c>
      <c r="F201" s="38" t="n">
        <v>38.8646750386707</v>
      </c>
      <c r="G201" s="38" t="n">
        <v>15.9078602703584</v>
      </c>
      <c r="H201" s="38" t="n">
        <v>27.3506241763368</v>
      </c>
      <c r="I201" s="38" t="n">
        <v>212.068231350277</v>
      </c>
      <c r="J201" s="38" t="n">
        <v>21.3683787571199</v>
      </c>
      <c r="K201" s="38" t="n">
        <v>92.4765318509831</v>
      </c>
      <c r="L201" s="38" t="n">
        <v>58.7893273032187</v>
      </c>
      <c r="M201" s="38" t="n">
        <v>53.0189491857824</v>
      </c>
      <c r="N201" s="38" t="n">
        <v>0</v>
      </c>
    </row>
    <row r="202" customFormat="false" ht="15" hidden="false" customHeight="false" outlineLevel="0" collapsed="false">
      <c r="A202" s="37" t="s">
        <v>554</v>
      </c>
      <c r="B202" s="37" t="s">
        <v>100</v>
      </c>
      <c r="C202" s="37" t="s">
        <v>67</v>
      </c>
      <c r="D202" s="37" t="s">
        <v>68</v>
      </c>
      <c r="E202" s="38" t="n">
        <v>189.407333131489</v>
      </c>
      <c r="F202" s="38" t="n">
        <v>39.8266776292763</v>
      </c>
      <c r="G202" s="38" t="n">
        <v>15.1151409103681</v>
      </c>
      <c r="H202" s="38" t="n">
        <v>4.98490338248564</v>
      </c>
      <c r="I202" s="38" t="n">
        <v>194.212645989577</v>
      </c>
      <c r="J202" s="38" t="n">
        <v>23.9877805707432</v>
      </c>
      <c r="K202" s="38" t="n">
        <v>93.1912835358005</v>
      </c>
      <c r="L202" s="38" t="n">
        <v>61.4524176766391</v>
      </c>
      <c r="M202" s="38" t="n">
        <v>52.8930007499617</v>
      </c>
      <c r="N202" s="38" t="n">
        <v>0</v>
      </c>
    </row>
    <row r="203" customFormat="false" ht="15" hidden="false" customHeight="false" outlineLevel="0" collapsed="false">
      <c r="A203" s="37" t="s">
        <v>554</v>
      </c>
      <c r="B203" s="37" t="s">
        <v>100</v>
      </c>
      <c r="C203" s="37" t="s">
        <v>72</v>
      </c>
      <c r="D203" s="37" t="s">
        <v>73</v>
      </c>
      <c r="E203" s="38" t="n">
        <v>187.646011641909</v>
      </c>
      <c r="F203" s="38" t="n">
        <v>41.6356906794911</v>
      </c>
      <c r="G203" s="38" t="n">
        <v>15.9221667710777</v>
      </c>
      <c r="H203" s="38" t="n">
        <v>8.59717676368948</v>
      </c>
      <c r="I203" s="38" t="n">
        <v>201.66531216911</v>
      </c>
      <c r="J203" s="38" t="n">
        <v>165.293328042126</v>
      </c>
      <c r="K203" s="38" t="n">
        <v>93.3543011079431</v>
      </c>
      <c r="L203" s="38" t="n">
        <v>62.5377894198598</v>
      </c>
      <c r="M203" s="38" t="n">
        <v>51.3235824121719</v>
      </c>
      <c r="N203" s="38" t="n">
        <v>0</v>
      </c>
    </row>
    <row r="204" customFormat="false" ht="15" hidden="false" customHeight="false" outlineLevel="0" collapsed="false">
      <c r="A204" s="37" t="s">
        <v>554</v>
      </c>
      <c r="B204" s="37" t="s">
        <v>100</v>
      </c>
      <c r="C204" s="37" t="s">
        <v>77</v>
      </c>
      <c r="D204" s="37" t="s">
        <v>78</v>
      </c>
      <c r="E204" s="38" t="n">
        <v>223.516448663171</v>
      </c>
      <c r="F204" s="38" t="n">
        <v>55.8378096457875</v>
      </c>
      <c r="G204" s="38" t="n">
        <v>16.0402531893154</v>
      </c>
      <c r="H204" s="38" t="n">
        <v>17.2192204389607</v>
      </c>
      <c r="I204" s="38" t="n">
        <v>239.515824833818</v>
      </c>
      <c r="J204" s="38" t="n">
        <v>58.139642442062</v>
      </c>
      <c r="K204" s="38" t="n">
        <v>141.564741128224</v>
      </c>
      <c r="L204" s="38" t="n">
        <v>77.7185245382971</v>
      </c>
      <c r="M204" s="38" t="n">
        <v>73.4341270771504</v>
      </c>
      <c r="N204" s="38" t="n">
        <v>0</v>
      </c>
    </row>
    <row r="205" customFormat="false" ht="15" hidden="false" customHeight="false" outlineLevel="0" collapsed="false">
      <c r="A205" s="37" t="s">
        <v>554</v>
      </c>
      <c r="B205" s="37" t="s">
        <v>106</v>
      </c>
      <c r="C205" s="37" t="s">
        <v>36</v>
      </c>
      <c r="D205" s="37" t="s">
        <v>37</v>
      </c>
      <c r="E205" s="38" t="n">
        <v>212.487499332458</v>
      </c>
      <c r="F205" s="38" t="n">
        <v>39.6626293162633</v>
      </c>
      <c r="G205" s="38" t="n">
        <v>15.9058667561859</v>
      </c>
      <c r="H205" s="38" t="n">
        <v>5.03141085364453</v>
      </c>
      <c r="I205" s="38" t="n">
        <v>250.49617022136</v>
      </c>
      <c r="J205" s="38" t="n">
        <v>47.1943850956276</v>
      </c>
      <c r="K205" s="38" t="n">
        <v>116.088372523257</v>
      </c>
      <c r="L205" s="38" t="n">
        <v>69.4345276760966</v>
      </c>
      <c r="M205" s="38" t="n">
        <v>64.1260492990473</v>
      </c>
      <c r="N205" s="38" t="n">
        <v>0</v>
      </c>
    </row>
    <row r="206" customFormat="false" ht="15" hidden="false" customHeight="false" outlineLevel="0" collapsed="false">
      <c r="A206" s="37" t="s">
        <v>554</v>
      </c>
      <c r="B206" s="37" t="s">
        <v>106</v>
      </c>
      <c r="C206" s="37" t="s">
        <v>41</v>
      </c>
      <c r="D206" s="37" t="s">
        <v>42</v>
      </c>
      <c r="E206" s="38" t="n">
        <v>211.613896537194</v>
      </c>
      <c r="F206" s="38" t="n">
        <v>63.966207949493</v>
      </c>
      <c r="G206" s="38" t="n">
        <v>15.8899443267592</v>
      </c>
      <c r="H206" s="38" t="n">
        <v>4.97124621112304</v>
      </c>
      <c r="I206" s="38" t="n">
        <v>219.463221937105</v>
      </c>
      <c r="J206" s="38" t="n">
        <v>71.2147336871669</v>
      </c>
      <c r="K206" s="38" t="n">
        <v>111.351126665372</v>
      </c>
      <c r="L206" s="38" t="n">
        <v>67.4168025962473</v>
      </c>
      <c r="M206" s="38" t="n">
        <v>59.7672492197857</v>
      </c>
      <c r="N206" s="38" t="n">
        <v>0</v>
      </c>
    </row>
    <row r="207" customFormat="false" ht="15" hidden="false" customHeight="false" outlineLevel="0" collapsed="false">
      <c r="A207" s="37" t="s">
        <v>554</v>
      </c>
      <c r="B207" s="37" t="s">
        <v>106</v>
      </c>
      <c r="C207" s="37" t="s">
        <v>46</v>
      </c>
      <c r="D207" s="37" t="s">
        <v>47</v>
      </c>
      <c r="E207" s="38" t="n">
        <v>223.679166433255</v>
      </c>
      <c r="F207" s="38" t="n">
        <v>39.7136421990194</v>
      </c>
      <c r="G207" s="38" t="n">
        <v>15.9221667710777</v>
      </c>
      <c r="H207" s="38" t="n">
        <v>27.8902650721573</v>
      </c>
      <c r="I207" s="38" t="n">
        <v>249.483309653223</v>
      </c>
      <c r="J207" s="38" t="n">
        <v>56.2333096532226</v>
      </c>
      <c r="K207" s="38" t="n">
        <v>137.474205399065</v>
      </c>
      <c r="L207" s="38" t="n">
        <v>76.4082810615391</v>
      </c>
      <c r="M207" s="38" t="n">
        <v>69.879069692758</v>
      </c>
      <c r="N207" s="38" t="n">
        <v>0</v>
      </c>
    </row>
    <row r="208" customFormat="false" ht="15" hidden="false" customHeight="false" outlineLevel="0" collapsed="false">
      <c r="A208" s="37" t="s">
        <v>554</v>
      </c>
      <c r="B208" s="37" t="s">
        <v>106</v>
      </c>
      <c r="C208" s="37" t="s">
        <v>51</v>
      </c>
      <c r="D208" s="37" t="s">
        <v>51</v>
      </c>
      <c r="E208" s="38" t="n">
        <v>226.42316508289</v>
      </c>
      <c r="F208" s="38" t="n">
        <v>50.7469123340272</v>
      </c>
      <c r="G208" s="38" t="n">
        <v>15.9221667710777</v>
      </c>
      <c r="H208" s="38" t="n">
        <v>17.8765692783715</v>
      </c>
      <c r="I208" s="38" t="n">
        <v>265.946028576909</v>
      </c>
      <c r="J208" s="38" t="n">
        <v>69.2723279420319</v>
      </c>
      <c r="K208" s="38" t="n">
        <v>146.981868934944</v>
      </c>
      <c r="L208" s="38" t="n">
        <v>76.7837239525828</v>
      </c>
      <c r="M208" s="38" t="n">
        <v>73.5606506346013</v>
      </c>
      <c r="N208" s="38" t="n">
        <v>0</v>
      </c>
    </row>
    <row r="209" customFormat="false" ht="15" hidden="false" customHeight="false" outlineLevel="0" collapsed="false">
      <c r="A209" s="37" t="s">
        <v>554</v>
      </c>
      <c r="B209" s="37" t="s">
        <v>106</v>
      </c>
      <c r="C209" s="37" t="s">
        <v>55</v>
      </c>
      <c r="D209" s="37" t="s">
        <v>37</v>
      </c>
      <c r="E209" s="38" t="n">
        <v>203.967225365754</v>
      </c>
      <c r="F209" s="38" t="n">
        <v>39.3184504863476</v>
      </c>
      <c r="G209" s="38" t="n">
        <v>15.9041996593111</v>
      </c>
      <c r="H209" s="38" t="n">
        <v>4.78960818182069</v>
      </c>
      <c r="I209" s="38" t="n">
        <v>257.537106468442</v>
      </c>
      <c r="J209" s="38" t="n">
        <v>56.8546929466285</v>
      </c>
      <c r="K209" s="38" t="n">
        <v>109.726582311561</v>
      </c>
      <c r="L209" s="38" t="n">
        <v>61.8474310550926</v>
      </c>
      <c r="M209" s="38" t="n">
        <v>58.5190782372796</v>
      </c>
      <c r="N209" s="38" t="n">
        <v>0</v>
      </c>
    </row>
    <row r="210" customFormat="false" ht="15" hidden="false" customHeight="false" outlineLevel="0" collapsed="false">
      <c r="A210" s="37" t="s">
        <v>554</v>
      </c>
      <c r="B210" s="37" t="s">
        <v>106</v>
      </c>
      <c r="C210" s="37" t="s">
        <v>59</v>
      </c>
      <c r="D210" s="37" t="s">
        <v>42</v>
      </c>
      <c r="E210" s="38" t="n">
        <v>210.612031079021</v>
      </c>
      <c r="F210" s="38" t="n">
        <v>69.3011182810061</v>
      </c>
      <c r="G210" s="38" t="n">
        <v>15.8889273304193</v>
      </c>
      <c r="H210" s="38" t="n">
        <v>4.71894151401479</v>
      </c>
      <c r="I210" s="38" t="n">
        <v>221.538374741989</v>
      </c>
      <c r="J210" s="38" t="n">
        <v>67.3831220580568</v>
      </c>
      <c r="K210" s="38" t="n">
        <v>109.950506790675</v>
      </c>
      <c r="L210" s="38" t="n">
        <v>61.086508730084</v>
      </c>
      <c r="M210" s="38" t="n">
        <v>55.4971653886366</v>
      </c>
      <c r="N210" s="38" t="n">
        <v>0</v>
      </c>
    </row>
    <row r="211" customFormat="false" ht="15" hidden="false" customHeight="false" outlineLevel="0" collapsed="false">
      <c r="A211" s="37" t="s">
        <v>554</v>
      </c>
      <c r="B211" s="37" t="s">
        <v>106</v>
      </c>
      <c r="C211" s="37" t="s">
        <v>63</v>
      </c>
      <c r="D211" s="37" t="s">
        <v>47</v>
      </c>
      <c r="E211" s="38" t="n">
        <v>209.551738042821</v>
      </c>
      <c r="F211" s="38" t="n">
        <v>39.9745409334494</v>
      </c>
      <c r="G211" s="38" t="n">
        <v>15.9080459637553</v>
      </c>
      <c r="H211" s="38" t="n">
        <v>27.3506241763368</v>
      </c>
      <c r="I211" s="38" t="n">
        <v>229.008975768174</v>
      </c>
      <c r="J211" s="38" t="n">
        <v>38.4350499979871</v>
      </c>
      <c r="K211" s="38" t="n">
        <v>112.953358037647</v>
      </c>
      <c r="L211" s="38" t="n">
        <v>61.0310784299867</v>
      </c>
      <c r="M211" s="38" t="n">
        <v>60.1665487220647</v>
      </c>
      <c r="N211" s="38" t="n">
        <v>0</v>
      </c>
    </row>
    <row r="212" customFormat="false" ht="15" hidden="false" customHeight="false" outlineLevel="0" collapsed="false">
      <c r="A212" s="37" t="s">
        <v>554</v>
      </c>
      <c r="B212" s="37" t="s">
        <v>106</v>
      </c>
      <c r="C212" s="37" t="s">
        <v>67</v>
      </c>
      <c r="D212" s="37" t="s">
        <v>68</v>
      </c>
      <c r="E212" s="38" t="n">
        <v>198.383577731893</v>
      </c>
      <c r="F212" s="38" t="n">
        <v>40.8716520252169</v>
      </c>
      <c r="G212" s="38" t="n">
        <v>15.122012032912</v>
      </c>
      <c r="H212" s="38" t="n">
        <v>4.99119857494195</v>
      </c>
      <c r="I212" s="38" t="n">
        <v>214.762553414653</v>
      </c>
      <c r="J212" s="38" t="n">
        <v>33.2625534146532</v>
      </c>
      <c r="K212" s="38" t="n">
        <v>111.4910863664</v>
      </c>
      <c r="L212" s="38" t="n">
        <v>63.7602616387952</v>
      </c>
      <c r="M212" s="38" t="n">
        <v>59.8490357544271</v>
      </c>
      <c r="N212" s="38" t="n">
        <v>0</v>
      </c>
    </row>
    <row r="213" customFormat="false" ht="15" hidden="false" customHeight="false" outlineLevel="0" collapsed="false">
      <c r="A213" s="37" t="s">
        <v>554</v>
      </c>
      <c r="B213" s="37" t="s">
        <v>106</v>
      </c>
      <c r="C213" s="37" t="s">
        <v>72</v>
      </c>
      <c r="D213" s="37" t="s">
        <v>73</v>
      </c>
      <c r="E213" s="38" t="n">
        <v>196.706667205253</v>
      </c>
      <c r="F213" s="38" t="n">
        <v>43.1791296763246</v>
      </c>
      <c r="G213" s="38" t="n">
        <v>15.9221667710777</v>
      </c>
      <c r="H213" s="38" t="n">
        <v>8.59717676368948</v>
      </c>
      <c r="I213" s="38" t="n">
        <v>222.510512186087</v>
      </c>
      <c r="J213" s="38" t="n">
        <v>186.138528059103</v>
      </c>
      <c r="K213" s="38" t="n">
        <v>104.69580264634</v>
      </c>
      <c r="L213" s="38" t="n">
        <v>64.6338647977663</v>
      </c>
      <c r="M213" s="38" t="n">
        <v>56.1407320167493</v>
      </c>
      <c r="N213" s="38" t="n">
        <v>0</v>
      </c>
    </row>
    <row r="214" customFormat="false" ht="15" hidden="false" customHeight="false" outlineLevel="0" collapsed="false">
      <c r="A214" s="37" t="s">
        <v>554</v>
      </c>
      <c r="B214" s="37" t="s">
        <v>106</v>
      </c>
      <c r="C214" s="37" t="s">
        <v>77</v>
      </c>
      <c r="D214" s="37" t="s">
        <v>78</v>
      </c>
      <c r="E214" s="38" t="n">
        <v>233.787930545624</v>
      </c>
      <c r="F214" s="38" t="n">
        <v>58.5040825225553</v>
      </c>
      <c r="G214" s="38" t="n">
        <v>16.0403284034229</v>
      </c>
      <c r="H214" s="38" t="n">
        <v>17.2192204389607</v>
      </c>
      <c r="I214" s="38" t="n">
        <v>259.987981044519</v>
      </c>
      <c r="J214" s="38" t="n">
        <v>78.6495900612341</v>
      </c>
      <c r="K214" s="38" t="n">
        <v>151.294996056992</v>
      </c>
      <c r="L214" s="38" t="n">
        <v>80.8495939444065</v>
      </c>
      <c r="M214" s="38" t="n">
        <v>77.4278996205562</v>
      </c>
      <c r="N214" s="38" t="n">
        <v>0</v>
      </c>
    </row>
    <row r="215" customFormat="false" ht="15" hidden="false" customHeight="false" outlineLevel="0" collapsed="false">
      <c r="A215" s="37" t="s">
        <v>554</v>
      </c>
      <c r="B215" s="37" t="s">
        <v>112</v>
      </c>
      <c r="C215" s="37" t="s">
        <v>36</v>
      </c>
      <c r="D215" s="37" t="s">
        <v>37</v>
      </c>
      <c r="E215" s="38" t="n">
        <v>212.468248730797</v>
      </c>
      <c r="F215" s="38" t="n">
        <v>38.7145049020742</v>
      </c>
      <c r="G215" s="38" t="n">
        <v>15.9058717568657</v>
      </c>
      <c r="H215" s="38" t="n">
        <v>5.95812839283022</v>
      </c>
      <c r="I215" s="38" t="n">
        <v>252.353968500262</v>
      </c>
      <c r="J215" s="38" t="n">
        <v>49.0555747621615</v>
      </c>
      <c r="K215" s="38" t="n">
        <v>115.643006083022</v>
      </c>
      <c r="L215" s="38" t="n">
        <v>68.1185387394505</v>
      </c>
      <c r="M215" s="38" t="n">
        <v>64.0040763465082</v>
      </c>
      <c r="N215" s="38" t="n">
        <v>0</v>
      </c>
    </row>
    <row r="216" customFormat="false" ht="15" hidden="false" customHeight="false" outlineLevel="0" collapsed="false">
      <c r="A216" s="37" t="s">
        <v>554</v>
      </c>
      <c r="B216" s="37" t="s">
        <v>112</v>
      </c>
      <c r="C216" s="37" t="s">
        <v>41</v>
      </c>
      <c r="D216" s="37" t="s">
        <v>42</v>
      </c>
      <c r="E216" s="38" t="n">
        <v>213.350148354066</v>
      </c>
      <c r="F216" s="38" t="n">
        <v>64.6370688197883</v>
      </c>
      <c r="G216" s="38" t="n">
        <v>15.9023760662811</v>
      </c>
      <c r="H216" s="38" t="n">
        <v>5.88300871885638</v>
      </c>
      <c r="I216" s="38" t="n">
        <v>224.72246617754</v>
      </c>
      <c r="J216" s="38" t="n">
        <v>68.6614367296943</v>
      </c>
      <c r="K216" s="38" t="n">
        <v>113.966640020205</v>
      </c>
      <c r="L216" s="38" t="n">
        <v>68.1452854320685</v>
      </c>
      <c r="M216" s="38" t="n">
        <v>61.1115587643801</v>
      </c>
      <c r="N216" s="38" t="n">
        <v>0</v>
      </c>
    </row>
    <row r="217" customFormat="false" ht="15" hidden="false" customHeight="false" outlineLevel="0" collapsed="false">
      <c r="A217" s="37" t="s">
        <v>554</v>
      </c>
      <c r="B217" s="37" t="s">
        <v>112</v>
      </c>
      <c r="C217" s="37" t="s">
        <v>46</v>
      </c>
      <c r="D217" s="37" t="s">
        <v>47</v>
      </c>
      <c r="E217" s="38" t="n">
        <v>235.424451607668</v>
      </c>
      <c r="F217" s="38" t="n">
        <v>38.6426215719978</v>
      </c>
      <c r="G217" s="38" t="n">
        <v>15.9221667710777</v>
      </c>
      <c r="H217" s="38" t="n">
        <v>40.7065708735917</v>
      </c>
      <c r="I217" s="38" t="n">
        <v>283.521781271417</v>
      </c>
      <c r="J217" s="38" t="n">
        <v>90.2717812714174</v>
      </c>
      <c r="K217" s="38" t="n">
        <v>148.095562003432</v>
      </c>
      <c r="L217" s="38" t="n">
        <v>80.7972689025</v>
      </c>
      <c r="M217" s="38" t="n">
        <v>73.4067339517696</v>
      </c>
      <c r="N217" s="38" t="n">
        <v>0</v>
      </c>
    </row>
    <row r="218" customFormat="false" ht="15" hidden="false" customHeight="false" outlineLevel="0" collapsed="false">
      <c r="A218" s="37" t="s">
        <v>554</v>
      </c>
      <c r="B218" s="37" t="s">
        <v>112</v>
      </c>
      <c r="C218" s="37" t="s">
        <v>51</v>
      </c>
      <c r="D218" s="37" t="s">
        <v>51</v>
      </c>
      <c r="E218" s="38" t="n">
        <v>232.383037322916</v>
      </c>
      <c r="F218" s="38" t="n">
        <v>48.1041231540819</v>
      </c>
      <c r="G218" s="38" t="n">
        <v>15.9221667710777</v>
      </c>
      <c r="H218" s="38" t="n">
        <v>26.4792306983426</v>
      </c>
      <c r="I218" s="38" t="n">
        <v>283.971464014701</v>
      </c>
      <c r="J218" s="38" t="n">
        <v>87.2977633798236</v>
      </c>
      <c r="K218" s="38" t="n">
        <v>152.514376149821</v>
      </c>
      <c r="L218" s="38" t="n">
        <v>78.9416632488375</v>
      </c>
      <c r="M218" s="38" t="n">
        <v>75.9119779639432</v>
      </c>
      <c r="N218" s="38" t="n">
        <v>0</v>
      </c>
    </row>
    <row r="219" customFormat="false" ht="15" hidden="false" customHeight="false" outlineLevel="0" collapsed="false">
      <c r="A219" s="37" t="s">
        <v>554</v>
      </c>
      <c r="B219" s="37" t="s">
        <v>112</v>
      </c>
      <c r="C219" s="37" t="s">
        <v>55</v>
      </c>
      <c r="D219" s="37" t="s">
        <v>37</v>
      </c>
      <c r="E219" s="38" t="n">
        <v>203.911252738118</v>
      </c>
      <c r="F219" s="38" t="n">
        <v>38.4083257966881</v>
      </c>
      <c r="G219" s="38" t="n">
        <v>15.9042040766324</v>
      </c>
      <c r="H219" s="38" t="n">
        <v>5.64209299144803</v>
      </c>
      <c r="I219" s="38" t="n">
        <v>259.28661945805</v>
      </c>
      <c r="J219" s="38" t="n">
        <v>58.6072018454929</v>
      </c>
      <c r="K219" s="38" t="n">
        <v>109.238640500177</v>
      </c>
      <c r="L219" s="38" t="n">
        <v>61.833383448795</v>
      </c>
      <c r="M219" s="38" t="n">
        <v>58.3754143725879</v>
      </c>
      <c r="N219" s="38" t="n">
        <v>0</v>
      </c>
    </row>
    <row r="220" customFormat="false" ht="15" hidden="false" customHeight="false" outlineLevel="0" collapsed="false">
      <c r="A220" s="37" t="s">
        <v>554</v>
      </c>
      <c r="B220" s="37" t="s">
        <v>112</v>
      </c>
      <c r="C220" s="37" t="s">
        <v>59</v>
      </c>
      <c r="D220" s="37" t="s">
        <v>42</v>
      </c>
      <c r="E220" s="38" t="n">
        <v>206.864493229391</v>
      </c>
      <c r="F220" s="38" t="n">
        <v>64.7348246231301</v>
      </c>
      <c r="G220" s="38" t="n">
        <v>15.8887682283369</v>
      </c>
      <c r="H220" s="38" t="n">
        <v>5.54833681410179</v>
      </c>
      <c r="I220" s="38" t="n">
        <v>219.260892430625</v>
      </c>
      <c r="J220" s="38" t="n">
        <v>20.0998814166021</v>
      </c>
      <c r="K220" s="38" t="n">
        <v>96.8728818224533</v>
      </c>
      <c r="L220" s="38" t="n">
        <v>56.8218951749232</v>
      </c>
      <c r="M220" s="38" t="n">
        <v>50.8768794139058</v>
      </c>
      <c r="N220" s="38" t="n">
        <v>0</v>
      </c>
    </row>
    <row r="221" customFormat="false" ht="15" hidden="false" customHeight="false" outlineLevel="0" collapsed="false">
      <c r="A221" s="37" t="s">
        <v>554</v>
      </c>
      <c r="B221" s="37" t="s">
        <v>112</v>
      </c>
      <c r="C221" s="37" t="s">
        <v>63</v>
      </c>
      <c r="D221" s="37" t="s">
        <v>47</v>
      </c>
      <c r="E221" s="38" t="n">
        <v>221.679144191161</v>
      </c>
      <c r="F221" s="38" t="n">
        <v>38.9571844327027</v>
      </c>
      <c r="G221" s="38" t="n">
        <v>15.908215523454</v>
      </c>
      <c r="H221" s="38" t="n">
        <v>40.2325651962857</v>
      </c>
      <c r="I221" s="38" t="n">
        <v>264.011661139424</v>
      </c>
      <c r="J221" s="38" t="n">
        <v>66.0527206249505</v>
      </c>
      <c r="K221" s="38" t="n">
        <v>126.934072999912</v>
      </c>
      <c r="L221" s="38" t="n">
        <v>69.580647001579</v>
      </c>
      <c r="M221" s="38" t="n">
        <v>65.8516588040136</v>
      </c>
      <c r="N221" s="38" t="n">
        <v>0</v>
      </c>
    </row>
    <row r="222" customFormat="false" ht="15" hidden="false" customHeight="false" outlineLevel="0" collapsed="false">
      <c r="A222" s="37" t="s">
        <v>554</v>
      </c>
      <c r="B222" s="37" t="s">
        <v>112</v>
      </c>
      <c r="C222" s="37" t="s">
        <v>67</v>
      </c>
      <c r="D222" s="37" t="s">
        <v>68</v>
      </c>
      <c r="E222" s="38" t="n">
        <v>198.270707766546</v>
      </c>
      <c r="F222" s="38" t="n">
        <v>39.8444049597365</v>
      </c>
      <c r="G222" s="38" t="n">
        <v>15.1224075376679</v>
      </c>
      <c r="H222" s="38" t="n">
        <v>5.90016312269727</v>
      </c>
      <c r="I222" s="38" t="n">
        <v>216.651576720599</v>
      </c>
      <c r="J222" s="38" t="n">
        <v>25.1515767205993</v>
      </c>
      <c r="K222" s="38" t="n">
        <v>103.938383378108</v>
      </c>
      <c r="L222" s="38" t="n">
        <v>66.1350744098121</v>
      </c>
      <c r="M222" s="38" t="n">
        <v>57.9019776823121</v>
      </c>
      <c r="N222" s="38" t="n">
        <v>0</v>
      </c>
    </row>
    <row r="223" customFormat="false" ht="15" hidden="false" customHeight="false" outlineLevel="0" collapsed="false">
      <c r="A223" s="37" t="s">
        <v>554</v>
      </c>
      <c r="B223" s="37" t="s">
        <v>112</v>
      </c>
      <c r="C223" s="37" t="s">
        <v>72</v>
      </c>
      <c r="D223" s="37" t="s">
        <v>73</v>
      </c>
      <c r="E223" s="38" t="n">
        <v>198.407512510018</v>
      </c>
      <c r="F223" s="38" t="n">
        <v>41.6703176992077</v>
      </c>
      <c r="G223" s="38" t="n">
        <v>15.9221667710777</v>
      </c>
      <c r="H223" s="38" t="n">
        <v>11.8068340455719</v>
      </c>
      <c r="I223" s="38" t="n">
        <v>228.483474843775</v>
      </c>
      <c r="J223" s="38" t="n">
        <v>192.111490716791</v>
      </c>
      <c r="K223" s="38" t="n">
        <v>106.821045871158</v>
      </c>
      <c r="L223" s="38" t="n">
        <v>65.0652658828148</v>
      </c>
      <c r="M223" s="38" t="n">
        <v>56.93250071171</v>
      </c>
      <c r="N223" s="38" t="n">
        <v>0</v>
      </c>
    </row>
    <row r="224" customFormat="false" ht="15" hidden="false" customHeight="false" outlineLevel="0" collapsed="false">
      <c r="A224" s="37" t="s">
        <v>554</v>
      </c>
      <c r="B224" s="37" t="s">
        <v>112</v>
      </c>
      <c r="C224" s="37" t="s">
        <v>77</v>
      </c>
      <c r="D224" s="37" t="s">
        <v>78</v>
      </c>
      <c r="E224" s="38" t="n">
        <v>239.499398799547</v>
      </c>
      <c r="F224" s="38" t="n">
        <v>55.9448715183159</v>
      </c>
      <c r="G224" s="38" t="n">
        <v>16.0402556248014</v>
      </c>
      <c r="H224" s="38" t="n">
        <v>25.4928210658444</v>
      </c>
      <c r="I224" s="38" t="n">
        <v>275.870915523012</v>
      </c>
      <c r="J224" s="38" t="n">
        <v>94.495956004448</v>
      </c>
      <c r="K224" s="38" t="n">
        <v>157.036098775967</v>
      </c>
      <c r="L224" s="38" t="n">
        <v>82.2167668399406</v>
      </c>
      <c r="M224" s="38" t="n">
        <v>79.5976497887142</v>
      </c>
      <c r="N224" s="38" t="n">
        <v>0</v>
      </c>
    </row>
    <row r="225" customFormat="false" ht="15" hidden="false" customHeight="false" outlineLevel="0" collapsed="false">
      <c r="A225" s="37" t="s">
        <v>554</v>
      </c>
      <c r="B225" s="37" t="s">
        <v>118</v>
      </c>
      <c r="C225" s="37" t="s">
        <v>36</v>
      </c>
      <c r="D225" s="37" t="s">
        <v>37</v>
      </c>
      <c r="E225" s="38" t="n">
        <v>227.868348815069</v>
      </c>
      <c r="F225" s="38" t="n">
        <v>38.7551893266055</v>
      </c>
      <c r="G225" s="38" t="n">
        <v>15.9058484952439</v>
      </c>
      <c r="H225" s="38" t="n">
        <v>4.11673053715598</v>
      </c>
      <c r="I225" s="38" t="n">
        <v>286.629199971396</v>
      </c>
      <c r="J225" s="38" t="n">
        <v>83.3150305387635</v>
      </c>
      <c r="K225" s="38" t="n">
        <v>130.872148924337</v>
      </c>
      <c r="L225" s="38" t="n">
        <v>73.6170155211845</v>
      </c>
      <c r="M225" s="38" t="n">
        <v>70.3306701936268</v>
      </c>
      <c r="N225" s="38" t="n">
        <v>0</v>
      </c>
    </row>
    <row r="226" customFormat="false" ht="15" hidden="false" customHeight="false" outlineLevel="0" collapsed="false">
      <c r="A226" s="37" t="s">
        <v>554</v>
      </c>
      <c r="B226" s="37" t="s">
        <v>118</v>
      </c>
      <c r="C226" s="37" t="s">
        <v>41</v>
      </c>
      <c r="D226" s="37" t="s">
        <v>42</v>
      </c>
      <c r="E226" s="38" t="n">
        <v>226.779931301026</v>
      </c>
      <c r="F226" s="38" t="n">
        <v>66.1306335471099</v>
      </c>
      <c r="G226" s="38" t="n">
        <v>15.9051482418141</v>
      </c>
      <c r="H226" s="38" t="n">
        <v>4.11788788870846</v>
      </c>
      <c r="I226" s="38" t="n">
        <v>237.319719770288</v>
      </c>
      <c r="J226" s="38" t="n">
        <v>76.3183758766714</v>
      </c>
      <c r="K226" s="38" t="n">
        <v>124.036705376494</v>
      </c>
      <c r="L226" s="38" t="n">
        <v>72.4390713723365</v>
      </c>
      <c r="M226" s="38" t="n">
        <v>66.9190318008409</v>
      </c>
      <c r="N226" s="38" t="n">
        <v>0</v>
      </c>
    </row>
    <row r="227" customFormat="false" ht="15" hidden="false" customHeight="false" outlineLevel="0" collapsed="false">
      <c r="A227" s="37" t="s">
        <v>554</v>
      </c>
      <c r="B227" s="37" t="s">
        <v>118</v>
      </c>
      <c r="C227" s="37" t="s">
        <v>46</v>
      </c>
      <c r="D227" s="37" t="s">
        <v>47</v>
      </c>
      <c r="E227" s="38" t="n">
        <v>222.131213343388</v>
      </c>
      <c r="F227" s="38" t="n">
        <v>38.3972304931961</v>
      </c>
      <c r="G227" s="38" t="n">
        <v>15.9221667710777</v>
      </c>
      <c r="H227" s="38" t="n">
        <v>16.9006082148153</v>
      </c>
      <c r="I227" s="38" t="n">
        <v>246.034199418723</v>
      </c>
      <c r="J227" s="38" t="n">
        <v>52.7841994187231</v>
      </c>
      <c r="K227" s="38" t="n">
        <v>133.989752991788</v>
      </c>
      <c r="L227" s="38" t="n">
        <v>74.9463810523682</v>
      </c>
      <c r="M227" s="38" t="n">
        <v>69.7865527924915</v>
      </c>
      <c r="N227" s="38" t="n">
        <v>0</v>
      </c>
    </row>
    <row r="228" customFormat="false" ht="15" hidden="false" customHeight="false" outlineLevel="0" collapsed="false">
      <c r="A228" s="37" t="s">
        <v>554</v>
      </c>
      <c r="B228" s="37" t="s">
        <v>118</v>
      </c>
      <c r="C228" s="37" t="s">
        <v>51</v>
      </c>
      <c r="D228" s="37" t="s">
        <v>51</v>
      </c>
      <c r="E228" s="38" t="n">
        <v>230.097993182045</v>
      </c>
      <c r="F228" s="38" t="n">
        <v>47.8874298302475</v>
      </c>
      <c r="G228" s="38" t="n">
        <v>15.9221667710777</v>
      </c>
      <c r="H228" s="38" t="n">
        <v>11.3070619880399</v>
      </c>
      <c r="I228" s="38" t="n">
        <v>279.647069387269</v>
      </c>
      <c r="J228" s="38" t="n">
        <v>82.9733687523919</v>
      </c>
      <c r="K228" s="38" t="n">
        <v>147.940282928264</v>
      </c>
      <c r="L228" s="38" t="n">
        <v>77.0884077556183</v>
      </c>
      <c r="M228" s="38" t="n">
        <v>74.8479574018519</v>
      </c>
      <c r="N228" s="38" t="n">
        <v>0</v>
      </c>
    </row>
    <row r="229" customFormat="false" ht="15" hidden="false" customHeight="false" outlineLevel="0" collapsed="false">
      <c r="A229" s="37" t="s">
        <v>554</v>
      </c>
      <c r="B229" s="37" t="s">
        <v>118</v>
      </c>
      <c r="C229" s="37" t="s">
        <v>55</v>
      </c>
      <c r="D229" s="37" t="s">
        <v>37</v>
      </c>
      <c r="E229" s="38" t="n">
        <v>218.776183144035</v>
      </c>
      <c r="F229" s="38" t="n">
        <v>38.4525367730383</v>
      </c>
      <c r="G229" s="38" t="n">
        <v>15.9045515363897</v>
      </c>
      <c r="H229" s="38" t="n">
        <v>3.94328429515778</v>
      </c>
      <c r="I229" s="38" t="n">
        <v>293.930808624933</v>
      </c>
      <c r="J229" s="38" t="n">
        <v>93.4870434457004</v>
      </c>
      <c r="K229" s="38" t="n">
        <v>124.501299923756</v>
      </c>
      <c r="L229" s="38" t="n">
        <v>67.2176649365022</v>
      </c>
      <c r="M229" s="38" t="n">
        <v>65.0906340560114</v>
      </c>
      <c r="N229" s="38" t="n">
        <v>0</v>
      </c>
    </row>
    <row r="230" customFormat="false" ht="15" hidden="false" customHeight="false" outlineLevel="0" collapsed="false">
      <c r="A230" s="37" t="s">
        <v>554</v>
      </c>
      <c r="B230" s="37" t="s">
        <v>118</v>
      </c>
      <c r="C230" s="37" t="s">
        <v>59</v>
      </c>
      <c r="D230" s="37" t="s">
        <v>42</v>
      </c>
      <c r="E230" s="38" t="n">
        <v>224.144120036173</v>
      </c>
      <c r="F230" s="38" t="n">
        <v>70.7729851550755</v>
      </c>
      <c r="G230" s="38" t="n">
        <v>15.9039304673989</v>
      </c>
      <c r="H230" s="38" t="n">
        <v>3.921970682995</v>
      </c>
      <c r="I230" s="38" t="n">
        <v>239.963897955644</v>
      </c>
      <c r="J230" s="38" t="n">
        <v>82.7159708111848</v>
      </c>
      <c r="K230" s="38" t="n">
        <v>122.605177726007</v>
      </c>
      <c r="L230" s="38" t="n">
        <v>68.3219664410882</v>
      </c>
      <c r="M230" s="38" t="n">
        <v>63.0361477381068</v>
      </c>
      <c r="N230" s="38" t="n">
        <v>0</v>
      </c>
    </row>
    <row r="231" customFormat="false" ht="15" hidden="false" customHeight="false" outlineLevel="0" collapsed="false">
      <c r="A231" s="37" t="s">
        <v>554</v>
      </c>
      <c r="B231" s="37" t="s">
        <v>118</v>
      </c>
      <c r="C231" s="37" t="s">
        <v>63</v>
      </c>
      <c r="D231" s="37" t="s">
        <v>47</v>
      </c>
      <c r="E231" s="38" t="n">
        <v>207.924382658417</v>
      </c>
      <c r="F231" s="38" t="n">
        <v>38.7095874080073</v>
      </c>
      <c r="G231" s="38" t="n">
        <v>15.9081116774494</v>
      </c>
      <c r="H231" s="38" t="n">
        <v>16.4613048215322</v>
      </c>
      <c r="I231" s="38" t="n">
        <v>225.44052238338</v>
      </c>
      <c r="J231" s="38" t="n">
        <v>34.9111597818082</v>
      </c>
      <c r="K231" s="38" t="n">
        <v>106.568466757487</v>
      </c>
      <c r="L231" s="38" t="n">
        <v>59.3312642242931</v>
      </c>
      <c r="M231" s="38" t="n">
        <v>58.7511048958468</v>
      </c>
      <c r="N231" s="38" t="n">
        <v>0</v>
      </c>
    </row>
    <row r="232" customFormat="false" ht="15" hidden="false" customHeight="false" outlineLevel="0" collapsed="false">
      <c r="A232" s="37" t="s">
        <v>554</v>
      </c>
      <c r="B232" s="37" t="s">
        <v>118</v>
      </c>
      <c r="C232" s="37" t="s">
        <v>67</v>
      </c>
      <c r="D232" s="37" t="s">
        <v>68</v>
      </c>
      <c r="E232" s="38" t="n">
        <v>210.013852244956</v>
      </c>
      <c r="F232" s="38" t="n">
        <v>39.8856682524224</v>
      </c>
      <c r="G232" s="38" t="n">
        <v>15.1309759268139</v>
      </c>
      <c r="H232" s="38" t="n">
        <v>4.09069122026735</v>
      </c>
      <c r="I232" s="38" t="n">
        <v>244.872587941289</v>
      </c>
      <c r="J232" s="38" t="n">
        <v>53.3725879412892</v>
      </c>
      <c r="K232" s="38" t="n">
        <v>129.594079815075</v>
      </c>
      <c r="L232" s="38" t="n">
        <v>69.304324307352</v>
      </c>
      <c r="M232" s="38" t="n">
        <v>66.5106100908725</v>
      </c>
      <c r="N232" s="38" t="n">
        <v>0</v>
      </c>
    </row>
    <row r="233" customFormat="false" ht="15" hidden="false" customHeight="false" outlineLevel="0" collapsed="false">
      <c r="A233" s="37" t="s">
        <v>554</v>
      </c>
      <c r="B233" s="37" t="s">
        <v>118</v>
      </c>
      <c r="C233" s="37" t="s">
        <v>72</v>
      </c>
      <c r="D233" s="37" t="s">
        <v>73</v>
      </c>
      <c r="E233" s="38" t="n">
        <v>205.696117113919</v>
      </c>
      <c r="F233" s="38" t="n">
        <v>41.6992351738003</v>
      </c>
      <c r="G233" s="38" t="n">
        <v>15.9221667710777</v>
      </c>
      <c r="H233" s="38" t="n">
        <v>6.09477592139979</v>
      </c>
      <c r="I233" s="38" t="n">
        <v>249.542619930299</v>
      </c>
      <c r="J233" s="38" t="n">
        <v>213.170635803315</v>
      </c>
      <c r="K233" s="38" t="n">
        <v>112.972622821574</v>
      </c>
      <c r="L233" s="38" t="n">
        <v>66.1889453126257</v>
      </c>
      <c r="M233" s="38" t="n">
        <v>60.1787428435787</v>
      </c>
      <c r="N233" s="38" t="n">
        <v>0</v>
      </c>
    </row>
    <row r="234" customFormat="false" ht="15" hidden="false" customHeight="false" outlineLevel="0" collapsed="false">
      <c r="A234" s="37" t="s">
        <v>554</v>
      </c>
      <c r="B234" s="37" t="s">
        <v>118</v>
      </c>
      <c r="C234" s="37" t="s">
        <v>77</v>
      </c>
      <c r="D234" s="37" t="s">
        <v>78</v>
      </c>
      <c r="E234" s="38" t="n">
        <v>237.569290953534</v>
      </c>
      <c r="F234" s="38" t="n">
        <v>55.7828964245988</v>
      </c>
      <c r="G234" s="38" t="n">
        <v>16.0402528120991</v>
      </c>
      <c r="H234" s="38" t="n">
        <v>10.9749054432259</v>
      </c>
      <c r="I234" s="38" t="n">
        <v>274.656945422519</v>
      </c>
      <c r="J234" s="38" t="n">
        <v>93.2805736330502</v>
      </c>
      <c r="K234" s="38" t="n">
        <v>152.299064170959</v>
      </c>
      <c r="L234" s="38" t="n">
        <v>81.5773253398166</v>
      </c>
      <c r="M234" s="38" t="n">
        <v>77.97756175093</v>
      </c>
      <c r="N234" s="38" t="n">
        <v>0</v>
      </c>
    </row>
    <row r="235" customFormat="false" ht="15" hidden="false" customHeight="false" outlineLevel="0" collapsed="false">
      <c r="A235" s="37" t="s">
        <v>554</v>
      </c>
      <c r="B235" s="37" t="s">
        <v>121</v>
      </c>
      <c r="C235" s="37" t="s">
        <v>36</v>
      </c>
      <c r="D235" s="37" t="s">
        <v>37</v>
      </c>
      <c r="E235" s="38" t="n">
        <v>207.630868383109</v>
      </c>
      <c r="F235" s="38" t="n">
        <v>38.3664285114008</v>
      </c>
      <c r="G235" s="38" t="n">
        <v>15.8693820511492</v>
      </c>
      <c r="H235" s="38" t="n">
        <v>4.88119944320263</v>
      </c>
      <c r="I235" s="38" t="n">
        <v>244.288077409881</v>
      </c>
      <c r="J235" s="38" t="n">
        <v>40.88109702334</v>
      </c>
      <c r="K235" s="38" t="n">
        <v>108.899454542224</v>
      </c>
      <c r="L235" s="38" t="n">
        <v>66.65295104523</v>
      </c>
      <c r="M235" s="38" t="n">
        <v>61.2634060308529</v>
      </c>
      <c r="N235" s="38" t="n">
        <v>0</v>
      </c>
    </row>
    <row r="236" customFormat="false" ht="15" hidden="false" customHeight="false" outlineLevel="0" collapsed="false">
      <c r="A236" s="37" t="s">
        <v>554</v>
      </c>
      <c r="B236" s="37" t="s">
        <v>121</v>
      </c>
      <c r="C236" s="37" t="s">
        <v>41</v>
      </c>
      <c r="D236" s="37" t="s">
        <v>42</v>
      </c>
      <c r="E236" s="38" t="n">
        <v>204.170554930022</v>
      </c>
      <c r="F236" s="38" t="n">
        <v>59.4120148133208</v>
      </c>
      <c r="G236" s="38" t="n">
        <v>15.8534801146348</v>
      </c>
      <c r="H236" s="38" t="n">
        <v>4.78573381572483</v>
      </c>
      <c r="I236" s="38" t="n">
        <v>210.832503324739</v>
      </c>
      <c r="J236" s="38" t="n">
        <v>24.9886335344221</v>
      </c>
      <c r="K236" s="38" t="n">
        <v>90.9306336436436</v>
      </c>
      <c r="L236" s="38" t="n">
        <v>61.7741392026467</v>
      </c>
      <c r="M236" s="38" t="n">
        <v>52.499614499879</v>
      </c>
      <c r="N236" s="38" t="n">
        <v>0</v>
      </c>
    </row>
    <row r="237" customFormat="false" ht="15" hidden="false" customHeight="false" outlineLevel="0" collapsed="false">
      <c r="A237" s="37" t="s">
        <v>554</v>
      </c>
      <c r="B237" s="37" t="s">
        <v>121</v>
      </c>
      <c r="C237" s="37" t="s">
        <v>46</v>
      </c>
      <c r="D237" s="37" t="s">
        <v>47</v>
      </c>
      <c r="E237" s="38" t="n">
        <v>217.33166676619</v>
      </c>
      <c r="F237" s="38" t="n">
        <v>38.2211873239879</v>
      </c>
      <c r="G237" s="38" t="n">
        <v>15.8858144937776</v>
      </c>
      <c r="H237" s="38" t="n">
        <v>25.9575383328604</v>
      </c>
      <c r="I237" s="38" t="n">
        <v>240.620956379342</v>
      </c>
      <c r="J237" s="38" t="n">
        <v>47.3709563793417</v>
      </c>
      <c r="K237" s="38" t="n">
        <v>128.784991849261</v>
      </c>
      <c r="L237" s="38" t="n">
        <v>74.3029424065038</v>
      </c>
      <c r="M237" s="38" t="n">
        <v>66.5755157560998</v>
      </c>
      <c r="N237" s="38" t="n">
        <v>0</v>
      </c>
    </row>
    <row r="238" customFormat="false" ht="15" hidden="false" customHeight="false" outlineLevel="0" collapsed="false">
      <c r="A238" s="37" t="s">
        <v>554</v>
      </c>
      <c r="B238" s="37" t="s">
        <v>121</v>
      </c>
      <c r="C238" s="37" t="s">
        <v>51</v>
      </c>
      <c r="D238" s="37" t="s">
        <v>51</v>
      </c>
      <c r="E238" s="38" t="n">
        <v>218.939375351371</v>
      </c>
      <c r="F238" s="38" t="n">
        <v>47.5116651756687</v>
      </c>
      <c r="G238" s="38" t="n">
        <v>15.8858144937776</v>
      </c>
      <c r="H238" s="38" t="n">
        <v>16.6003699503618</v>
      </c>
      <c r="I238" s="38" t="n">
        <v>256.407886079469</v>
      </c>
      <c r="J238" s="38" t="n">
        <v>59.7341854445918</v>
      </c>
      <c r="K238" s="38" t="n">
        <v>136.616081100026</v>
      </c>
      <c r="L238" s="38" t="n">
        <v>74.3465774406207</v>
      </c>
      <c r="M238" s="38" t="n">
        <v>69.7223144054323</v>
      </c>
      <c r="N238" s="38" t="n">
        <v>0</v>
      </c>
    </row>
    <row r="239" customFormat="false" ht="15" hidden="false" customHeight="false" outlineLevel="0" collapsed="false">
      <c r="A239" s="37" t="s">
        <v>554</v>
      </c>
      <c r="B239" s="37" t="s">
        <v>121</v>
      </c>
      <c r="C239" s="37" t="s">
        <v>55</v>
      </c>
      <c r="D239" s="37" t="s">
        <v>37</v>
      </c>
      <c r="E239" s="38" t="n">
        <v>199.380471208388</v>
      </c>
      <c r="F239" s="38" t="n">
        <v>38.0637563176193</v>
      </c>
      <c r="G239" s="38" t="n">
        <v>15.867717340688</v>
      </c>
      <c r="H239" s="38" t="n">
        <v>4.65397394027493</v>
      </c>
      <c r="I239" s="38" t="n">
        <v>251.562512675506</v>
      </c>
      <c r="J239" s="38" t="n">
        <v>50.7749583473682</v>
      </c>
      <c r="K239" s="38" t="n">
        <v>102.631867811506</v>
      </c>
      <c r="L239" s="38" t="n">
        <v>60.4505444796213</v>
      </c>
      <c r="M239" s="38" t="n">
        <v>55.7090595576766</v>
      </c>
      <c r="N239" s="38" t="n">
        <v>0</v>
      </c>
    </row>
    <row r="240" customFormat="false" ht="15" hidden="false" customHeight="false" outlineLevel="0" collapsed="false">
      <c r="A240" s="37" t="s">
        <v>554</v>
      </c>
      <c r="B240" s="37" t="s">
        <v>121</v>
      </c>
      <c r="C240" s="37" t="s">
        <v>59</v>
      </c>
      <c r="D240" s="37" t="s">
        <v>42</v>
      </c>
      <c r="E240" s="38" t="n">
        <v>202.707313637548</v>
      </c>
      <c r="F240" s="38" t="n">
        <v>64.098183877207</v>
      </c>
      <c r="G240" s="38" t="n">
        <v>15.8524549428499</v>
      </c>
      <c r="H240" s="38" t="n">
        <v>4.58873400190192</v>
      </c>
      <c r="I240" s="38" t="n">
        <v>212.309626932106</v>
      </c>
      <c r="J240" s="38" t="n">
        <v>13.1483627295689</v>
      </c>
      <c r="K240" s="38" t="n">
        <v>89.0490096899681</v>
      </c>
      <c r="L240" s="38" t="n">
        <v>55.588331558184</v>
      </c>
      <c r="M240" s="38" t="n">
        <v>48.2745311143361</v>
      </c>
      <c r="N240" s="38" t="n">
        <v>0</v>
      </c>
    </row>
    <row r="241" customFormat="false" ht="15" hidden="false" customHeight="false" outlineLevel="0" collapsed="false">
      <c r="A241" s="37" t="s">
        <v>554</v>
      </c>
      <c r="B241" s="37" t="s">
        <v>121</v>
      </c>
      <c r="C241" s="37" t="s">
        <v>63</v>
      </c>
      <c r="D241" s="37" t="s">
        <v>47</v>
      </c>
      <c r="E241" s="38" t="n">
        <v>203.512267413627</v>
      </c>
      <c r="F241" s="38" t="n">
        <v>38.5327675200483</v>
      </c>
      <c r="G241" s="38" t="n">
        <v>15.8715447508373</v>
      </c>
      <c r="H241" s="38" t="n">
        <v>25.454491358381</v>
      </c>
      <c r="I241" s="38" t="n">
        <v>220.525168371036</v>
      </c>
      <c r="J241" s="38" t="n">
        <v>29.8368842786867</v>
      </c>
      <c r="K241" s="38" t="n">
        <v>96.7441605794844</v>
      </c>
      <c r="L241" s="38" t="n">
        <v>59.0379806598762</v>
      </c>
      <c r="M241" s="38" t="n">
        <v>54.5961260895885</v>
      </c>
      <c r="N241" s="38" t="n">
        <v>0</v>
      </c>
    </row>
    <row r="242" customFormat="false" ht="15" hidden="false" customHeight="false" outlineLevel="0" collapsed="false">
      <c r="A242" s="37" t="s">
        <v>554</v>
      </c>
      <c r="B242" s="37" t="s">
        <v>121</v>
      </c>
      <c r="C242" s="37" t="s">
        <v>67</v>
      </c>
      <c r="D242" s="37" t="s">
        <v>68</v>
      </c>
      <c r="E242" s="38" t="n">
        <v>193.913396495355</v>
      </c>
      <c r="F242" s="38" t="n">
        <v>39.4799771945205</v>
      </c>
      <c r="G242" s="38" t="n">
        <v>15.086392701221</v>
      </c>
      <c r="H242" s="38" t="n">
        <v>4.84400508234978</v>
      </c>
      <c r="I242" s="38" t="n">
        <v>208.854083862473</v>
      </c>
      <c r="J242" s="38" t="n">
        <v>27.3540838624727</v>
      </c>
      <c r="K242" s="38" t="n">
        <v>98.7835542550241</v>
      </c>
      <c r="L242" s="38" t="n">
        <v>62.3517330769097</v>
      </c>
      <c r="M242" s="38" t="n">
        <v>55.4499644945984</v>
      </c>
      <c r="N242" s="38" t="n">
        <v>0</v>
      </c>
    </row>
    <row r="243" customFormat="false" ht="15" hidden="false" customHeight="false" outlineLevel="0" collapsed="false">
      <c r="A243" s="37" t="s">
        <v>554</v>
      </c>
      <c r="B243" s="37" t="s">
        <v>121</v>
      </c>
      <c r="C243" s="37" t="s">
        <v>72</v>
      </c>
      <c r="D243" s="37" t="s">
        <v>73</v>
      </c>
      <c r="E243" s="38" t="n">
        <v>191.524283715118</v>
      </c>
      <c r="F243" s="38" t="n">
        <v>41.2534762460655</v>
      </c>
      <c r="G243" s="38" t="n">
        <v>15.8858144937776</v>
      </c>
      <c r="H243" s="38" t="n">
        <v>8.07913616366102</v>
      </c>
      <c r="I243" s="38" t="n">
        <v>215.601215814771</v>
      </c>
      <c r="J243" s="38" t="n">
        <v>179.229231687787</v>
      </c>
      <c r="K243" s="38" t="n">
        <v>95.7334486549355</v>
      </c>
      <c r="L243" s="38" t="n">
        <v>63.1566013124131</v>
      </c>
      <c r="M243" s="38" t="n">
        <v>52.5587135007382</v>
      </c>
      <c r="N243" s="38" t="n">
        <v>0</v>
      </c>
    </row>
    <row r="244" customFormat="false" ht="15" hidden="false" customHeight="false" outlineLevel="0" collapsed="false">
      <c r="A244" s="37" t="s">
        <v>554</v>
      </c>
      <c r="B244" s="37" t="s">
        <v>121</v>
      </c>
      <c r="C244" s="37" t="s">
        <v>77</v>
      </c>
      <c r="D244" s="37" t="s">
        <v>78</v>
      </c>
      <c r="E244" s="38" t="n">
        <v>226.352184232722</v>
      </c>
      <c r="F244" s="38" t="n">
        <v>55.3448109621898</v>
      </c>
      <c r="G244" s="38" t="n">
        <v>16.0037147315992</v>
      </c>
      <c r="H244" s="38" t="n">
        <v>15.915413074438</v>
      </c>
      <c r="I244" s="38" t="n">
        <v>250.695710788294</v>
      </c>
      <c r="J244" s="38" t="n">
        <v>69.3171145627576</v>
      </c>
      <c r="K244" s="38" t="n">
        <v>141.793259333841</v>
      </c>
      <c r="L244" s="38" t="n">
        <v>78.3886985100956</v>
      </c>
      <c r="M244" s="38" t="n">
        <v>74.0246082007679</v>
      </c>
      <c r="N244" s="38" t="n">
        <v>0</v>
      </c>
    </row>
    <row r="245" customFormat="false" ht="15" hidden="false" customHeight="false" outlineLevel="0" collapsed="false">
      <c r="A245" s="37" t="s">
        <v>556</v>
      </c>
      <c r="B245" s="37" t="s">
        <v>97</v>
      </c>
      <c r="C245" s="37" t="s">
        <v>36</v>
      </c>
      <c r="D245" s="37" t="s">
        <v>37</v>
      </c>
      <c r="E245" s="38" t="n">
        <v>212.06079562968</v>
      </c>
      <c r="F245" s="38" t="n">
        <v>38.7079985411142</v>
      </c>
      <c r="G245" s="38" t="n">
        <v>16.5536852516265</v>
      </c>
      <c r="H245" s="38" t="n">
        <v>5.03141085364453</v>
      </c>
      <c r="I245" s="38" t="n">
        <v>251.635552254722</v>
      </c>
      <c r="J245" s="38" t="n">
        <v>48.3339691658853</v>
      </c>
      <c r="K245" s="38" t="n">
        <v>113.640795897626</v>
      </c>
      <c r="L245" s="38" t="n">
        <v>68.0111213998419</v>
      </c>
      <c r="M245" s="38" t="n">
        <v>63.4335014615759</v>
      </c>
      <c r="N245" s="38" t="n">
        <v>0</v>
      </c>
    </row>
    <row r="246" customFormat="false" ht="15" hidden="false" customHeight="false" outlineLevel="0" collapsed="false">
      <c r="A246" s="37" t="s">
        <v>556</v>
      </c>
      <c r="B246" s="37" t="s">
        <v>97</v>
      </c>
      <c r="C246" s="37" t="s">
        <v>41</v>
      </c>
      <c r="D246" s="37" t="s">
        <v>42</v>
      </c>
      <c r="E246" s="38" t="n">
        <v>208.137681627605</v>
      </c>
      <c r="F246" s="38" t="n">
        <v>59.9868755129178</v>
      </c>
      <c r="G246" s="38" t="n">
        <v>16.5343628107046</v>
      </c>
      <c r="H246" s="38" t="n">
        <v>4.92813059869946</v>
      </c>
      <c r="I246" s="38" t="n">
        <v>217.394247566715</v>
      </c>
      <c r="J246" s="38" t="n">
        <v>29.1402772795678</v>
      </c>
      <c r="K246" s="38" t="n">
        <v>98.7674502696025</v>
      </c>
      <c r="L246" s="38" t="n">
        <v>62.909673980653</v>
      </c>
      <c r="M246" s="38" t="n">
        <v>55.4426029184269</v>
      </c>
      <c r="N246" s="38" t="n">
        <v>0</v>
      </c>
    </row>
    <row r="247" customFormat="false" ht="15" hidden="false" customHeight="false" outlineLevel="0" collapsed="false">
      <c r="A247" s="37" t="s">
        <v>556</v>
      </c>
      <c r="B247" s="37" t="s">
        <v>97</v>
      </c>
      <c r="C247" s="37" t="s">
        <v>46</v>
      </c>
      <c r="D247" s="37" t="s">
        <v>47</v>
      </c>
      <c r="E247" s="38" t="n">
        <v>223.080268886846</v>
      </c>
      <c r="F247" s="38" t="n">
        <v>38.5629572282558</v>
      </c>
      <c r="G247" s="38" t="n">
        <v>16.5734239969704</v>
      </c>
      <c r="H247" s="38" t="n">
        <v>27.8902650721573</v>
      </c>
      <c r="I247" s="38" t="n">
        <v>250.366668547582</v>
      </c>
      <c r="J247" s="38" t="n">
        <v>57.1166685475819</v>
      </c>
      <c r="K247" s="38" t="n">
        <v>134.759898811086</v>
      </c>
      <c r="L247" s="38" t="n">
        <v>76.2223270941955</v>
      </c>
      <c r="M247" s="38" t="n">
        <v>69.0211485073053</v>
      </c>
      <c r="N247" s="38" t="n">
        <v>0</v>
      </c>
    </row>
    <row r="248" customFormat="false" ht="15" hidden="false" customHeight="false" outlineLevel="0" collapsed="false">
      <c r="A248" s="37" t="s">
        <v>556</v>
      </c>
      <c r="B248" s="37" t="s">
        <v>97</v>
      </c>
      <c r="C248" s="37" t="s">
        <v>51</v>
      </c>
      <c r="D248" s="37" t="s">
        <v>51</v>
      </c>
      <c r="E248" s="38" t="n">
        <v>224.222013182974</v>
      </c>
      <c r="F248" s="38" t="n">
        <v>47.9959611914925</v>
      </c>
      <c r="G248" s="38" t="n">
        <v>16.5734239969704</v>
      </c>
      <c r="H248" s="38" t="n">
        <v>17.8765692783715</v>
      </c>
      <c r="I248" s="38" t="n">
        <v>265.179304332966</v>
      </c>
      <c r="J248" s="38" t="n">
        <v>68.5056036980886</v>
      </c>
      <c r="K248" s="38" t="n">
        <v>142.596171321342</v>
      </c>
      <c r="L248" s="38" t="n">
        <v>76.0203479170507</v>
      </c>
      <c r="M248" s="38" t="n">
        <v>72.418317469585</v>
      </c>
      <c r="N248" s="38" t="n">
        <v>0</v>
      </c>
    </row>
    <row r="249" customFormat="false" ht="15" hidden="false" customHeight="false" outlineLevel="0" collapsed="false">
      <c r="A249" s="37" t="s">
        <v>556</v>
      </c>
      <c r="B249" s="37" t="s">
        <v>97</v>
      </c>
      <c r="C249" s="37" t="s">
        <v>55</v>
      </c>
      <c r="D249" s="37" t="s">
        <v>37</v>
      </c>
      <c r="E249" s="38" t="n">
        <v>203.588615399001</v>
      </c>
      <c r="F249" s="38" t="n">
        <v>38.4021638447056</v>
      </c>
      <c r="G249" s="38" t="n">
        <v>16.5516668110917</v>
      </c>
      <c r="H249" s="38" t="n">
        <v>4.78960818182069</v>
      </c>
      <c r="I249" s="38" t="n">
        <v>258.769192626101</v>
      </c>
      <c r="J249" s="38" t="n">
        <v>58.0872413329073</v>
      </c>
      <c r="K249" s="38" t="n">
        <v>107.326423316406</v>
      </c>
      <c r="L249" s="38" t="n">
        <v>61.7577876742013</v>
      </c>
      <c r="M249" s="38" t="n">
        <v>57.8445527469239</v>
      </c>
      <c r="N249" s="38" t="n">
        <v>0</v>
      </c>
    </row>
    <row r="250" customFormat="false" ht="15" hidden="false" customHeight="false" outlineLevel="0" collapsed="false">
      <c r="A250" s="37" t="s">
        <v>556</v>
      </c>
      <c r="B250" s="37" t="s">
        <v>97</v>
      </c>
      <c r="C250" s="37" t="s">
        <v>59</v>
      </c>
      <c r="D250" s="37" t="s">
        <v>42</v>
      </c>
      <c r="E250" s="38" t="n">
        <v>206.550554424337</v>
      </c>
      <c r="F250" s="38" t="n">
        <v>64.6907330835017</v>
      </c>
      <c r="G250" s="38" t="n">
        <v>16.533149207614</v>
      </c>
      <c r="H250" s="38" t="n">
        <v>4.71774603816191</v>
      </c>
      <c r="I250" s="38" t="n">
        <v>218.793013788042</v>
      </c>
      <c r="J250" s="38" t="n">
        <v>19.6319700659782</v>
      </c>
      <c r="K250" s="38" t="n">
        <v>94.7184713596773</v>
      </c>
      <c r="L250" s="38" t="n">
        <v>56.7542467510942</v>
      </c>
      <c r="M250" s="38" t="n">
        <v>50.2884863890862</v>
      </c>
      <c r="N250" s="38" t="n">
        <v>0</v>
      </c>
    </row>
    <row r="251" customFormat="false" ht="15" hidden="false" customHeight="false" outlineLevel="0" collapsed="false">
      <c r="A251" s="37" t="s">
        <v>556</v>
      </c>
      <c r="B251" s="37" t="s">
        <v>97</v>
      </c>
      <c r="C251" s="37" t="s">
        <v>63</v>
      </c>
      <c r="D251" s="37" t="s">
        <v>47</v>
      </c>
      <c r="E251" s="38" t="n">
        <v>209.012493353679</v>
      </c>
      <c r="F251" s="38" t="n">
        <v>38.8758949353092</v>
      </c>
      <c r="G251" s="38" t="n">
        <v>16.5563218597611</v>
      </c>
      <c r="H251" s="38" t="n">
        <v>27.3506241763368</v>
      </c>
      <c r="I251" s="38" t="n">
        <v>229.967407087895</v>
      </c>
      <c r="J251" s="38" t="n">
        <v>39.3923067201701</v>
      </c>
      <c r="K251" s="38" t="n">
        <v>111.097356452754</v>
      </c>
      <c r="L251" s="38" t="n">
        <v>60.8729733770021</v>
      </c>
      <c r="M251" s="38" t="n">
        <v>59.6058639923307</v>
      </c>
      <c r="N251" s="38" t="n">
        <v>0</v>
      </c>
    </row>
    <row r="252" customFormat="false" ht="15" hidden="false" customHeight="false" outlineLevel="0" collapsed="false">
      <c r="A252" s="37" t="s">
        <v>556</v>
      </c>
      <c r="B252" s="37" t="s">
        <v>97</v>
      </c>
      <c r="C252" s="37" t="s">
        <v>67</v>
      </c>
      <c r="D252" s="37" t="s">
        <v>68</v>
      </c>
      <c r="E252" s="38" t="n">
        <v>200.981103727796</v>
      </c>
      <c r="F252" s="38" t="n">
        <v>39.8283867089986</v>
      </c>
      <c r="G252" s="38" t="n">
        <v>18.5109880621653</v>
      </c>
      <c r="H252" s="38" t="n">
        <v>4.99119857494195</v>
      </c>
      <c r="I252" s="38" t="n">
        <v>220.581984870564</v>
      </c>
      <c r="J252" s="38" t="n">
        <v>29.0819848705644</v>
      </c>
      <c r="K252" s="38" t="n">
        <v>112.839302090145</v>
      </c>
      <c r="L252" s="38" t="n">
        <v>67.2793498322969</v>
      </c>
      <c r="M252" s="38" t="n">
        <v>60.3725742403334</v>
      </c>
      <c r="N252" s="38" t="n">
        <v>0</v>
      </c>
    </row>
    <row r="253" customFormat="false" ht="15" hidden="false" customHeight="false" outlineLevel="0" collapsed="false">
      <c r="A253" s="37" t="s">
        <v>556</v>
      </c>
      <c r="B253" s="37" t="s">
        <v>97</v>
      </c>
      <c r="C253" s="37" t="s">
        <v>72</v>
      </c>
      <c r="D253" s="37" t="s">
        <v>73</v>
      </c>
      <c r="E253" s="38" t="n">
        <v>195.735700678545</v>
      </c>
      <c r="F253" s="38" t="n">
        <v>41.6484060213755</v>
      </c>
      <c r="G253" s="38" t="n">
        <v>16.5734239969704</v>
      </c>
      <c r="H253" s="38" t="n">
        <v>8.59717676368948</v>
      </c>
      <c r="I253" s="38" t="n">
        <v>223.144285753029</v>
      </c>
      <c r="J253" s="38" t="n">
        <v>186.772301626045</v>
      </c>
      <c r="K253" s="38" t="n">
        <v>101.186255684619</v>
      </c>
      <c r="L253" s="38" t="n">
        <v>64.2988263772282</v>
      </c>
      <c r="M253" s="38" t="n">
        <v>55.0118352159762</v>
      </c>
      <c r="N253" s="38" t="n">
        <v>0</v>
      </c>
    </row>
    <row r="254" customFormat="false" ht="15" hidden="false" customHeight="false" outlineLevel="0" collapsed="false">
      <c r="A254" s="37" t="s">
        <v>556</v>
      </c>
      <c r="B254" s="37" t="s">
        <v>97</v>
      </c>
      <c r="C254" s="37" t="s">
        <v>77</v>
      </c>
      <c r="D254" s="37" t="s">
        <v>78</v>
      </c>
      <c r="E254" s="38" t="n">
        <v>232.049204557239</v>
      </c>
      <c r="F254" s="38" t="n">
        <v>55.8453377493963</v>
      </c>
      <c r="G254" s="38" t="n">
        <v>17.1360228904703</v>
      </c>
      <c r="H254" s="38" t="n">
        <v>17.2192204389607</v>
      </c>
      <c r="I254" s="38" t="n">
        <v>260.066926008376</v>
      </c>
      <c r="J254" s="38" t="n">
        <v>78.6910685113283</v>
      </c>
      <c r="K254" s="38" t="n">
        <v>148.833396881849</v>
      </c>
      <c r="L254" s="38" t="n">
        <v>80.2225793856714</v>
      </c>
      <c r="M254" s="38" t="n">
        <v>76.7035368067589</v>
      </c>
      <c r="N254" s="38" t="n">
        <v>0</v>
      </c>
    </row>
    <row r="255" customFormat="false" ht="15" hidden="false" customHeight="false" outlineLevel="0" collapsed="false">
      <c r="A255" s="37" t="s">
        <v>556</v>
      </c>
      <c r="B255" s="37" t="s">
        <v>100</v>
      </c>
      <c r="C255" s="37" t="s">
        <v>36</v>
      </c>
      <c r="D255" s="37" t="s">
        <v>37</v>
      </c>
      <c r="E255" s="38" t="n">
        <v>202.674354126554</v>
      </c>
      <c r="F255" s="38" t="n">
        <v>38.6908447970778</v>
      </c>
      <c r="G255" s="38" t="n">
        <v>16.5533892775684</v>
      </c>
      <c r="H255" s="38" t="n">
        <v>5.03141085364453</v>
      </c>
      <c r="I255" s="38" t="n">
        <v>231.302897735044</v>
      </c>
      <c r="J255" s="38" t="n">
        <v>27.8355660805613</v>
      </c>
      <c r="K255" s="38" t="n">
        <v>93.3723166671407</v>
      </c>
      <c r="L255" s="38" t="n">
        <v>65.473354464219</v>
      </c>
      <c r="M255" s="38" t="n">
        <v>56.3341203302387</v>
      </c>
      <c r="N255" s="38" t="n">
        <v>0</v>
      </c>
    </row>
    <row r="256" customFormat="false" ht="15" hidden="false" customHeight="false" outlineLevel="0" collapsed="false">
      <c r="A256" s="37" t="s">
        <v>556</v>
      </c>
      <c r="B256" s="37" t="s">
        <v>100</v>
      </c>
      <c r="C256" s="37" t="s">
        <v>41</v>
      </c>
      <c r="D256" s="37" t="s">
        <v>42</v>
      </c>
      <c r="E256" s="38" t="n">
        <v>200.575332675858</v>
      </c>
      <c r="F256" s="38" t="n">
        <v>59.9269432385406</v>
      </c>
      <c r="G256" s="38" t="n">
        <v>16.5343023000921</v>
      </c>
      <c r="H256" s="38" t="n">
        <v>4.91591555954659</v>
      </c>
      <c r="I256" s="38" t="n">
        <v>200.254248662872</v>
      </c>
      <c r="J256" s="38" t="n">
        <v>24.9353272601732</v>
      </c>
      <c r="K256" s="38" t="n">
        <v>87.3185454922182</v>
      </c>
      <c r="L256" s="38" t="n">
        <v>60.717891806247</v>
      </c>
      <c r="M256" s="38" t="n">
        <v>50.7772077790753</v>
      </c>
      <c r="N256" s="38" t="n">
        <v>0</v>
      </c>
    </row>
    <row r="257" customFormat="false" ht="15" hidden="false" customHeight="false" outlineLevel="0" collapsed="false">
      <c r="A257" s="37" t="s">
        <v>556</v>
      </c>
      <c r="B257" s="37" t="s">
        <v>100</v>
      </c>
      <c r="C257" s="37" t="s">
        <v>46</v>
      </c>
      <c r="D257" s="37" t="s">
        <v>47</v>
      </c>
      <c r="E257" s="38" t="n">
        <v>216.255621036228</v>
      </c>
      <c r="F257" s="38" t="n">
        <v>38.5477705711226</v>
      </c>
      <c r="G257" s="38" t="n">
        <v>16.5734239969704</v>
      </c>
      <c r="H257" s="38" t="n">
        <v>27.8902650721573</v>
      </c>
      <c r="I257" s="38" t="n">
        <v>235.520640769382</v>
      </c>
      <c r="J257" s="38" t="n">
        <v>42.2706407693819</v>
      </c>
      <c r="K257" s="38" t="n">
        <v>128.451477804939</v>
      </c>
      <c r="L257" s="38" t="n">
        <v>74.383206444992</v>
      </c>
      <c r="M257" s="38" t="n">
        <v>66.2645067005059</v>
      </c>
      <c r="N257" s="38" t="n">
        <v>0</v>
      </c>
    </row>
    <row r="258" customFormat="false" ht="15" hidden="false" customHeight="false" outlineLevel="0" collapsed="false">
      <c r="A258" s="37" t="s">
        <v>556</v>
      </c>
      <c r="B258" s="37" t="s">
        <v>100</v>
      </c>
      <c r="C258" s="37" t="s">
        <v>51</v>
      </c>
      <c r="D258" s="37" t="s">
        <v>51</v>
      </c>
      <c r="E258" s="38" t="n">
        <v>216.467651934501</v>
      </c>
      <c r="F258" s="38" t="n">
        <v>47.9556951663142</v>
      </c>
      <c r="G258" s="38" t="n">
        <v>16.5734239969704</v>
      </c>
      <c r="H258" s="38" t="n">
        <v>17.8765692783715</v>
      </c>
      <c r="I258" s="38" t="n">
        <v>247.456159807695</v>
      </c>
      <c r="J258" s="38" t="n">
        <v>50.782459172818</v>
      </c>
      <c r="K258" s="38" t="n">
        <v>135.26387666002</v>
      </c>
      <c r="L258" s="38" t="n">
        <v>73.9439614344976</v>
      </c>
      <c r="M258" s="38" t="n">
        <v>69.1457692445137</v>
      </c>
      <c r="N258" s="38" t="n">
        <v>0</v>
      </c>
    </row>
    <row r="259" customFormat="false" ht="15" hidden="false" customHeight="false" outlineLevel="0" collapsed="false">
      <c r="A259" s="37" t="s">
        <v>556</v>
      </c>
      <c r="B259" s="37" t="s">
        <v>100</v>
      </c>
      <c r="C259" s="37" t="s">
        <v>55</v>
      </c>
      <c r="D259" s="37" t="s">
        <v>37</v>
      </c>
      <c r="E259" s="38" t="n">
        <v>194.572497735224</v>
      </c>
      <c r="F259" s="38" t="n">
        <v>38.3843992387676</v>
      </c>
      <c r="G259" s="38" t="n">
        <v>16.5513491730688</v>
      </c>
      <c r="H259" s="38" t="n">
        <v>4.78960818182069</v>
      </c>
      <c r="I259" s="38" t="n">
        <v>237.703993851832</v>
      </c>
      <c r="J259" s="38" t="n">
        <v>36.8441543778375</v>
      </c>
      <c r="K259" s="38" t="n">
        <v>94.6112321182186</v>
      </c>
      <c r="L259" s="38" t="n">
        <v>59.2353391167579</v>
      </c>
      <c r="M259" s="38" t="n">
        <v>52.8614272435776</v>
      </c>
      <c r="N259" s="38" t="n">
        <v>0</v>
      </c>
    </row>
    <row r="260" customFormat="false" ht="15" hidden="false" customHeight="false" outlineLevel="0" collapsed="false">
      <c r="A260" s="37" t="s">
        <v>556</v>
      </c>
      <c r="B260" s="37" t="s">
        <v>100</v>
      </c>
      <c r="C260" s="37" t="s">
        <v>59</v>
      </c>
      <c r="D260" s="37" t="s">
        <v>42</v>
      </c>
      <c r="E260" s="38" t="n">
        <v>199.365155880831</v>
      </c>
      <c r="F260" s="38" t="n">
        <v>64.6165846668421</v>
      </c>
      <c r="G260" s="38" t="n">
        <v>16.5331463381864</v>
      </c>
      <c r="H260" s="38" t="n">
        <v>4.71774603816191</v>
      </c>
      <c r="I260" s="38" t="n">
        <v>200.87417868385</v>
      </c>
      <c r="J260" s="38" t="n">
        <v>1.71304962082227</v>
      </c>
      <c r="K260" s="38" t="n">
        <v>83.603804155583</v>
      </c>
      <c r="L260" s="38" t="n">
        <v>54.6908633290258</v>
      </c>
      <c r="M260" s="38" t="n">
        <v>46.2033172920197</v>
      </c>
      <c r="N260" s="38" t="n">
        <v>0</v>
      </c>
    </row>
    <row r="261" customFormat="false" ht="15" hidden="false" customHeight="false" outlineLevel="0" collapsed="false">
      <c r="A261" s="37" t="s">
        <v>556</v>
      </c>
      <c r="B261" s="37" t="s">
        <v>100</v>
      </c>
      <c r="C261" s="37" t="s">
        <v>63</v>
      </c>
      <c r="D261" s="37" t="s">
        <v>47</v>
      </c>
      <c r="E261" s="38" t="n">
        <v>202.4065805455</v>
      </c>
      <c r="F261" s="38" t="n">
        <v>38.8581159595766</v>
      </c>
      <c r="G261" s="38" t="n">
        <v>16.5561127427671</v>
      </c>
      <c r="H261" s="38" t="n">
        <v>27.3506241763368</v>
      </c>
      <c r="I261" s="38" t="n">
        <v>214.900602413641</v>
      </c>
      <c r="J261" s="38" t="n">
        <v>24.2084009234696</v>
      </c>
      <c r="K261" s="38" t="n">
        <v>91.8527804371699</v>
      </c>
      <c r="L261" s="38" t="n">
        <v>59.0342748636416</v>
      </c>
      <c r="M261" s="38" t="n">
        <v>53.0642939705315</v>
      </c>
      <c r="N261" s="38" t="n">
        <v>0</v>
      </c>
    </row>
    <row r="262" customFormat="false" ht="15" hidden="false" customHeight="false" outlineLevel="0" collapsed="false">
      <c r="A262" s="37" t="s">
        <v>556</v>
      </c>
      <c r="B262" s="37" t="s">
        <v>100</v>
      </c>
      <c r="C262" s="37" t="s">
        <v>67</v>
      </c>
      <c r="D262" s="37" t="s">
        <v>68</v>
      </c>
      <c r="E262" s="38" t="n">
        <v>193.072177334381</v>
      </c>
      <c r="F262" s="38" t="n">
        <v>39.8108651838851</v>
      </c>
      <c r="G262" s="38" t="n">
        <v>18.5028199040599</v>
      </c>
      <c r="H262" s="38" t="n">
        <v>4.98909893588528</v>
      </c>
      <c r="I262" s="38" t="n">
        <v>201.655811547203</v>
      </c>
      <c r="J262" s="38" t="n">
        <v>24.978854634035</v>
      </c>
      <c r="K262" s="38" t="n">
        <v>100.101739076785</v>
      </c>
      <c r="L262" s="38" t="n">
        <v>62.8066822111403</v>
      </c>
      <c r="M262" s="38" t="n">
        <v>55.1981465934644</v>
      </c>
      <c r="N262" s="38" t="n">
        <v>0</v>
      </c>
    </row>
    <row r="263" customFormat="false" ht="15" hidden="false" customHeight="false" outlineLevel="0" collapsed="false">
      <c r="A263" s="37" t="s">
        <v>556</v>
      </c>
      <c r="B263" s="37" t="s">
        <v>100</v>
      </c>
      <c r="C263" s="37" t="s">
        <v>72</v>
      </c>
      <c r="D263" s="37" t="s">
        <v>73</v>
      </c>
      <c r="E263" s="38" t="n">
        <v>188.200170625301</v>
      </c>
      <c r="F263" s="38" t="n">
        <v>41.6237505673396</v>
      </c>
      <c r="G263" s="38" t="n">
        <v>16.5734239969704</v>
      </c>
      <c r="H263" s="38" t="n">
        <v>8.59717676368948</v>
      </c>
      <c r="I263" s="38" t="n">
        <v>204.560242955537</v>
      </c>
      <c r="J263" s="38" t="n">
        <v>168.188258828553</v>
      </c>
      <c r="K263" s="38" t="n">
        <v>92.4324527428003</v>
      </c>
      <c r="L263" s="38" t="n">
        <v>62.7213889339268</v>
      </c>
      <c r="M263" s="38" t="n">
        <v>51.2863204132944</v>
      </c>
      <c r="N263" s="38" t="n">
        <v>0</v>
      </c>
    </row>
    <row r="264" customFormat="false" ht="15" hidden="false" customHeight="false" outlineLevel="0" collapsed="false">
      <c r="A264" s="37" t="s">
        <v>556</v>
      </c>
      <c r="B264" s="37" t="s">
        <v>100</v>
      </c>
      <c r="C264" s="37" t="s">
        <v>77</v>
      </c>
      <c r="D264" s="37" t="s">
        <v>78</v>
      </c>
      <c r="E264" s="38" t="n">
        <v>224.420907641097</v>
      </c>
      <c r="F264" s="38" t="n">
        <v>55.8082153586366</v>
      </c>
      <c r="G264" s="38" t="n">
        <v>17.1360214638263</v>
      </c>
      <c r="H264" s="38" t="n">
        <v>17.2192204389607</v>
      </c>
      <c r="I264" s="38" t="n">
        <v>242.939921947187</v>
      </c>
      <c r="J264" s="38" t="n">
        <v>61.5635237667614</v>
      </c>
      <c r="K264" s="38" t="n">
        <v>141.870017122639</v>
      </c>
      <c r="L264" s="38" t="n">
        <v>78.0734097611947</v>
      </c>
      <c r="M264" s="38" t="n">
        <v>73.6774774284015</v>
      </c>
      <c r="N264" s="38" t="n">
        <v>0</v>
      </c>
    </row>
    <row r="265" customFormat="false" ht="15" hidden="false" customHeight="false" outlineLevel="0" collapsed="false">
      <c r="A265" s="37" t="s">
        <v>556</v>
      </c>
      <c r="B265" s="37" t="s">
        <v>106</v>
      </c>
      <c r="C265" s="37" t="s">
        <v>36</v>
      </c>
      <c r="D265" s="37" t="s">
        <v>37</v>
      </c>
      <c r="E265" s="38" t="n">
        <v>213.012870863462</v>
      </c>
      <c r="F265" s="38" t="n">
        <v>39.65478903414</v>
      </c>
      <c r="G265" s="38" t="n">
        <v>16.5537001044038</v>
      </c>
      <c r="H265" s="38" t="n">
        <v>5.03141085364453</v>
      </c>
      <c r="I265" s="38" t="n">
        <v>253.088265839763</v>
      </c>
      <c r="J265" s="38" t="n">
        <v>49.7950004343486</v>
      </c>
      <c r="K265" s="38" t="n">
        <v>115.008176064796</v>
      </c>
      <c r="L265" s="38" t="n">
        <v>69.6661285343986</v>
      </c>
      <c r="M265" s="38" t="n">
        <v>64.0073276649987</v>
      </c>
      <c r="N265" s="38" t="n">
        <v>0</v>
      </c>
    </row>
    <row r="266" customFormat="false" ht="15" hidden="false" customHeight="false" outlineLevel="0" collapsed="false">
      <c r="A266" s="37" t="s">
        <v>556</v>
      </c>
      <c r="B266" s="37" t="s">
        <v>106</v>
      </c>
      <c r="C266" s="37" t="s">
        <v>41</v>
      </c>
      <c r="D266" s="37" t="s">
        <v>42</v>
      </c>
      <c r="E266" s="38" t="n">
        <v>216.972996180328</v>
      </c>
      <c r="F266" s="38" t="n">
        <v>68.5726520716517</v>
      </c>
      <c r="G266" s="38" t="n">
        <v>16.5496702057</v>
      </c>
      <c r="H266" s="38" t="n">
        <v>4.97031050886647</v>
      </c>
      <c r="I266" s="38" t="n">
        <v>228.774066523265</v>
      </c>
      <c r="J266" s="38" t="n">
        <v>70.5537163069531</v>
      </c>
      <c r="K266" s="38" t="n">
        <v>115.87278034258</v>
      </c>
      <c r="L266" s="38" t="n">
        <v>69.4891993871402</v>
      </c>
      <c r="M266" s="38" t="n">
        <v>61.9195589112917</v>
      </c>
      <c r="N266" s="38" t="n">
        <v>0</v>
      </c>
    </row>
    <row r="267" customFormat="false" ht="15" hidden="false" customHeight="false" outlineLevel="0" collapsed="false">
      <c r="A267" s="37" t="s">
        <v>556</v>
      </c>
      <c r="B267" s="37" t="s">
        <v>106</v>
      </c>
      <c r="C267" s="37" t="s">
        <v>46</v>
      </c>
      <c r="D267" s="37" t="s">
        <v>47</v>
      </c>
      <c r="E267" s="38" t="n">
        <v>224.22205223061</v>
      </c>
      <c r="F267" s="38" t="n">
        <v>39.7047405720199</v>
      </c>
      <c r="G267" s="38" t="n">
        <v>16.5734239969704</v>
      </c>
      <c r="H267" s="38" t="n">
        <v>27.8902650721573</v>
      </c>
      <c r="I267" s="38" t="n">
        <v>252.056531915338</v>
      </c>
      <c r="J267" s="38" t="n">
        <v>58.8065319153382</v>
      </c>
      <c r="K267" s="38" t="n">
        <v>136.394386450595</v>
      </c>
      <c r="L267" s="38" t="n">
        <v>76.6411223141154</v>
      </c>
      <c r="M267" s="38" t="n">
        <v>69.7417331206091</v>
      </c>
      <c r="N267" s="38" t="n">
        <v>0</v>
      </c>
    </row>
    <row r="268" customFormat="false" ht="15" hidden="false" customHeight="false" outlineLevel="0" collapsed="false">
      <c r="A268" s="37" t="s">
        <v>556</v>
      </c>
      <c r="B268" s="37" t="s">
        <v>106</v>
      </c>
      <c r="C268" s="37" t="s">
        <v>51</v>
      </c>
      <c r="D268" s="37" t="s">
        <v>51</v>
      </c>
      <c r="E268" s="38" t="n">
        <v>226.944437250728</v>
      </c>
      <c r="F268" s="38" t="n">
        <v>50.7183852592465</v>
      </c>
      <c r="G268" s="38" t="n">
        <v>16.5734239969704</v>
      </c>
      <c r="H268" s="38" t="n">
        <v>17.8765692783715</v>
      </c>
      <c r="I268" s="38" t="n">
        <v>268.613550806332</v>
      </c>
      <c r="J268" s="38" t="n">
        <v>71.9398501714543</v>
      </c>
      <c r="K268" s="38" t="n">
        <v>145.88244184868</v>
      </c>
      <c r="L268" s="38" t="n">
        <v>77.0031065442408</v>
      </c>
      <c r="M268" s="38" t="n">
        <v>73.4668638903414</v>
      </c>
      <c r="N268" s="38" t="n">
        <v>0</v>
      </c>
    </row>
    <row r="269" customFormat="false" ht="15" hidden="false" customHeight="false" outlineLevel="0" collapsed="false">
      <c r="A269" s="37" t="s">
        <v>556</v>
      </c>
      <c r="B269" s="37" t="s">
        <v>106</v>
      </c>
      <c r="C269" s="37" t="s">
        <v>55</v>
      </c>
      <c r="D269" s="37" t="s">
        <v>37</v>
      </c>
      <c r="E269" s="38" t="n">
        <v>204.50202824802</v>
      </c>
      <c r="F269" s="38" t="n">
        <v>39.3110132195095</v>
      </c>
      <c r="G269" s="38" t="n">
        <v>16.5516814605059</v>
      </c>
      <c r="H269" s="38" t="n">
        <v>4.78960818182069</v>
      </c>
      <c r="I269" s="38" t="n">
        <v>260.209344970225</v>
      </c>
      <c r="J269" s="38" t="n">
        <v>59.5355978225968</v>
      </c>
      <c r="K269" s="38" t="n">
        <v>108.677965491123</v>
      </c>
      <c r="L269" s="38" t="n">
        <v>62.0886778318245</v>
      </c>
      <c r="M269" s="38" t="n">
        <v>58.4275696775437</v>
      </c>
      <c r="N269" s="38" t="n">
        <v>0</v>
      </c>
    </row>
    <row r="270" customFormat="false" ht="15" hidden="false" customHeight="false" outlineLevel="0" collapsed="false">
      <c r="A270" s="37" t="s">
        <v>556</v>
      </c>
      <c r="B270" s="37" t="s">
        <v>106</v>
      </c>
      <c r="C270" s="37" t="s">
        <v>59</v>
      </c>
      <c r="D270" s="37" t="s">
        <v>42</v>
      </c>
      <c r="E270" s="38" t="n">
        <v>211.12013562798</v>
      </c>
      <c r="F270" s="38" t="n">
        <v>69.2484602679333</v>
      </c>
      <c r="G270" s="38" t="n">
        <v>16.533341721966</v>
      </c>
      <c r="H270" s="38" t="n">
        <v>4.71894151401479</v>
      </c>
      <c r="I270" s="38" t="n">
        <v>224.385039774869</v>
      </c>
      <c r="J270" s="38" t="n">
        <v>70.2297488115083</v>
      </c>
      <c r="K270" s="38" t="n">
        <v>109.332984828638</v>
      </c>
      <c r="L270" s="38" t="n">
        <v>61.3120552314634</v>
      </c>
      <c r="M270" s="38" t="n">
        <v>55.5364905709866</v>
      </c>
      <c r="N270" s="38" t="n">
        <v>0</v>
      </c>
    </row>
    <row r="271" customFormat="false" ht="15" hidden="false" customHeight="false" outlineLevel="0" collapsed="false">
      <c r="A271" s="37" t="s">
        <v>556</v>
      </c>
      <c r="B271" s="37" t="s">
        <v>106</v>
      </c>
      <c r="C271" s="37" t="s">
        <v>63</v>
      </c>
      <c r="D271" s="37" t="s">
        <v>47</v>
      </c>
      <c r="E271" s="38" t="n">
        <v>210.31740380406</v>
      </c>
      <c r="F271" s="38" t="n">
        <v>39.9663549748141</v>
      </c>
      <c r="G271" s="38" t="n">
        <v>16.5563372938411</v>
      </c>
      <c r="H271" s="38" t="n">
        <v>27.3497315928718</v>
      </c>
      <c r="I271" s="38" t="n">
        <v>231.812615262469</v>
      </c>
      <c r="J271" s="38" t="n">
        <v>33.7461576348927</v>
      </c>
      <c r="K271" s="38" t="n">
        <v>108.858294753264</v>
      </c>
      <c r="L271" s="38" t="n">
        <v>64.293511195237</v>
      </c>
      <c r="M271" s="38" t="n">
        <v>59.5215965504714</v>
      </c>
      <c r="N271" s="38" t="n">
        <v>0</v>
      </c>
    </row>
    <row r="272" customFormat="false" ht="15" hidden="false" customHeight="false" outlineLevel="0" collapsed="false">
      <c r="A272" s="37" t="s">
        <v>556</v>
      </c>
      <c r="B272" s="37" t="s">
        <v>106</v>
      </c>
      <c r="C272" s="37" t="s">
        <v>67</v>
      </c>
      <c r="D272" s="37" t="s">
        <v>68</v>
      </c>
      <c r="E272" s="38" t="n">
        <v>202.007621844576</v>
      </c>
      <c r="F272" s="38" t="n">
        <v>40.8537408263307</v>
      </c>
      <c r="G272" s="38" t="n">
        <v>18.5117199034995</v>
      </c>
      <c r="H272" s="38" t="n">
        <v>4.99119857494195</v>
      </c>
      <c r="I272" s="38" t="n">
        <v>222.234993777345</v>
      </c>
      <c r="J272" s="38" t="n">
        <v>30.7349937773448</v>
      </c>
      <c r="K272" s="38" t="n">
        <v>115.874698928038</v>
      </c>
      <c r="L272" s="38" t="n">
        <v>67.6733265586942</v>
      </c>
      <c r="M272" s="38" t="n">
        <v>61.4646644576428</v>
      </c>
      <c r="N272" s="38" t="n">
        <v>0</v>
      </c>
    </row>
    <row r="273" customFormat="false" ht="15" hidden="false" customHeight="false" outlineLevel="0" collapsed="false">
      <c r="A273" s="37" t="s">
        <v>556</v>
      </c>
      <c r="B273" s="37" t="s">
        <v>106</v>
      </c>
      <c r="C273" s="37" t="s">
        <v>72</v>
      </c>
      <c r="D273" s="37" t="s">
        <v>73</v>
      </c>
      <c r="E273" s="38" t="n">
        <v>197.251629155021</v>
      </c>
      <c r="F273" s="38" t="n">
        <v>43.1643344978517</v>
      </c>
      <c r="G273" s="38" t="n">
        <v>16.5734239969704</v>
      </c>
      <c r="H273" s="38" t="n">
        <v>8.59717676368948</v>
      </c>
      <c r="I273" s="38" t="n">
        <v>225.390423560005</v>
      </c>
      <c r="J273" s="38" t="n">
        <v>189.018439433021</v>
      </c>
      <c r="K273" s="38" t="n">
        <v>103.732587664441</v>
      </c>
      <c r="L273" s="38" t="n">
        <v>64.8093463597727</v>
      </c>
      <c r="M273" s="38" t="n">
        <v>56.0895346707414</v>
      </c>
      <c r="N273" s="38" t="n">
        <v>0</v>
      </c>
    </row>
    <row r="274" customFormat="false" ht="15" hidden="false" customHeight="false" outlineLevel="0" collapsed="false">
      <c r="A274" s="37" t="s">
        <v>556</v>
      </c>
      <c r="B274" s="37" t="s">
        <v>106</v>
      </c>
      <c r="C274" s="37" t="s">
        <v>77</v>
      </c>
      <c r="D274" s="37" t="s">
        <v>78</v>
      </c>
      <c r="E274" s="38" t="n">
        <v>234.674250788492</v>
      </c>
      <c r="F274" s="38" t="n">
        <v>58.4673967315692</v>
      </c>
      <c r="G274" s="38" t="n">
        <v>17.1361210044011</v>
      </c>
      <c r="H274" s="38" t="n">
        <v>17.2192204389607</v>
      </c>
      <c r="I274" s="38" t="n">
        <v>263.240348056849</v>
      </c>
      <c r="J274" s="38" t="n">
        <v>81.9017010876791</v>
      </c>
      <c r="K274" s="38" t="n">
        <v>151.52993789733</v>
      </c>
      <c r="L274" s="38" t="n">
        <v>81.1858122152158</v>
      </c>
      <c r="M274" s="38" t="n">
        <v>77.6121416279121</v>
      </c>
      <c r="N274" s="38" t="n">
        <v>0</v>
      </c>
    </row>
    <row r="275" customFormat="false" ht="15" hidden="false" customHeight="false" outlineLevel="0" collapsed="false">
      <c r="A275" s="37" t="s">
        <v>556</v>
      </c>
      <c r="B275" s="37" t="s">
        <v>112</v>
      </c>
      <c r="C275" s="37" t="s">
        <v>36</v>
      </c>
      <c r="D275" s="37" t="s">
        <v>37</v>
      </c>
      <c r="E275" s="38" t="n">
        <v>212.995045311864</v>
      </c>
      <c r="F275" s="38" t="n">
        <v>38.7081017775865</v>
      </c>
      <c r="G275" s="38" t="n">
        <v>16.553706130764</v>
      </c>
      <c r="H275" s="38" t="n">
        <v>5.95812839283022</v>
      </c>
      <c r="I275" s="38" t="n">
        <v>254.900709373295</v>
      </c>
      <c r="J275" s="38" t="n">
        <v>51.6108187807963</v>
      </c>
      <c r="K275" s="38" t="n">
        <v>114.560921366385</v>
      </c>
      <c r="L275" s="38" t="n">
        <v>69.6610111555327</v>
      </c>
      <c r="M275" s="38" t="n">
        <v>63.9115625510316</v>
      </c>
      <c r="N275" s="38" t="n">
        <v>0</v>
      </c>
    </row>
    <row r="276" customFormat="false" ht="15" hidden="false" customHeight="false" outlineLevel="0" collapsed="false">
      <c r="A276" s="37" t="s">
        <v>556</v>
      </c>
      <c r="B276" s="37" t="s">
        <v>112</v>
      </c>
      <c r="C276" s="37" t="s">
        <v>41</v>
      </c>
      <c r="D276" s="37" t="s">
        <v>42</v>
      </c>
      <c r="E276" s="38" t="n">
        <v>213.91678943159</v>
      </c>
      <c r="F276" s="38" t="n">
        <v>64.5994116158313</v>
      </c>
      <c r="G276" s="38" t="n">
        <v>16.5495676445853</v>
      </c>
      <c r="H276" s="38" t="n">
        <v>5.88750841761061</v>
      </c>
      <c r="I276" s="38" t="n">
        <v>227.392063366056</v>
      </c>
      <c r="J276" s="38" t="n">
        <v>68.9453404967811</v>
      </c>
      <c r="K276" s="38" t="n">
        <v>112.927150848302</v>
      </c>
      <c r="L276" s="38" t="n">
        <v>68.3762040911734</v>
      </c>
      <c r="M276" s="38" t="n">
        <v>61.0467564499278</v>
      </c>
      <c r="N276" s="38" t="n">
        <v>0</v>
      </c>
    </row>
    <row r="277" customFormat="false" ht="15" hidden="false" customHeight="false" outlineLevel="0" collapsed="false">
      <c r="A277" s="37" t="s">
        <v>556</v>
      </c>
      <c r="B277" s="37" t="s">
        <v>112</v>
      </c>
      <c r="C277" s="37" t="s">
        <v>46</v>
      </c>
      <c r="D277" s="37" t="s">
        <v>47</v>
      </c>
      <c r="E277" s="38" t="n">
        <v>235.968981227468</v>
      </c>
      <c r="F277" s="38" t="n">
        <v>38.6353637674438</v>
      </c>
      <c r="G277" s="38" t="n">
        <v>16.5734239969704</v>
      </c>
      <c r="H277" s="38" t="n">
        <v>40.7065708735917</v>
      </c>
      <c r="I277" s="38" t="n">
        <v>286.080582917208</v>
      </c>
      <c r="J277" s="38" t="n">
        <v>92.8305829172076</v>
      </c>
      <c r="K277" s="38" t="n">
        <v>146.99641744875</v>
      </c>
      <c r="L277" s="38" t="n">
        <v>81.0025499632014</v>
      </c>
      <c r="M277" s="38" t="n">
        <v>73.2626462683401</v>
      </c>
      <c r="N277" s="38" t="n">
        <v>0</v>
      </c>
    </row>
    <row r="278" customFormat="false" ht="15" hidden="false" customHeight="false" outlineLevel="0" collapsed="false">
      <c r="A278" s="37" t="s">
        <v>556</v>
      </c>
      <c r="B278" s="37" t="s">
        <v>112</v>
      </c>
      <c r="C278" s="37" t="s">
        <v>51</v>
      </c>
      <c r="D278" s="37" t="s">
        <v>51</v>
      </c>
      <c r="E278" s="38" t="n">
        <v>232.90966458057</v>
      </c>
      <c r="F278" s="38" t="n">
        <v>48.0809511691174</v>
      </c>
      <c r="G278" s="38" t="n">
        <v>16.5734239969704</v>
      </c>
      <c r="H278" s="38" t="n">
        <v>26.4792306983426</v>
      </c>
      <c r="I278" s="38" t="n">
        <v>286.584993130232</v>
      </c>
      <c r="J278" s="38" t="n">
        <v>89.9112924953553</v>
      </c>
      <c r="K278" s="38" t="n">
        <v>151.385599443927</v>
      </c>
      <c r="L278" s="38" t="n">
        <v>79.1574204634565</v>
      </c>
      <c r="M278" s="38" t="n">
        <v>75.8096012721697</v>
      </c>
      <c r="N278" s="38" t="n">
        <v>0</v>
      </c>
    </row>
    <row r="279" customFormat="false" ht="15" hidden="false" customHeight="false" outlineLevel="0" collapsed="false">
      <c r="A279" s="37" t="s">
        <v>556</v>
      </c>
      <c r="B279" s="37" t="s">
        <v>112</v>
      </c>
      <c r="C279" s="37" t="s">
        <v>55</v>
      </c>
      <c r="D279" s="37" t="s">
        <v>37</v>
      </c>
      <c r="E279" s="38" t="n">
        <v>204.447417302242</v>
      </c>
      <c r="F279" s="38" t="n">
        <v>38.4022590242099</v>
      </c>
      <c r="G279" s="38" t="n">
        <v>16.5516867843386</v>
      </c>
      <c r="H279" s="38" t="n">
        <v>5.64209299144803</v>
      </c>
      <c r="I279" s="38" t="n">
        <v>261.960257489906</v>
      </c>
      <c r="J279" s="38" t="n">
        <v>61.2894918600717</v>
      </c>
      <c r="K279" s="38" t="n">
        <v>108.192091891131</v>
      </c>
      <c r="L279" s="38" t="n">
        <v>62.0752383629017</v>
      </c>
      <c r="M279" s="38" t="n">
        <v>58.2964554085157</v>
      </c>
      <c r="N279" s="38" t="n">
        <v>0</v>
      </c>
    </row>
    <row r="280" customFormat="false" ht="15" hidden="false" customHeight="false" outlineLevel="0" collapsed="false">
      <c r="A280" s="37" t="s">
        <v>556</v>
      </c>
      <c r="B280" s="37" t="s">
        <v>112</v>
      </c>
      <c r="C280" s="37" t="s">
        <v>59</v>
      </c>
      <c r="D280" s="37" t="s">
        <v>42</v>
      </c>
      <c r="E280" s="38" t="n">
        <v>207.381145200277</v>
      </c>
      <c r="F280" s="38" t="n">
        <v>64.6907330835017</v>
      </c>
      <c r="G280" s="38" t="n">
        <v>16.533149207614</v>
      </c>
      <c r="H280" s="38" t="n">
        <v>5.54833681410179</v>
      </c>
      <c r="I280" s="38" t="n">
        <v>222.116081327169</v>
      </c>
      <c r="J280" s="38" t="n">
        <v>22.9550376051057</v>
      </c>
      <c r="K280" s="38" t="n">
        <v>96.5203340305668</v>
      </c>
      <c r="L280" s="38" t="n">
        <v>57.0448930789061</v>
      </c>
      <c r="M280" s="38" t="n">
        <v>51.0070308165002</v>
      </c>
      <c r="N280" s="38" t="n">
        <v>0</v>
      </c>
    </row>
    <row r="281" customFormat="false" ht="15" hidden="false" customHeight="false" outlineLevel="0" collapsed="false">
      <c r="A281" s="37" t="s">
        <v>556</v>
      </c>
      <c r="B281" s="37" t="s">
        <v>112</v>
      </c>
      <c r="C281" s="37" t="s">
        <v>63</v>
      </c>
      <c r="D281" s="37" t="s">
        <v>47</v>
      </c>
      <c r="E281" s="38" t="n">
        <v>222.235192140746</v>
      </c>
      <c r="F281" s="38" t="n">
        <v>38.9505213339148</v>
      </c>
      <c r="G281" s="38" t="n">
        <v>16.5565412367666</v>
      </c>
      <c r="H281" s="38" t="n">
        <v>40.2325651962857</v>
      </c>
      <c r="I281" s="38" t="n">
        <v>266.656279872439</v>
      </c>
      <c r="J281" s="38" t="n">
        <v>68.7040254662638</v>
      </c>
      <c r="K281" s="38" t="n">
        <v>125.880151955703</v>
      </c>
      <c r="L281" s="38" t="n">
        <v>69.8022202635314</v>
      </c>
      <c r="M281" s="38" t="n">
        <v>65.7687288687233</v>
      </c>
      <c r="N281" s="38" t="n">
        <v>0</v>
      </c>
    </row>
    <row r="282" customFormat="false" ht="15" hidden="false" customHeight="false" outlineLevel="0" collapsed="false">
      <c r="A282" s="37" t="s">
        <v>556</v>
      </c>
      <c r="B282" s="37" t="s">
        <v>112</v>
      </c>
      <c r="C282" s="37" t="s">
        <v>67</v>
      </c>
      <c r="D282" s="37" t="s">
        <v>68</v>
      </c>
      <c r="E282" s="38" t="n">
        <v>201.891707896953</v>
      </c>
      <c r="F282" s="38" t="n">
        <v>39.8284394265069</v>
      </c>
      <c r="G282" s="38" t="n">
        <v>18.5119857986405</v>
      </c>
      <c r="H282" s="38" t="n">
        <v>5.90016312269727</v>
      </c>
      <c r="I282" s="38" t="n">
        <v>224.123222110022</v>
      </c>
      <c r="J282" s="38" t="n">
        <v>32.6232221100223</v>
      </c>
      <c r="K282" s="38" t="n">
        <v>116.918508247185</v>
      </c>
      <c r="L282" s="38" t="n">
        <v>67.6440808932003</v>
      </c>
      <c r="M282" s="38" t="n">
        <v>61.7524813720682</v>
      </c>
      <c r="N282" s="38" t="n">
        <v>0</v>
      </c>
    </row>
    <row r="283" customFormat="false" ht="15" hidden="false" customHeight="false" outlineLevel="0" collapsed="false">
      <c r="A283" s="37" t="s">
        <v>556</v>
      </c>
      <c r="B283" s="37" t="s">
        <v>112</v>
      </c>
      <c r="C283" s="37" t="s">
        <v>72</v>
      </c>
      <c r="D283" s="37" t="s">
        <v>73</v>
      </c>
      <c r="E283" s="38" t="n">
        <v>198.955272110121</v>
      </c>
      <c r="F283" s="38" t="n">
        <v>41.658320171069</v>
      </c>
      <c r="G283" s="38" t="n">
        <v>16.5734239969704</v>
      </c>
      <c r="H283" s="38" t="n">
        <v>11.8068340455719</v>
      </c>
      <c r="I283" s="38" t="n">
        <v>231.366178622803</v>
      </c>
      <c r="J283" s="38" t="n">
        <v>194.994194495819</v>
      </c>
      <c r="K283" s="38" t="n">
        <v>105.855975972227</v>
      </c>
      <c r="L283" s="38" t="n">
        <v>65.2406266266865</v>
      </c>
      <c r="M283" s="38" t="n">
        <v>56.8812863685317</v>
      </c>
      <c r="N283" s="38" t="n">
        <v>0</v>
      </c>
    </row>
    <row r="284" customFormat="false" ht="15" hidden="false" customHeight="false" outlineLevel="0" collapsed="false">
      <c r="A284" s="37" t="s">
        <v>556</v>
      </c>
      <c r="B284" s="37" t="s">
        <v>112</v>
      </c>
      <c r="C284" s="37" t="s">
        <v>77</v>
      </c>
      <c r="D284" s="37" t="s">
        <v>78</v>
      </c>
      <c r="E284" s="38" t="n">
        <v>240.392605579435</v>
      </c>
      <c r="F284" s="38" t="n">
        <v>55.9150833594723</v>
      </c>
      <c r="G284" s="38" t="n">
        <v>17.1360246888221</v>
      </c>
      <c r="H284" s="38" t="n">
        <v>25.4928210658444</v>
      </c>
      <c r="I284" s="38" t="n">
        <v>279.12905233662</v>
      </c>
      <c r="J284" s="38" t="n">
        <v>97.7538764120825</v>
      </c>
      <c r="K284" s="38" t="n">
        <v>157.256690593037</v>
      </c>
      <c r="L284" s="38" t="n">
        <v>82.4795239709454</v>
      </c>
      <c r="M284" s="38" t="n">
        <v>79.7496629909959</v>
      </c>
      <c r="N284" s="38" t="n">
        <v>0</v>
      </c>
    </row>
    <row r="285" customFormat="false" ht="15" hidden="false" customHeight="false" outlineLevel="0" collapsed="false">
      <c r="A285" s="37" t="s">
        <v>556</v>
      </c>
      <c r="B285" s="37" t="s">
        <v>118</v>
      </c>
      <c r="C285" s="37" t="s">
        <v>36</v>
      </c>
      <c r="D285" s="37" t="s">
        <v>37</v>
      </c>
      <c r="E285" s="38" t="n">
        <v>228.371106218012</v>
      </c>
      <c r="F285" s="38" t="n">
        <v>38.7487721291758</v>
      </c>
      <c r="G285" s="38" t="n">
        <v>16.5536845260846</v>
      </c>
      <c r="H285" s="38" t="n">
        <v>4.11673053715598</v>
      </c>
      <c r="I285" s="38" t="n">
        <v>289.113001216576</v>
      </c>
      <c r="J285" s="38" t="n">
        <v>85.8110118179589</v>
      </c>
      <c r="K285" s="38" t="n">
        <v>129.741761678541</v>
      </c>
      <c r="L285" s="38" t="n">
        <v>73.8334197820688</v>
      </c>
      <c r="M285" s="38" t="n">
        <v>70.2307316965791</v>
      </c>
      <c r="N285" s="38" t="n">
        <v>0</v>
      </c>
    </row>
    <row r="286" customFormat="false" ht="15" hidden="false" customHeight="false" outlineLevel="0" collapsed="false">
      <c r="A286" s="37" t="s">
        <v>556</v>
      </c>
      <c r="B286" s="37" t="s">
        <v>118</v>
      </c>
      <c r="C286" s="37" t="s">
        <v>41</v>
      </c>
      <c r="D286" s="37" t="s">
        <v>42</v>
      </c>
      <c r="E286" s="38" t="n">
        <v>227.2852573183</v>
      </c>
      <c r="F286" s="38" t="n">
        <v>66.0911453051936</v>
      </c>
      <c r="G286" s="38" t="n">
        <v>16.5528141770557</v>
      </c>
      <c r="H286" s="38" t="n">
        <v>4.11788788870846</v>
      </c>
      <c r="I286" s="38" t="n">
        <v>239.834610657955</v>
      </c>
      <c r="J286" s="38" t="n">
        <v>78.8329983837011</v>
      </c>
      <c r="K286" s="38" t="n">
        <v>122.962562968782</v>
      </c>
      <c r="L286" s="38" t="n">
        <v>72.6351702173029</v>
      </c>
      <c r="M286" s="38" t="n">
        <v>66.7814602468319</v>
      </c>
      <c r="N286" s="38" t="n">
        <v>0</v>
      </c>
    </row>
    <row r="287" customFormat="false" ht="15" hidden="false" customHeight="false" outlineLevel="0" collapsed="false">
      <c r="A287" s="37" t="s">
        <v>556</v>
      </c>
      <c r="B287" s="37" t="s">
        <v>118</v>
      </c>
      <c r="C287" s="37" t="s">
        <v>46</v>
      </c>
      <c r="D287" s="37" t="s">
        <v>47</v>
      </c>
      <c r="E287" s="38" t="n">
        <v>222.662186786356</v>
      </c>
      <c r="F287" s="38" t="n">
        <v>38.39021780004</v>
      </c>
      <c r="G287" s="38" t="n">
        <v>16.5734239969704</v>
      </c>
      <c r="H287" s="38" t="n">
        <v>16.9006082148153</v>
      </c>
      <c r="I287" s="38" t="n">
        <v>248.564069906198</v>
      </c>
      <c r="J287" s="38" t="n">
        <v>55.3140699061979</v>
      </c>
      <c r="K287" s="38" t="n">
        <v>132.905997023625</v>
      </c>
      <c r="L287" s="38" t="n">
        <v>75.1782770275162</v>
      </c>
      <c r="M287" s="38" t="n">
        <v>69.6465978231017</v>
      </c>
      <c r="N287" s="38" t="n">
        <v>0</v>
      </c>
    </row>
    <row r="288" customFormat="false" ht="15" hidden="false" customHeight="false" outlineLevel="0" collapsed="false">
      <c r="A288" s="37" t="s">
        <v>556</v>
      </c>
      <c r="B288" s="37" t="s">
        <v>118</v>
      </c>
      <c r="C288" s="37" t="s">
        <v>51</v>
      </c>
      <c r="D288" s="37" t="s">
        <v>51</v>
      </c>
      <c r="E288" s="38" t="n">
        <v>230.609408792551</v>
      </c>
      <c r="F288" s="38" t="n">
        <v>47.8646319282437</v>
      </c>
      <c r="G288" s="38" t="n">
        <v>16.5734239969704</v>
      </c>
      <c r="H288" s="38" t="n">
        <v>11.3070619880399</v>
      </c>
      <c r="I288" s="38" t="n">
        <v>282.210443190226</v>
      </c>
      <c r="J288" s="38" t="n">
        <v>85.5367425553491</v>
      </c>
      <c r="K288" s="38" t="n">
        <v>146.806818115781</v>
      </c>
      <c r="L288" s="38" t="n">
        <v>77.3019563226614</v>
      </c>
      <c r="M288" s="38" t="n">
        <v>74.7413198700128</v>
      </c>
      <c r="N288" s="38" t="n">
        <v>0</v>
      </c>
    </row>
    <row r="289" customFormat="false" ht="15" hidden="false" customHeight="false" outlineLevel="0" collapsed="false">
      <c r="A289" s="37" t="s">
        <v>556</v>
      </c>
      <c r="B289" s="37" t="s">
        <v>118</v>
      </c>
      <c r="C289" s="37" t="s">
        <v>55</v>
      </c>
      <c r="D289" s="37" t="s">
        <v>37</v>
      </c>
      <c r="E289" s="38" t="n">
        <v>219.292659582828</v>
      </c>
      <c r="F289" s="38" t="n">
        <v>38.4464517359207</v>
      </c>
      <c r="G289" s="38" t="n">
        <v>16.5521141142207</v>
      </c>
      <c r="H289" s="38" t="n">
        <v>3.94328429515778</v>
      </c>
      <c r="I289" s="38" t="n">
        <v>296.48657903087</v>
      </c>
      <c r="J289" s="38" t="n">
        <v>96.0551308136915</v>
      </c>
      <c r="K289" s="38" t="n">
        <v>123.401654458419</v>
      </c>
      <c r="L289" s="38" t="n">
        <v>67.443970140687</v>
      </c>
      <c r="M289" s="38" t="n">
        <v>64.991952226609</v>
      </c>
      <c r="N289" s="38" t="n">
        <v>0</v>
      </c>
    </row>
    <row r="290" customFormat="false" ht="15" hidden="false" customHeight="false" outlineLevel="0" collapsed="false">
      <c r="A290" s="37" t="s">
        <v>556</v>
      </c>
      <c r="B290" s="37" t="s">
        <v>118</v>
      </c>
      <c r="C290" s="37" t="s">
        <v>59</v>
      </c>
      <c r="D290" s="37" t="s">
        <v>42</v>
      </c>
      <c r="E290" s="38" t="n">
        <v>224.650733904777</v>
      </c>
      <c r="F290" s="38" t="n">
        <v>70.7281329814924</v>
      </c>
      <c r="G290" s="38" t="n">
        <v>16.551386498349</v>
      </c>
      <c r="H290" s="38" t="n">
        <v>3.921970682995</v>
      </c>
      <c r="I290" s="38" t="n">
        <v>242.537221304865</v>
      </c>
      <c r="J290" s="38" t="n">
        <v>85.2889985609053</v>
      </c>
      <c r="K290" s="38" t="n">
        <v>121.541709100586</v>
      </c>
      <c r="L290" s="38" t="n">
        <v>68.5213480899143</v>
      </c>
      <c r="M290" s="38" t="n">
        <v>62.9446879680195</v>
      </c>
      <c r="N290" s="38" t="n">
        <v>0</v>
      </c>
    </row>
    <row r="291" customFormat="false" ht="15" hidden="false" customHeight="false" outlineLevel="0" collapsed="false">
      <c r="A291" s="37" t="s">
        <v>556</v>
      </c>
      <c r="B291" s="37" t="s">
        <v>118</v>
      </c>
      <c r="C291" s="37" t="s">
        <v>63</v>
      </c>
      <c r="D291" s="37" t="s">
        <v>47</v>
      </c>
      <c r="E291" s="38" t="n">
        <v>208.470193784352</v>
      </c>
      <c r="F291" s="38" t="n">
        <v>38.7031719175318</v>
      </c>
      <c r="G291" s="38" t="n">
        <v>16.556417940179</v>
      </c>
      <c r="H291" s="38" t="n">
        <v>16.4613048215322</v>
      </c>
      <c r="I291" s="38" t="n">
        <v>228.046000929373</v>
      </c>
      <c r="J291" s="38" t="n">
        <v>37.5247034046214</v>
      </c>
      <c r="K291" s="38" t="n">
        <v>107.799237325513</v>
      </c>
      <c r="L291" s="38" t="n">
        <v>59.5819230890361</v>
      </c>
      <c r="M291" s="38" t="n">
        <v>59.3192692343838</v>
      </c>
      <c r="N291" s="38" t="n">
        <v>0</v>
      </c>
    </row>
    <row r="292" customFormat="false" ht="15" hidden="false" customHeight="false" outlineLevel="0" collapsed="false">
      <c r="A292" s="37" t="s">
        <v>556</v>
      </c>
      <c r="B292" s="37" t="s">
        <v>118</v>
      </c>
      <c r="C292" s="37" t="s">
        <v>67</v>
      </c>
      <c r="D292" s="37" t="s">
        <v>68</v>
      </c>
      <c r="E292" s="38" t="n">
        <v>213.672535611028</v>
      </c>
      <c r="F292" s="38" t="n">
        <v>39.8697267722244</v>
      </c>
      <c r="G292" s="38" t="n">
        <v>18.5228199214922</v>
      </c>
      <c r="H292" s="38" t="n">
        <v>4.09069122026735</v>
      </c>
      <c r="I292" s="38" t="n">
        <v>251.854778188212</v>
      </c>
      <c r="J292" s="38" t="n">
        <v>60.3547781882119</v>
      </c>
      <c r="K292" s="38" t="n">
        <v>135.753377691637</v>
      </c>
      <c r="L292" s="38" t="n">
        <v>70.751336852249</v>
      </c>
      <c r="M292" s="38" t="n">
        <v>68.4078671141984</v>
      </c>
      <c r="N292" s="38" t="n">
        <v>0</v>
      </c>
    </row>
    <row r="293" customFormat="false" ht="15" hidden="false" customHeight="false" outlineLevel="0" collapsed="false">
      <c r="A293" s="37" t="s">
        <v>556</v>
      </c>
      <c r="B293" s="37" t="s">
        <v>118</v>
      </c>
      <c r="C293" s="37" t="s">
        <v>72</v>
      </c>
      <c r="D293" s="37" t="s">
        <v>73</v>
      </c>
      <c r="E293" s="38" t="n">
        <v>206.230277709166</v>
      </c>
      <c r="F293" s="38" t="n">
        <v>41.6872030921913</v>
      </c>
      <c r="G293" s="38" t="n">
        <v>16.5734239969704</v>
      </c>
      <c r="H293" s="38" t="n">
        <v>6.09477592139979</v>
      </c>
      <c r="I293" s="38" t="n">
        <v>252.134248809762</v>
      </c>
      <c r="J293" s="38" t="n">
        <v>215.762264682777</v>
      </c>
      <c r="K293" s="38" t="n">
        <v>111.910079735105</v>
      </c>
      <c r="L293" s="38" t="n">
        <v>66.3453538933499</v>
      </c>
      <c r="M293" s="38" t="n">
        <v>60.0905390622255</v>
      </c>
      <c r="N293" s="38" t="n">
        <v>0</v>
      </c>
    </row>
    <row r="294" customFormat="false" ht="15" hidden="false" customHeight="false" outlineLevel="0" collapsed="false">
      <c r="A294" s="37" t="s">
        <v>556</v>
      </c>
      <c r="B294" s="37" t="s">
        <v>118</v>
      </c>
      <c r="C294" s="37" t="s">
        <v>77</v>
      </c>
      <c r="D294" s="37" t="s">
        <v>78</v>
      </c>
      <c r="E294" s="38" t="n">
        <v>238.439269272269</v>
      </c>
      <c r="F294" s="38" t="n">
        <v>55.7536500249575</v>
      </c>
      <c r="G294" s="38" t="n">
        <v>17.136020969481</v>
      </c>
      <c r="H294" s="38" t="n">
        <v>10.9749054432259</v>
      </c>
      <c r="I294" s="38" t="n">
        <v>277.805131345952</v>
      </c>
      <c r="J294" s="38" t="n">
        <v>96.4285458162849</v>
      </c>
      <c r="K294" s="38" t="n">
        <v>152.508416995889</v>
      </c>
      <c r="L294" s="38" t="n">
        <v>81.9042744213846</v>
      </c>
      <c r="M294" s="38" t="n">
        <v>78.1227298258843</v>
      </c>
      <c r="N294" s="38" t="n">
        <v>0</v>
      </c>
    </row>
    <row r="295" customFormat="false" ht="15" hidden="false" customHeight="false" outlineLevel="0" collapsed="false">
      <c r="A295" s="37" t="s">
        <v>556</v>
      </c>
      <c r="B295" s="37" t="s">
        <v>121</v>
      </c>
      <c r="C295" s="37" t="s">
        <v>36</v>
      </c>
      <c r="D295" s="37" t="s">
        <v>37</v>
      </c>
      <c r="E295" s="38" t="n">
        <v>208.157684855156</v>
      </c>
      <c r="F295" s="38" t="n">
        <v>38.3601908417261</v>
      </c>
      <c r="G295" s="38" t="n">
        <v>16.5119569823325</v>
      </c>
      <c r="H295" s="38" t="n">
        <v>4.88119944320263</v>
      </c>
      <c r="I295" s="38" t="n">
        <v>246.884727559206</v>
      </c>
      <c r="J295" s="38" t="n">
        <v>43.4863774862071</v>
      </c>
      <c r="K295" s="38" t="n">
        <v>107.879262810296</v>
      </c>
      <c r="L295" s="38" t="n">
        <v>66.8873253704344</v>
      </c>
      <c r="M295" s="38" t="n">
        <v>61.1865556665106</v>
      </c>
      <c r="N295" s="38" t="n">
        <v>0</v>
      </c>
    </row>
    <row r="296" customFormat="false" ht="15" hidden="false" customHeight="false" outlineLevel="0" collapsed="false">
      <c r="A296" s="37" t="s">
        <v>556</v>
      </c>
      <c r="B296" s="37" t="s">
        <v>121</v>
      </c>
      <c r="C296" s="37" t="s">
        <v>41</v>
      </c>
      <c r="D296" s="37" t="s">
        <v>42</v>
      </c>
      <c r="E296" s="38" t="n">
        <v>204.703369391585</v>
      </c>
      <c r="F296" s="38" t="n">
        <v>59.3758374334474</v>
      </c>
      <c r="G296" s="38" t="n">
        <v>16.4929213355763</v>
      </c>
      <c r="H296" s="38" t="n">
        <v>4.78674452337332</v>
      </c>
      <c r="I296" s="38" t="n">
        <v>213.609158945005</v>
      </c>
      <c r="J296" s="38" t="n">
        <v>25.3548991466735</v>
      </c>
      <c r="K296" s="38" t="n">
        <v>90.2855774445775</v>
      </c>
      <c r="L296" s="38" t="n">
        <v>61.9647238101539</v>
      </c>
      <c r="M296" s="38" t="n">
        <v>52.5909572073991</v>
      </c>
      <c r="N296" s="38" t="n">
        <v>0</v>
      </c>
    </row>
    <row r="297" customFormat="false" ht="15" hidden="false" customHeight="false" outlineLevel="0" collapsed="false">
      <c r="A297" s="37" t="s">
        <v>556</v>
      </c>
      <c r="B297" s="37" t="s">
        <v>121</v>
      </c>
      <c r="C297" s="37" t="s">
        <v>46</v>
      </c>
      <c r="D297" s="37" t="s">
        <v>47</v>
      </c>
      <c r="E297" s="38" t="n">
        <v>217.874806825093</v>
      </c>
      <c r="F297" s="38" t="n">
        <v>38.2141887715451</v>
      </c>
      <c r="G297" s="38" t="n">
        <v>16.5317351422495</v>
      </c>
      <c r="H297" s="38" t="n">
        <v>25.9575383328604</v>
      </c>
      <c r="I297" s="38" t="n">
        <v>243.195134849421</v>
      </c>
      <c r="J297" s="38" t="n">
        <v>49.9451348494208</v>
      </c>
      <c r="K297" s="38" t="n">
        <v>127.7663231308</v>
      </c>
      <c r="L297" s="38" t="n">
        <v>74.539060602269</v>
      </c>
      <c r="M297" s="38" t="n">
        <v>66.4528988792958</v>
      </c>
      <c r="N297" s="38" t="n">
        <v>0</v>
      </c>
    </row>
    <row r="298" customFormat="false" ht="15" hidden="false" customHeight="false" outlineLevel="0" collapsed="false">
      <c r="A298" s="37" t="s">
        <v>556</v>
      </c>
      <c r="B298" s="37" t="s">
        <v>121</v>
      </c>
      <c r="C298" s="37" t="s">
        <v>51</v>
      </c>
      <c r="D298" s="37" t="s">
        <v>51</v>
      </c>
      <c r="E298" s="38" t="n">
        <v>219.465381182738</v>
      </c>
      <c r="F298" s="38" t="n">
        <v>47.4893891822967</v>
      </c>
      <c r="G298" s="38" t="n">
        <v>16.5317351422495</v>
      </c>
      <c r="H298" s="38" t="n">
        <v>16.6003699503618</v>
      </c>
      <c r="I298" s="38" t="n">
        <v>259.080090107216</v>
      </c>
      <c r="J298" s="38" t="n">
        <v>62.4063894723388</v>
      </c>
      <c r="K298" s="38" t="n">
        <v>135.568055915926</v>
      </c>
      <c r="L298" s="38" t="n">
        <v>74.5709511588388</v>
      </c>
      <c r="M298" s="38" t="n">
        <v>69.6356900119422</v>
      </c>
      <c r="N298" s="38" t="n">
        <v>0</v>
      </c>
    </row>
    <row r="299" customFormat="false" ht="15" hidden="false" customHeight="false" outlineLevel="0" collapsed="false">
      <c r="A299" s="37" t="s">
        <v>556</v>
      </c>
      <c r="B299" s="37" t="s">
        <v>121</v>
      </c>
      <c r="C299" s="37" t="s">
        <v>55</v>
      </c>
      <c r="D299" s="37" t="s">
        <v>37</v>
      </c>
      <c r="E299" s="38" t="n">
        <v>199.915994805465</v>
      </c>
      <c r="F299" s="38" t="n">
        <v>38.057847364885</v>
      </c>
      <c r="G299" s="38" t="n">
        <v>16.509951967053</v>
      </c>
      <c r="H299" s="38" t="n">
        <v>4.65397394027493</v>
      </c>
      <c r="I299" s="38" t="n">
        <v>254.260176664322</v>
      </c>
      <c r="J299" s="38" t="n">
        <v>53.4813987618301</v>
      </c>
      <c r="K299" s="38" t="n">
        <v>101.663410240524</v>
      </c>
      <c r="L299" s="38" t="n">
        <v>60.698657494747</v>
      </c>
      <c r="M299" s="38" t="n">
        <v>55.6491269899281</v>
      </c>
      <c r="N299" s="38" t="n">
        <v>0</v>
      </c>
    </row>
    <row r="300" customFormat="false" ht="15" hidden="false" customHeight="false" outlineLevel="0" collapsed="false">
      <c r="A300" s="37" t="s">
        <v>556</v>
      </c>
      <c r="B300" s="37" t="s">
        <v>121</v>
      </c>
      <c r="C300" s="37" t="s">
        <v>59</v>
      </c>
      <c r="D300" s="37" t="s">
        <v>42</v>
      </c>
      <c r="E300" s="38" t="n">
        <v>203.222909711069</v>
      </c>
      <c r="F300" s="38" t="n">
        <v>64.0553216940842</v>
      </c>
      <c r="G300" s="38" t="n">
        <v>16.491715905522</v>
      </c>
      <c r="H300" s="38" t="n">
        <v>4.58873400190192</v>
      </c>
      <c r="I300" s="38" t="n">
        <v>215.167811883305</v>
      </c>
      <c r="J300" s="38" t="n">
        <v>16.00651492018</v>
      </c>
      <c r="K300" s="38" t="n">
        <v>88.4446850112769</v>
      </c>
      <c r="L300" s="38" t="n">
        <v>55.8133618588054</v>
      </c>
      <c r="M300" s="38" t="n">
        <v>48.3291792573259</v>
      </c>
      <c r="N300" s="38" t="n">
        <v>0</v>
      </c>
    </row>
    <row r="301" customFormat="false" ht="15" hidden="false" customHeight="false" outlineLevel="0" collapsed="false">
      <c r="A301" s="37" t="s">
        <v>556</v>
      </c>
      <c r="B301" s="37" t="s">
        <v>121</v>
      </c>
      <c r="C301" s="37" t="s">
        <v>63</v>
      </c>
      <c r="D301" s="37" t="s">
        <v>47</v>
      </c>
      <c r="E301" s="38" t="n">
        <v>204.066978773691</v>
      </c>
      <c r="F301" s="38" t="n">
        <v>38.5263557529887</v>
      </c>
      <c r="G301" s="38" t="n">
        <v>16.514560328466</v>
      </c>
      <c r="H301" s="38" t="n">
        <v>25.454491358381</v>
      </c>
      <c r="I301" s="38" t="n">
        <v>223.175684595517</v>
      </c>
      <c r="J301" s="38" t="n">
        <v>32.49502952016</v>
      </c>
      <c r="K301" s="38" t="n">
        <v>98.0796508397372</v>
      </c>
      <c r="L301" s="38" t="n">
        <v>59.2922948402716</v>
      </c>
      <c r="M301" s="38" t="n">
        <v>55.1925658354206</v>
      </c>
      <c r="N301" s="38" t="n">
        <v>0</v>
      </c>
    </row>
    <row r="302" customFormat="false" ht="15" hidden="false" customHeight="false" outlineLevel="0" collapsed="false">
      <c r="A302" s="37" t="s">
        <v>556</v>
      </c>
      <c r="B302" s="37" t="s">
        <v>121</v>
      </c>
      <c r="C302" s="37" t="s">
        <v>67</v>
      </c>
      <c r="D302" s="37" t="s">
        <v>68</v>
      </c>
      <c r="E302" s="38" t="n">
        <v>197.514291277597</v>
      </c>
      <c r="F302" s="38" t="n">
        <v>39.465577823916</v>
      </c>
      <c r="G302" s="38" t="n">
        <v>18.4349859022203</v>
      </c>
      <c r="H302" s="38" t="n">
        <v>4.84392376298368</v>
      </c>
      <c r="I302" s="38" t="n">
        <v>216.305051178469</v>
      </c>
      <c r="J302" s="38" t="n">
        <v>24.9991160141271</v>
      </c>
      <c r="K302" s="38" t="n">
        <v>103.659841521294</v>
      </c>
      <c r="L302" s="38" t="n">
        <v>66.2714724592542</v>
      </c>
      <c r="M302" s="38" t="n">
        <v>57.1866687158428</v>
      </c>
      <c r="N302" s="38" t="n">
        <v>0</v>
      </c>
    </row>
    <row r="303" customFormat="false" ht="15" hidden="false" customHeight="false" outlineLevel="0" collapsed="false">
      <c r="A303" s="37" t="s">
        <v>556</v>
      </c>
      <c r="B303" s="37" t="s">
        <v>121</v>
      </c>
      <c r="C303" s="37" t="s">
        <v>72</v>
      </c>
      <c r="D303" s="37" t="s">
        <v>73</v>
      </c>
      <c r="E303" s="38" t="n">
        <v>192.070492124562</v>
      </c>
      <c r="F303" s="38" t="n">
        <v>41.2418797870594</v>
      </c>
      <c r="G303" s="38" t="n">
        <v>16.5317351422495</v>
      </c>
      <c r="H303" s="38" t="n">
        <v>8.07913616366102</v>
      </c>
      <c r="I303" s="38" t="n">
        <v>218.482983579285</v>
      </c>
      <c r="J303" s="38" t="n">
        <v>182.1109994523</v>
      </c>
      <c r="K303" s="38" t="n">
        <v>94.8397993386734</v>
      </c>
      <c r="L303" s="38" t="n">
        <v>63.3357806189821</v>
      </c>
      <c r="M303" s="38" t="n">
        <v>52.5250358844872</v>
      </c>
      <c r="N303" s="38" t="n">
        <v>0</v>
      </c>
    </row>
    <row r="304" customFormat="false" ht="15" hidden="false" customHeight="false" outlineLevel="0" collapsed="false">
      <c r="A304" s="37" t="s">
        <v>556</v>
      </c>
      <c r="B304" s="37" t="s">
        <v>121</v>
      </c>
      <c r="C304" s="37" t="s">
        <v>77</v>
      </c>
      <c r="D304" s="37" t="s">
        <v>78</v>
      </c>
      <c r="E304" s="38" t="n">
        <v>227.241794982959</v>
      </c>
      <c r="F304" s="38" t="n">
        <v>55.3163240765515</v>
      </c>
      <c r="G304" s="38" t="n">
        <v>17.0884723623055</v>
      </c>
      <c r="H304" s="38" t="n">
        <v>15.915413074438</v>
      </c>
      <c r="I304" s="38" t="n">
        <v>253.951759312867</v>
      </c>
      <c r="J304" s="38" t="n">
        <v>72.5729468268075</v>
      </c>
      <c r="K304" s="38" t="n">
        <v>141.993310790771</v>
      </c>
      <c r="L304" s="38" t="n">
        <v>78.7286209389545</v>
      </c>
      <c r="M304" s="38" t="n">
        <v>74.2381957517326</v>
      </c>
      <c r="N304" s="38" t="n">
        <v>0</v>
      </c>
    </row>
    <row r="305" customFormat="false" ht="15" hidden="false" customHeight="false" outlineLevel="0" collapsed="false">
      <c r="A305" s="37" t="s">
        <v>558</v>
      </c>
      <c r="B305" s="37" t="s">
        <v>97</v>
      </c>
      <c r="C305" s="37" t="s">
        <v>36</v>
      </c>
      <c r="D305" s="37" t="s">
        <v>37</v>
      </c>
      <c r="E305" s="38" t="n">
        <v>212.06079562968</v>
      </c>
      <c r="F305" s="38" t="n">
        <v>38.7079985411142</v>
      </c>
      <c r="G305" s="38" t="n">
        <v>16.5536852516265</v>
      </c>
      <c r="H305" s="38" t="n">
        <v>5.03141085364453</v>
      </c>
      <c r="I305" s="38" t="n">
        <v>251.635552254722</v>
      </c>
      <c r="J305" s="38" t="n">
        <v>48.3339691658853</v>
      </c>
      <c r="K305" s="38" t="n">
        <v>113.640795897626</v>
      </c>
      <c r="L305" s="38" t="n">
        <v>68.0111213998419</v>
      </c>
      <c r="M305" s="38" t="n">
        <v>63.4335014615759</v>
      </c>
      <c r="N305" s="38" t="n">
        <v>0</v>
      </c>
    </row>
    <row r="306" customFormat="false" ht="15" hidden="false" customHeight="false" outlineLevel="0" collapsed="false">
      <c r="A306" s="37" t="s">
        <v>558</v>
      </c>
      <c r="B306" s="37" t="s">
        <v>97</v>
      </c>
      <c r="C306" s="37" t="s">
        <v>41</v>
      </c>
      <c r="D306" s="37" t="s">
        <v>42</v>
      </c>
      <c r="E306" s="38" t="n">
        <v>213.003604278654</v>
      </c>
      <c r="F306" s="38" t="n">
        <v>64.5994430195407</v>
      </c>
      <c r="G306" s="38" t="n">
        <v>16.5495688002177</v>
      </c>
      <c r="H306" s="38" t="n">
        <v>4.97082963782473</v>
      </c>
      <c r="I306" s="38" t="n">
        <v>234.754619866246</v>
      </c>
      <c r="J306" s="38" t="n">
        <v>76.1074608222602</v>
      </c>
      <c r="K306" s="38" t="n">
        <v>113.907016164835</v>
      </c>
      <c r="L306" s="38" t="n">
        <v>68.7744723033186</v>
      </c>
      <c r="M306" s="38" t="n">
        <v>61.3828693862949</v>
      </c>
      <c r="N306" s="38" t="n">
        <v>0</v>
      </c>
    </row>
    <row r="307" customFormat="false" ht="15" hidden="false" customHeight="false" outlineLevel="0" collapsed="false">
      <c r="A307" s="37" t="s">
        <v>558</v>
      </c>
      <c r="B307" s="37" t="s">
        <v>97</v>
      </c>
      <c r="C307" s="37" t="s">
        <v>46</v>
      </c>
      <c r="D307" s="37" t="s">
        <v>47</v>
      </c>
      <c r="E307" s="38" t="n">
        <v>223.080268886846</v>
      </c>
      <c r="F307" s="38" t="n">
        <v>38.5629572282558</v>
      </c>
      <c r="G307" s="38" t="n">
        <v>16.5734239969704</v>
      </c>
      <c r="H307" s="38" t="n">
        <v>27.8902650721573</v>
      </c>
      <c r="I307" s="38" t="n">
        <v>250.366668547582</v>
      </c>
      <c r="J307" s="38" t="n">
        <v>57.1166685475819</v>
      </c>
      <c r="K307" s="38" t="n">
        <v>134.759898811086</v>
      </c>
      <c r="L307" s="38" t="n">
        <v>76.2223270941955</v>
      </c>
      <c r="M307" s="38" t="n">
        <v>69.0211485073053</v>
      </c>
      <c r="N307" s="38" t="n">
        <v>0</v>
      </c>
    </row>
    <row r="308" customFormat="false" ht="15" hidden="false" customHeight="false" outlineLevel="0" collapsed="false">
      <c r="A308" s="37" t="s">
        <v>558</v>
      </c>
      <c r="B308" s="37" t="s">
        <v>97</v>
      </c>
      <c r="C308" s="37" t="s">
        <v>51</v>
      </c>
      <c r="D308" s="37" t="s">
        <v>51</v>
      </c>
      <c r="E308" s="38" t="n">
        <v>224.222013182974</v>
      </c>
      <c r="F308" s="38" t="n">
        <v>47.9959611914925</v>
      </c>
      <c r="G308" s="38" t="n">
        <v>16.5734239969704</v>
      </c>
      <c r="H308" s="38" t="n">
        <v>17.8765692783715</v>
      </c>
      <c r="I308" s="38" t="n">
        <v>270.579304332966</v>
      </c>
      <c r="J308" s="38" t="n">
        <v>73.9056036980886</v>
      </c>
      <c r="K308" s="38" t="n">
        <v>143.513629347849</v>
      </c>
      <c r="L308" s="38" t="n">
        <v>76.3648904014174</v>
      </c>
      <c r="M308" s="38" t="n">
        <v>72.8180528974195</v>
      </c>
      <c r="N308" s="38" t="n">
        <v>0</v>
      </c>
    </row>
    <row r="309" customFormat="false" ht="15" hidden="false" customHeight="false" outlineLevel="0" collapsed="false">
      <c r="A309" s="37" t="s">
        <v>558</v>
      </c>
      <c r="B309" s="37" t="s">
        <v>97</v>
      </c>
      <c r="C309" s="37" t="s">
        <v>55</v>
      </c>
      <c r="D309" s="37" t="s">
        <v>37</v>
      </c>
      <c r="E309" s="38" t="n">
        <v>203.588615399001</v>
      </c>
      <c r="F309" s="38" t="n">
        <v>38.4021638447056</v>
      </c>
      <c r="G309" s="38" t="n">
        <v>16.5516668110917</v>
      </c>
      <c r="H309" s="38" t="n">
        <v>4.78960818182069</v>
      </c>
      <c r="I309" s="38" t="n">
        <v>258.769192626101</v>
      </c>
      <c r="J309" s="38" t="n">
        <v>58.0872413329073</v>
      </c>
      <c r="K309" s="38" t="n">
        <v>107.326423316406</v>
      </c>
      <c r="L309" s="38" t="n">
        <v>61.7577876742013</v>
      </c>
      <c r="M309" s="38" t="n">
        <v>57.8445527469239</v>
      </c>
      <c r="N309" s="38" t="n">
        <v>0</v>
      </c>
    </row>
    <row r="310" customFormat="false" ht="15" hidden="false" customHeight="false" outlineLevel="0" collapsed="false">
      <c r="A310" s="37" t="s">
        <v>558</v>
      </c>
      <c r="B310" s="37" t="s">
        <v>97</v>
      </c>
      <c r="C310" s="37" t="s">
        <v>59</v>
      </c>
      <c r="D310" s="37" t="s">
        <v>42</v>
      </c>
      <c r="E310" s="38" t="n">
        <v>206.550554424337</v>
      </c>
      <c r="F310" s="38" t="n">
        <v>64.6907330835017</v>
      </c>
      <c r="G310" s="38" t="n">
        <v>16.533149207614</v>
      </c>
      <c r="H310" s="38" t="n">
        <v>4.71774603816191</v>
      </c>
      <c r="I310" s="38" t="n">
        <v>235.16516631942</v>
      </c>
      <c r="J310" s="38" t="n">
        <v>36.0041225973562</v>
      </c>
      <c r="K310" s="38" t="n">
        <v>107.073031944277</v>
      </c>
      <c r="L310" s="38" t="n">
        <v>57.8460516518012</v>
      </c>
      <c r="M310" s="38" t="n">
        <v>54.2256834247341</v>
      </c>
      <c r="N310" s="38" t="n">
        <v>0</v>
      </c>
    </row>
    <row r="311" customFormat="false" ht="15" hidden="false" customHeight="false" outlineLevel="0" collapsed="false">
      <c r="A311" s="37" t="s">
        <v>558</v>
      </c>
      <c r="B311" s="37" t="s">
        <v>97</v>
      </c>
      <c r="C311" s="37" t="s">
        <v>63</v>
      </c>
      <c r="D311" s="37" t="s">
        <v>47</v>
      </c>
      <c r="E311" s="38" t="n">
        <v>209.012493353679</v>
      </c>
      <c r="F311" s="38" t="n">
        <v>38.8758949353092</v>
      </c>
      <c r="G311" s="38" t="n">
        <v>16.5563218597611</v>
      </c>
      <c r="H311" s="38" t="n">
        <v>27.3506241763368</v>
      </c>
      <c r="I311" s="38" t="n">
        <v>229.967407087895</v>
      </c>
      <c r="J311" s="38" t="n">
        <v>39.3923067201701</v>
      </c>
      <c r="K311" s="38" t="n">
        <v>111.097356452754</v>
      </c>
      <c r="L311" s="38" t="n">
        <v>60.8729733770021</v>
      </c>
      <c r="M311" s="38" t="n">
        <v>59.6058639923307</v>
      </c>
      <c r="N311" s="38" t="n">
        <v>0</v>
      </c>
    </row>
    <row r="312" customFormat="false" ht="15" hidden="false" customHeight="false" outlineLevel="0" collapsed="false">
      <c r="A312" s="37" t="s">
        <v>558</v>
      </c>
      <c r="B312" s="37" t="s">
        <v>97</v>
      </c>
      <c r="C312" s="37" t="s">
        <v>67</v>
      </c>
      <c r="D312" s="37" t="s">
        <v>68</v>
      </c>
      <c r="E312" s="38" t="n">
        <v>200.981103727796</v>
      </c>
      <c r="F312" s="38" t="n">
        <v>39.8283867089986</v>
      </c>
      <c r="G312" s="38" t="n">
        <v>18.5109880621653</v>
      </c>
      <c r="H312" s="38" t="n">
        <v>4.99119857494195</v>
      </c>
      <c r="I312" s="38" t="n">
        <v>220.581984870564</v>
      </c>
      <c r="J312" s="38" t="n">
        <v>29.0819848705644</v>
      </c>
      <c r="K312" s="38" t="n">
        <v>112.839302090145</v>
      </c>
      <c r="L312" s="38" t="n">
        <v>67.2793498322969</v>
      </c>
      <c r="M312" s="38" t="n">
        <v>60.3725742403334</v>
      </c>
      <c r="N312" s="38" t="n">
        <v>0</v>
      </c>
    </row>
    <row r="313" customFormat="false" ht="15" hidden="false" customHeight="false" outlineLevel="0" collapsed="false">
      <c r="A313" s="37" t="s">
        <v>558</v>
      </c>
      <c r="B313" s="37" t="s">
        <v>97</v>
      </c>
      <c r="C313" s="37" t="s">
        <v>72</v>
      </c>
      <c r="D313" s="37" t="s">
        <v>73</v>
      </c>
      <c r="E313" s="38" t="n">
        <v>195.735700678545</v>
      </c>
      <c r="F313" s="38" t="n">
        <v>41.6484060213755</v>
      </c>
      <c r="G313" s="38" t="n">
        <v>16.5734239969704</v>
      </c>
      <c r="H313" s="38" t="n">
        <v>8.59717676368948</v>
      </c>
      <c r="I313" s="38" t="n">
        <v>224.764285753029</v>
      </c>
      <c r="J313" s="38" t="n">
        <v>188.392301626045</v>
      </c>
      <c r="K313" s="38" t="n">
        <v>101.501549652456</v>
      </c>
      <c r="L313" s="38" t="n">
        <v>64.3591970409221</v>
      </c>
      <c r="M313" s="38" t="n">
        <v>55.1441668771272</v>
      </c>
      <c r="N313" s="38" t="n">
        <v>0</v>
      </c>
    </row>
    <row r="314" customFormat="false" ht="15" hidden="false" customHeight="false" outlineLevel="0" collapsed="false">
      <c r="A314" s="37" t="s">
        <v>558</v>
      </c>
      <c r="B314" s="37" t="s">
        <v>97</v>
      </c>
      <c r="C314" s="37" t="s">
        <v>77</v>
      </c>
      <c r="D314" s="37" t="s">
        <v>78</v>
      </c>
      <c r="E314" s="38" t="n">
        <v>232.049204557239</v>
      </c>
      <c r="F314" s="38" t="n">
        <v>55.8453377493963</v>
      </c>
      <c r="G314" s="38" t="n">
        <v>17.1360228904703</v>
      </c>
      <c r="H314" s="38" t="n">
        <v>17.2192204389607</v>
      </c>
      <c r="I314" s="38" t="n">
        <v>264.066926008376</v>
      </c>
      <c r="J314" s="38" t="n">
        <v>82.6910685113284</v>
      </c>
      <c r="K314" s="38" t="n">
        <v>149.45395492373</v>
      </c>
      <c r="L314" s="38" t="n">
        <v>80.4679274568898</v>
      </c>
      <c r="M314" s="38" t="n">
        <v>76.9805538409292</v>
      </c>
      <c r="N314" s="38" t="n">
        <v>0</v>
      </c>
    </row>
    <row r="315" customFormat="false" ht="15" hidden="false" customHeight="false" outlineLevel="0" collapsed="false">
      <c r="A315" s="37" t="s">
        <v>558</v>
      </c>
      <c r="B315" s="37" t="s">
        <v>100</v>
      </c>
      <c r="C315" s="37" t="s">
        <v>36</v>
      </c>
      <c r="D315" s="37" t="s">
        <v>37</v>
      </c>
      <c r="E315" s="38" t="n">
        <v>202.674354126554</v>
      </c>
      <c r="F315" s="38" t="n">
        <v>38.6908447970778</v>
      </c>
      <c r="G315" s="38" t="n">
        <v>16.5533892775684</v>
      </c>
      <c r="H315" s="38" t="n">
        <v>5.03141085364453</v>
      </c>
      <c r="I315" s="38" t="n">
        <v>231.302897735044</v>
      </c>
      <c r="J315" s="38" t="n">
        <v>27.8355660805613</v>
      </c>
      <c r="K315" s="38" t="n">
        <v>93.3723166671407</v>
      </c>
      <c r="L315" s="38" t="n">
        <v>65.473354464219</v>
      </c>
      <c r="M315" s="38" t="n">
        <v>56.3341203302387</v>
      </c>
      <c r="N315" s="38" t="n">
        <v>0</v>
      </c>
    </row>
    <row r="316" customFormat="false" ht="15" hidden="false" customHeight="false" outlineLevel="0" collapsed="false">
      <c r="A316" s="37" t="s">
        <v>558</v>
      </c>
      <c r="B316" s="37" t="s">
        <v>100</v>
      </c>
      <c r="C316" s="37" t="s">
        <v>41</v>
      </c>
      <c r="D316" s="37" t="s">
        <v>42</v>
      </c>
      <c r="E316" s="38" t="n">
        <v>200.762275106379</v>
      </c>
      <c r="F316" s="38" t="n">
        <v>59.9291472292483</v>
      </c>
      <c r="G316" s="38" t="n">
        <v>16.5343587024168</v>
      </c>
      <c r="H316" s="38" t="n">
        <v>4.92686831805413</v>
      </c>
      <c r="I316" s="38" t="n">
        <v>210.733310243187</v>
      </c>
      <c r="J316" s="38" t="n">
        <v>24.9885408570833</v>
      </c>
      <c r="K316" s="38" t="n">
        <v>89.3241791955658</v>
      </c>
      <c r="L316" s="38" t="n">
        <v>61.7373162839475</v>
      </c>
      <c r="M316" s="38" t="n">
        <v>51.7804836440302</v>
      </c>
      <c r="N316" s="38" t="n">
        <v>0</v>
      </c>
    </row>
    <row r="317" customFormat="false" ht="15" hidden="false" customHeight="false" outlineLevel="0" collapsed="false">
      <c r="A317" s="37" t="s">
        <v>558</v>
      </c>
      <c r="B317" s="37" t="s">
        <v>100</v>
      </c>
      <c r="C317" s="37" t="s">
        <v>46</v>
      </c>
      <c r="D317" s="37" t="s">
        <v>47</v>
      </c>
      <c r="E317" s="38" t="n">
        <v>216.255621036228</v>
      </c>
      <c r="F317" s="38" t="n">
        <v>38.5477705711226</v>
      </c>
      <c r="G317" s="38" t="n">
        <v>16.5734239969704</v>
      </c>
      <c r="H317" s="38" t="n">
        <v>27.8902650721573</v>
      </c>
      <c r="I317" s="38" t="n">
        <v>235.520640769382</v>
      </c>
      <c r="J317" s="38" t="n">
        <v>42.2706407693819</v>
      </c>
      <c r="K317" s="38" t="n">
        <v>128.451477804939</v>
      </c>
      <c r="L317" s="38" t="n">
        <v>74.383206444992</v>
      </c>
      <c r="M317" s="38" t="n">
        <v>66.2645067005059</v>
      </c>
      <c r="N317" s="38" t="n">
        <v>0</v>
      </c>
    </row>
    <row r="318" customFormat="false" ht="15" hidden="false" customHeight="false" outlineLevel="0" collapsed="false">
      <c r="A318" s="37" t="s">
        <v>558</v>
      </c>
      <c r="B318" s="37" t="s">
        <v>100</v>
      </c>
      <c r="C318" s="37" t="s">
        <v>51</v>
      </c>
      <c r="D318" s="37" t="s">
        <v>51</v>
      </c>
      <c r="E318" s="38" t="n">
        <v>216.467651934501</v>
      </c>
      <c r="F318" s="38" t="n">
        <v>47.9556951663142</v>
      </c>
      <c r="G318" s="38" t="n">
        <v>16.5734239969704</v>
      </c>
      <c r="H318" s="38" t="n">
        <v>17.8765692783715</v>
      </c>
      <c r="I318" s="38" t="n">
        <v>252.856159807695</v>
      </c>
      <c r="J318" s="38" t="n">
        <v>56.1824591728179</v>
      </c>
      <c r="K318" s="38" t="n">
        <v>136.214200109625</v>
      </c>
      <c r="L318" s="38" t="n">
        <v>74.293105078098</v>
      </c>
      <c r="M318" s="38" t="n">
        <v>69.5559430936644</v>
      </c>
      <c r="N318" s="38" t="n">
        <v>0</v>
      </c>
    </row>
    <row r="319" customFormat="false" ht="15" hidden="false" customHeight="false" outlineLevel="0" collapsed="false">
      <c r="A319" s="37" t="s">
        <v>558</v>
      </c>
      <c r="B319" s="37" t="s">
        <v>100</v>
      </c>
      <c r="C319" s="37" t="s">
        <v>55</v>
      </c>
      <c r="D319" s="37" t="s">
        <v>37</v>
      </c>
      <c r="E319" s="38" t="n">
        <v>194.572497735224</v>
      </c>
      <c r="F319" s="38" t="n">
        <v>38.3843992387676</v>
      </c>
      <c r="G319" s="38" t="n">
        <v>16.5513491730688</v>
      </c>
      <c r="H319" s="38" t="n">
        <v>4.78960818182069</v>
      </c>
      <c r="I319" s="38" t="n">
        <v>237.703993851832</v>
      </c>
      <c r="J319" s="38" t="n">
        <v>36.8441543778375</v>
      </c>
      <c r="K319" s="38" t="n">
        <v>94.6112321182186</v>
      </c>
      <c r="L319" s="38" t="n">
        <v>59.2353391167579</v>
      </c>
      <c r="M319" s="38" t="n">
        <v>52.8614272435776</v>
      </c>
      <c r="N319" s="38" t="n">
        <v>0</v>
      </c>
    </row>
    <row r="320" customFormat="false" ht="15" hidden="false" customHeight="false" outlineLevel="0" collapsed="false">
      <c r="A320" s="37" t="s">
        <v>558</v>
      </c>
      <c r="B320" s="37" t="s">
        <v>100</v>
      </c>
      <c r="C320" s="37" t="s">
        <v>59</v>
      </c>
      <c r="D320" s="37" t="s">
        <v>42</v>
      </c>
      <c r="E320" s="38" t="n">
        <v>199.365155880831</v>
      </c>
      <c r="F320" s="38" t="n">
        <v>64.6165846668421</v>
      </c>
      <c r="G320" s="38" t="n">
        <v>16.5331463381864</v>
      </c>
      <c r="H320" s="38" t="n">
        <v>4.71774603816191</v>
      </c>
      <c r="I320" s="38" t="n">
        <v>217.50977868385</v>
      </c>
      <c r="J320" s="38" t="n">
        <v>18.3486496208223</v>
      </c>
      <c r="K320" s="38" t="n">
        <v>89.1482878364898</v>
      </c>
      <c r="L320" s="38" t="n">
        <v>55.8259422023657</v>
      </c>
      <c r="M320" s="38" t="n">
        <v>48.2092730073621</v>
      </c>
      <c r="N320" s="38" t="n">
        <v>0</v>
      </c>
    </row>
    <row r="321" customFormat="false" ht="15" hidden="false" customHeight="false" outlineLevel="0" collapsed="false">
      <c r="A321" s="37" t="s">
        <v>558</v>
      </c>
      <c r="B321" s="37" t="s">
        <v>100</v>
      </c>
      <c r="C321" s="37" t="s">
        <v>63</v>
      </c>
      <c r="D321" s="37" t="s">
        <v>47</v>
      </c>
      <c r="E321" s="38" t="n">
        <v>202.4065805455</v>
      </c>
      <c r="F321" s="38" t="n">
        <v>38.8581159595766</v>
      </c>
      <c r="G321" s="38" t="n">
        <v>16.5561127427671</v>
      </c>
      <c r="H321" s="38" t="n">
        <v>27.3506241763368</v>
      </c>
      <c r="I321" s="38" t="n">
        <v>214.900602413641</v>
      </c>
      <c r="J321" s="38" t="n">
        <v>24.2084009234696</v>
      </c>
      <c r="K321" s="38" t="n">
        <v>91.8527804371699</v>
      </c>
      <c r="L321" s="38" t="n">
        <v>59.0342748636416</v>
      </c>
      <c r="M321" s="38" t="n">
        <v>53.0642939705315</v>
      </c>
      <c r="N321" s="38" t="n">
        <v>0</v>
      </c>
    </row>
    <row r="322" customFormat="false" ht="15" hidden="false" customHeight="false" outlineLevel="0" collapsed="false">
      <c r="A322" s="37" t="s">
        <v>558</v>
      </c>
      <c r="B322" s="37" t="s">
        <v>100</v>
      </c>
      <c r="C322" s="37" t="s">
        <v>67</v>
      </c>
      <c r="D322" s="37" t="s">
        <v>68</v>
      </c>
      <c r="E322" s="38" t="n">
        <v>193.072177334381</v>
      </c>
      <c r="F322" s="38" t="n">
        <v>39.8108651838851</v>
      </c>
      <c r="G322" s="38" t="n">
        <v>18.5028199040599</v>
      </c>
      <c r="H322" s="38" t="n">
        <v>4.98909893588528</v>
      </c>
      <c r="I322" s="38" t="n">
        <v>201.655811547203</v>
      </c>
      <c r="J322" s="38" t="n">
        <v>24.978854634035</v>
      </c>
      <c r="K322" s="38" t="n">
        <v>100.101739076785</v>
      </c>
      <c r="L322" s="38" t="n">
        <v>62.8066822111403</v>
      </c>
      <c r="M322" s="38" t="n">
        <v>55.1981465934644</v>
      </c>
      <c r="N322" s="38" t="n">
        <v>0</v>
      </c>
    </row>
    <row r="323" customFormat="false" ht="15" hidden="false" customHeight="false" outlineLevel="0" collapsed="false">
      <c r="A323" s="37" t="s">
        <v>558</v>
      </c>
      <c r="B323" s="37" t="s">
        <v>100</v>
      </c>
      <c r="C323" s="37" t="s">
        <v>72</v>
      </c>
      <c r="D323" s="37" t="s">
        <v>73</v>
      </c>
      <c r="E323" s="38" t="n">
        <v>188.200170625301</v>
      </c>
      <c r="F323" s="38" t="n">
        <v>41.6237505673396</v>
      </c>
      <c r="G323" s="38" t="n">
        <v>16.5734239969704</v>
      </c>
      <c r="H323" s="38" t="n">
        <v>8.59717676368948</v>
      </c>
      <c r="I323" s="38" t="n">
        <v>206.180242955538</v>
      </c>
      <c r="J323" s="38" t="n">
        <v>169.808258828553</v>
      </c>
      <c r="K323" s="38" t="n">
        <v>92.7603710731038</v>
      </c>
      <c r="L323" s="38" t="n">
        <v>62.783527008366</v>
      </c>
      <c r="M323" s="38" t="n">
        <v>51.4226250467033</v>
      </c>
      <c r="N323" s="38" t="n">
        <v>0</v>
      </c>
    </row>
    <row r="324" customFormat="false" ht="15" hidden="false" customHeight="false" outlineLevel="0" collapsed="false">
      <c r="A324" s="37" t="s">
        <v>558</v>
      </c>
      <c r="B324" s="37" t="s">
        <v>100</v>
      </c>
      <c r="C324" s="37" t="s">
        <v>77</v>
      </c>
      <c r="D324" s="37" t="s">
        <v>78</v>
      </c>
      <c r="E324" s="38" t="n">
        <v>224.420907641097</v>
      </c>
      <c r="F324" s="38" t="n">
        <v>55.8082153586366</v>
      </c>
      <c r="G324" s="38" t="n">
        <v>17.1360214638263</v>
      </c>
      <c r="H324" s="38" t="n">
        <v>17.2192204389607</v>
      </c>
      <c r="I324" s="38" t="n">
        <v>246.939921947187</v>
      </c>
      <c r="J324" s="38" t="n">
        <v>65.5635237667615</v>
      </c>
      <c r="K324" s="38" t="n">
        <v>142.511668569082</v>
      </c>
      <c r="L324" s="38" t="n">
        <v>78.3217109090519</v>
      </c>
      <c r="M324" s="38" t="n">
        <v>73.9612001892729</v>
      </c>
      <c r="N324" s="38" t="n">
        <v>0</v>
      </c>
    </row>
    <row r="325" customFormat="false" ht="15" hidden="false" customHeight="false" outlineLevel="0" collapsed="false">
      <c r="A325" s="37" t="s">
        <v>558</v>
      </c>
      <c r="B325" s="37" t="s">
        <v>106</v>
      </c>
      <c r="C325" s="37" t="s">
        <v>36</v>
      </c>
      <c r="D325" s="37" t="s">
        <v>37</v>
      </c>
      <c r="E325" s="38" t="n">
        <v>213.012870863462</v>
      </c>
      <c r="F325" s="38" t="n">
        <v>39.65478903414</v>
      </c>
      <c r="G325" s="38" t="n">
        <v>16.5537001044038</v>
      </c>
      <c r="H325" s="38" t="n">
        <v>5.03141085364453</v>
      </c>
      <c r="I325" s="38" t="n">
        <v>253.088265839763</v>
      </c>
      <c r="J325" s="38" t="n">
        <v>49.7950004343486</v>
      </c>
      <c r="K325" s="38" t="n">
        <v>115.008176064796</v>
      </c>
      <c r="L325" s="38" t="n">
        <v>69.6661285343986</v>
      </c>
      <c r="M325" s="38" t="n">
        <v>64.0073276649987</v>
      </c>
      <c r="N325" s="38" t="n">
        <v>0</v>
      </c>
    </row>
    <row r="326" customFormat="false" ht="15" hidden="false" customHeight="false" outlineLevel="0" collapsed="false">
      <c r="A326" s="37" t="s">
        <v>558</v>
      </c>
      <c r="B326" s="37" t="s">
        <v>106</v>
      </c>
      <c r="C326" s="37" t="s">
        <v>41</v>
      </c>
      <c r="D326" s="37" t="s">
        <v>42</v>
      </c>
      <c r="E326" s="38" t="n">
        <v>216.98024978829</v>
      </c>
      <c r="F326" s="38" t="n">
        <v>68.5727340309903</v>
      </c>
      <c r="G326" s="38" t="n">
        <v>16.5496723904526</v>
      </c>
      <c r="H326" s="38" t="n">
        <v>4.97082963782473</v>
      </c>
      <c r="I326" s="38" t="n">
        <v>239.558301481844</v>
      </c>
      <c r="J326" s="38" t="n">
        <v>80.9591653562044</v>
      </c>
      <c r="K326" s="38" t="n">
        <v>117.769369127265</v>
      </c>
      <c r="L326" s="38" t="n">
        <v>70.1947238115749</v>
      </c>
      <c r="M326" s="38" t="n">
        <v>62.7290359409878</v>
      </c>
      <c r="N326" s="38" t="n">
        <v>0</v>
      </c>
    </row>
    <row r="327" customFormat="false" ht="15" hidden="false" customHeight="false" outlineLevel="0" collapsed="false">
      <c r="A327" s="37" t="s">
        <v>558</v>
      </c>
      <c r="B327" s="37" t="s">
        <v>106</v>
      </c>
      <c r="C327" s="37" t="s">
        <v>46</v>
      </c>
      <c r="D327" s="37" t="s">
        <v>47</v>
      </c>
      <c r="E327" s="38" t="n">
        <v>224.22205223061</v>
      </c>
      <c r="F327" s="38" t="n">
        <v>39.7047405720199</v>
      </c>
      <c r="G327" s="38" t="n">
        <v>16.5734239969704</v>
      </c>
      <c r="H327" s="38" t="n">
        <v>27.8902650721573</v>
      </c>
      <c r="I327" s="38" t="n">
        <v>252.056531915338</v>
      </c>
      <c r="J327" s="38" t="n">
        <v>58.8065319153382</v>
      </c>
      <c r="K327" s="38" t="n">
        <v>136.394386450595</v>
      </c>
      <c r="L327" s="38" t="n">
        <v>76.6411223141154</v>
      </c>
      <c r="M327" s="38" t="n">
        <v>69.7417331206091</v>
      </c>
      <c r="N327" s="38" t="n">
        <v>0</v>
      </c>
    </row>
    <row r="328" customFormat="false" ht="15" hidden="false" customHeight="false" outlineLevel="0" collapsed="false">
      <c r="A328" s="37" t="s">
        <v>558</v>
      </c>
      <c r="B328" s="37" t="s">
        <v>106</v>
      </c>
      <c r="C328" s="37" t="s">
        <v>51</v>
      </c>
      <c r="D328" s="37" t="s">
        <v>51</v>
      </c>
      <c r="E328" s="38" t="n">
        <v>226.944437250728</v>
      </c>
      <c r="F328" s="38" t="n">
        <v>50.7183852592465</v>
      </c>
      <c r="G328" s="38" t="n">
        <v>16.5734239969704</v>
      </c>
      <c r="H328" s="38" t="n">
        <v>17.8765692783715</v>
      </c>
      <c r="I328" s="38" t="n">
        <v>274.013550806332</v>
      </c>
      <c r="J328" s="38" t="n">
        <v>77.3398501714543</v>
      </c>
      <c r="K328" s="38" t="n">
        <v>146.788894054367</v>
      </c>
      <c r="L328" s="38" t="n">
        <v>77.3461082136926</v>
      </c>
      <c r="M328" s="38" t="n">
        <v>73.8632193661494</v>
      </c>
      <c r="N328" s="38" t="n">
        <v>0</v>
      </c>
    </row>
    <row r="329" customFormat="false" ht="15" hidden="false" customHeight="false" outlineLevel="0" collapsed="false">
      <c r="A329" s="37" t="s">
        <v>558</v>
      </c>
      <c r="B329" s="37" t="s">
        <v>106</v>
      </c>
      <c r="C329" s="37" t="s">
        <v>55</v>
      </c>
      <c r="D329" s="37" t="s">
        <v>37</v>
      </c>
      <c r="E329" s="38" t="n">
        <v>204.50202824802</v>
      </c>
      <c r="F329" s="38" t="n">
        <v>39.3110132195095</v>
      </c>
      <c r="G329" s="38" t="n">
        <v>16.5516814605059</v>
      </c>
      <c r="H329" s="38" t="n">
        <v>4.78960818182069</v>
      </c>
      <c r="I329" s="38" t="n">
        <v>260.209344970225</v>
      </c>
      <c r="J329" s="38" t="n">
        <v>59.5355978225968</v>
      </c>
      <c r="K329" s="38" t="n">
        <v>108.677965491123</v>
      </c>
      <c r="L329" s="38" t="n">
        <v>62.0886778318245</v>
      </c>
      <c r="M329" s="38" t="n">
        <v>58.4275696775437</v>
      </c>
      <c r="N329" s="38" t="n">
        <v>0</v>
      </c>
    </row>
    <row r="330" customFormat="false" ht="15" hidden="false" customHeight="false" outlineLevel="0" collapsed="false">
      <c r="A330" s="37" t="s">
        <v>558</v>
      </c>
      <c r="B330" s="37" t="s">
        <v>106</v>
      </c>
      <c r="C330" s="37" t="s">
        <v>59</v>
      </c>
      <c r="D330" s="37" t="s">
        <v>42</v>
      </c>
      <c r="E330" s="38" t="n">
        <v>211.12013562798</v>
      </c>
      <c r="F330" s="38" t="n">
        <v>69.2484602679333</v>
      </c>
      <c r="G330" s="38" t="n">
        <v>16.533341721966</v>
      </c>
      <c r="H330" s="38" t="n">
        <v>4.71894151401479</v>
      </c>
      <c r="I330" s="38" t="n">
        <v>240.676124103064</v>
      </c>
      <c r="J330" s="38" t="n">
        <v>86.5208331397031</v>
      </c>
      <c r="K330" s="38" t="n">
        <v>113.148472586799</v>
      </c>
      <c r="L330" s="38" t="n">
        <v>62.4025685627063</v>
      </c>
      <c r="M330" s="38" t="n">
        <v>56.9894823306077</v>
      </c>
      <c r="N330" s="38" t="n">
        <v>0</v>
      </c>
    </row>
    <row r="331" customFormat="false" ht="15" hidden="false" customHeight="false" outlineLevel="0" collapsed="false">
      <c r="A331" s="37" t="s">
        <v>558</v>
      </c>
      <c r="B331" s="37" t="s">
        <v>106</v>
      </c>
      <c r="C331" s="37" t="s">
        <v>63</v>
      </c>
      <c r="D331" s="37" t="s">
        <v>47</v>
      </c>
      <c r="E331" s="38" t="n">
        <v>210.31740380406</v>
      </c>
      <c r="F331" s="38" t="n">
        <v>39.9663549748141</v>
      </c>
      <c r="G331" s="38" t="n">
        <v>16.5563372938411</v>
      </c>
      <c r="H331" s="38" t="n">
        <v>27.3497315928718</v>
      </c>
      <c r="I331" s="38" t="n">
        <v>231.812615262469</v>
      </c>
      <c r="J331" s="38" t="n">
        <v>33.7461576348927</v>
      </c>
      <c r="K331" s="38" t="n">
        <v>108.858294753264</v>
      </c>
      <c r="L331" s="38" t="n">
        <v>64.293511195237</v>
      </c>
      <c r="M331" s="38" t="n">
        <v>59.5215965504714</v>
      </c>
      <c r="N331" s="38" t="n">
        <v>0</v>
      </c>
    </row>
    <row r="332" customFormat="false" ht="15" hidden="false" customHeight="false" outlineLevel="0" collapsed="false">
      <c r="A332" s="37" t="s">
        <v>558</v>
      </c>
      <c r="B332" s="37" t="s">
        <v>106</v>
      </c>
      <c r="C332" s="37" t="s">
        <v>67</v>
      </c>
      <c r="D332" s="37" t="s">
        <v>68</v>
      </c>
      <c r="E332" s="38" t="n">
        <v>202.007621844576</v>
      </c>
      <c r="F332" s="38" t="n">
        <v>40.8537408263307</v>
      </c>
      <c r="G332" s="38" t="n">
        <v>18.5117199034995</v>
      </c>
      <c r="H332" s="38" t="n">
        <v>4.99119857494195</v>
      </c>
      <c r="I332" s="38" t="n">
        <v>222.234993777345</v>
      </c>
      <c r="J332" s="38" t="n">
        <v>30.7349937773448</v>
      </c>
      <c r="K332" s="38" t="n">
        <v>115.874698928038</v>
      </c>
      <c r="L332" s="38" t="n">
        <v>67.6733265586942</v>
      </c>
      <c r="M332" s="38" t="n">
        <v>61.4646644576428</v>
      </c>
      <c r="N332" s="38" t="n">
        <v>0</v>
      </c>
    </row>
    <row r="333" customFormat="false" ht="15" hidden="false" customHeight="false" outlineLevel="0" collapsed="false">
      <c r="A333" s="37" t="s">
        <v>558</v>
      </c>
      <c r="B333" s="37" t="s">
        <v>106</v>
      </c>
      <c r="C333" s="37" t="s">
        <v>72</v>
      </c>
      <c r="D333" s="37" t="s">
        <v>73</v>
      </c>
      <c r="E333" s="38" t="n">
        <v>197.251629155021</v>
      </c>
      <c r="F333" s="38" t="n">
        <v>43.1643344978517</v>
      </c>
      <c r="G333" s="38" t="n">
        <v>16.5734239969704</v>
      </c>
      <c r="H333" s="38" t="n">
        <v>8.59717676368948</v>
      </c>
      <c r="I333" s="38" t="n">
        <v>227.010423560005</v>
      </c>
      <c r="J333" s="38" t="n">
        <v>190.638439433021</v>
      </c>
      <c r="K333" s="38" t="n">
        <v>104.045458518683</v>
      </c>
      <c r="L333" s="38" t="n">
        <v>64.8693777875632</v>
      </c>
      <c r="M333" s="38" t="n">
        <v>56.2211224785709</v>
      </c>
      <c r="N333" s="38" t="n">
        <v>0</v>
      </c>
    </row>
    <row r="334" customFormat="false" ht="15" hidden="false" customHeight="false" outlineLevel="0" collapsed="false">
      <c r="A334" s="37" t="s">
        <v>558</v>
      </c>
      <c r="B334" s="37" t="s">
        <v>106</v>
      </c>
      <c r="C334" s="37" t="s">
        <v>77</v>
      </c>
      <c r="D334" s="37" t="s">
        <v>78</v>
      </c>
      <c r="E334" s="38" t="n">
        <v>234.674250788492</v>
      </c>
      <c r="F334" s="38" t="n">
        <v>58.4673967315692</v>
      </c>
      <c r="G334" s="38" t="n">
        <v>17.1361210044011</v>
      </c>
      <c r="H334" s="38" t="n">
        <v>17.2192204389607</v>
      </c>
      <c r="I334" s="38" t="n">
        <v>267.240348056849</v>
      </c>
      <c r="J334" s="38" t="n">
        <v>85.9017010876791</v>
      </c>
      <c r="K334" s="38" t="n">
        <v>152.143554429677</v>
      </c>
      <c r="L334" s="38" t="n">
        <v>81.4301884750996</v>
      </c>
      <c r="M334" s="38" t="n">
        <v>77.8870306921911</v>
      </c>
      <c r="N334" s="38" t="n">
        <v>0</v>
      </c>
    </row>
    <row r="335" customFormat="false" ht="15" hidden="false" customHeight="false" outlineLevel="0" collapsed="false">
      <c r="A335" s="37" t="s">
        <v>558</v>
      </c>
      <c r="B335" s="37" t="s">
        <v>112</v>
      </c>
      <c r="C335" s="37" t="s">
        <v>36</v>
      </c>
      <c r="D335" s="37" t="s">
        <v>37</v>
      </c>
      <c r="E335" s="38" t="n">
        <v>212.995045311864</v>
      </c>
      <c r="F335" s="38" t="n">
        <v>38.7081017775865</v>
      </c>
      <c r="G335" s="38" t="n">
        <v>16.553706130764</v>
      </c>
      <c r="H335" s="38" t="n">
        <v>5.95812839283022</v>
      </c>
      <c r="I335" s="38" t="n">
        <v>254.900709373295</v>
      </c>
      <c r="J335" s="38" t="n">
        <v>51.6108187807963</v>
      </c>
      <c r="K335" s="38" t="n">
        <v>114.560921366385</v>
      </c>
      <c r="L335" s="38" t="n">
        <v>69.6610111555327</v>
      </c>
      <c r="M335" s="38" t="n">
        <v>63.9115625510316</v>
      </c>
      <c r="N335" s="38" t="n">
        <v>0</v>
      </c>
    </row>
    <row r="336" customFormat="false" ht="15" hidden="false" customHeight="false" outlineLevel="0" collapsed="false">
      <c r="A336" s="37" t="s">
        <v>558</v>
      </c>
      <c r="B336" s="37" t="s">
        <v>112</v>
      </c>
      <c r="C336" s="37" t="s">
        <v>41</v>
      </c>
      <c r="D336" s="37" t="s">
        <v>42</v>
      </c>
      <c r="E336" s="38" t="n">
        <v>213.920659334696</v>
      </c>
      <c r="F336" s="38" t="n">
        <v>64.5994430195407</v>
      </c>
      <c r="G336" s="38" t="n">
        <v>16.5495688002177</v>
      </c>
      <c r="H336" s="38" t="n">
        <v>5.88788469386727</v>
      </c>
      <c r="I336" s="38" t="n">
        <v>238.183778403389</v>
      </c>
      <c r="J336" s="38" t="n">
        <v>79.5366193594026</v>
      </c>
      <c r="K336" s="38" t="n">
        <v>114.853006308348</v>
      </c>
      <c r="L336" s="38" t="n">
        <v>69.0875650467447</v>
      </c>
      <c r="M336" s="38" t="n">
        <v>61.8640034361064</v>
      </c>
      <c r="N336" s="38" t="n">
        <v>0</v>
      </c>
    </row>
    <row r="337" customFormat="false" ht="15" hidden="false" customHeight="false" outlineLevel="0" collapsed="false">
      <c r="A337" s="37" t="s">
        <v>558</v>
      </c>
      <c r="B337" s="37" t="s">
        <v>112</v>
      </c>
      <c r="C337" s="37" t="s">
        <v>46</v>
      </c>
      <c r="D337" s="37" t="s">
        <v>47</v>
      </c>
      <c r="E337" s="38" t="n">
        <v>235.968981227468</v>
      </c>
      <c r="F337" s="38" t="n">
        <v>38.6353637674438</v>
      </c>
      <c r="G337" s="38" t="n">
        <v>16.5734239969704</v>
      </c>
      <c r="H337" s="38" t="n">
        <v>40.7065708735917</v>
      </c>
      <c r="I337" s="38" t="n">
        <v>286.080582917208</v>
      </c>
      <c r="J337" s="38" t="n">
        <v>92.8305829172076</v>
      </c>
      <c r="K337" s="38" t="n">
        <v>146.99641744875</v>
      </c>
      <c r="L337" s="38" t="n">
        <v>81.0025499632014</v>
      </c>
      <c r="M337" s="38" t="n">
        <v>73.2626462683401</v>
      </c>
      <c r="N337" s="38" t="n">
        <v>0</v>
      </c>
    </row>
    <row r="338" customFormat="false" ht="15" hidden="false" customHeight="false" outlineLevel="0" collapsed="false">
      <c r="A338" s="37" t="s">
        <v>558</v>
      </c>
      <c r="B338" s="37" t="s">
        <v>112</v>
      </c>
      <c r="C338" s="37" t="s">
        <v>51</v>
      </c>
      <c r="D338" s="37" t="s">
        <v>51</v>
      </c>
      <c r="E338" s="38" t="n">
        <v>232.90966458057</v>
      </c>
      <c r="F338" s="38" t="n">
        <v>48.0809511691174</v>
      </c>
      <c r="G338" s="38" t="n">
        <v>16.5734239969704</v>
      </c>
      <c r="H338" s="38" t="n">
        <v>26.4792306983426</v>
      </c>
      <c r="I338" s="38" t="n">
        <v>291.984993130232</v>
      </c>
      <c r="J338" s="38" t="n">
        <v>95.3112924953552</v>
      </c>
      <c r="K338" s="38" t="n">
        <v>152.268835809772</v>
      </c>
      <c r="L338" s="38" t="n">
        <v>79.4971719153305</v>
      </c>
      <c r="M338" s="38" t="n">
        <v>76.1986745726289</v>
      </c>
      <c r="N338" s="38" t="n">
        <v>0</v>
      </c>
    </row>
    <row r="339" customFormat="false" ht="15" hidden="false" customHeight="false" outlineLevel="0" collapsed="false">
      <c r="A339" s="37" t="s">
        <v>558</v>
      </c>
      <c r="B339" s="37" t="s">
        <v>112</v>
      </c>
      <c r="C339" s="37" t="s">
        <v>55</v>
      </c>
      <c r="D339" s="37" t="s">
        <v>37</v>
      </c>
      <c r="E339" s="38" t="n">
        <v>204.447417302242</v>
      </c>
      <c r="F339" s="38" t="n">
        <v>38.4022590242099</v>
      </c>
      <c r="G339" s="38" t="n">
        <v>16.5516867843386</v>
      </c>
      <c r="H339" s="38" t="n">
        <v>5.64209299144803</v>
      </c>
      <c r="I339" s="38" t="n">
        <v>261.960257489906</v>
      </c>
      <c r="J339" s="38" t="n">
        <v>61.2894918600717</v>
      </c>
      <c r="K339" s="38" t="n">
        <v>108.192091891131</v>
      </c>
      <c r="L339" s="38" t="n">
        <v>62.0752383629017</v>
      </c>
      <c r="M339" s="38" t="n">
        <v>58.2964554085157</v>
      </c>
      <c r="N339" s="38" t="n">
        <v>0</v>
      </c>
    </row>
    <row r="340" customFormat="false" ht="15" hidden="false" customHeight="false" outlineLevel="0" collapsed="false">
      <c r="A340" s="37" t="s">
        <v>558</v>
      </c>
      <c r="B340" s="37" t="s">
        <v>112</v>
      </c>
      <c r="C340" s="37" t="s">
        <v>59</v>
      </c>
      <c r="D340" s="37" t="s">
        <v>42</v>
      </c>
      <c r="E340" s="38" t="n">
        <v>207.381145200277</v>
      </c>
      <c r="F340" s="38" t="n">
        <v>64.6907330835017</v>
      </c>
      <c r="G340" s="38" t="n">
        <v>16.533149207614</v>
      </c>
      <c r="H340" s="38" t="n">
        <v>5.54833681410179</v>
      </c>
      <c r="I340" s="38" t="n">
        <v>238.396010340615</v>
      </c>
      <c r="J340" s="38" t="n">
        <v>39.2349666185517</v>
      </c>
      <c r="K340" s="38" t="n">
        <v>110.694129974607</v>
      </c>
      <c r="L340" s="38" t="n">
        <v>58.1241387036662</v>
      </c>
      <c r="M340" s="38" t="n">
        <v>55.4605344690238</v>
      </c>
      <c r="N340" s="38" t="n">
        <v>0</v>
      </c>
    </row>
    <row r="341" customFormat="false" ht="15" hidden="false" customHeight="false" outlineLevel="0" collapsed="false">
      <c r="A341" s="37" t="s">
        <v>558</v>
      </c>
      <c r="B341" s="37" t="s">
        <v>112</v>
      </c>
      <c r="C341" s="37" t="s">
        <v>63</v>
      </c>
      <c r="D341" s="37" t="s">
        <v>47</v>
      </c>
      <c r="E341" s="38" t="n">
        <v>222.235192140746</v>
      </c>
      <c r="F341" s="38" t="n">
        <v>38.9505213339148</v>
      </c>
      <c r="G341" s="38" t="n">
        <v>16.5565412367666</v>
      </c>
      <c r="H341" s="38" t="n">
        <v>40.2325651962857</v>
      </c>
      <c r="I341" s="38" t="n">
        <v>266.656279872439</v>
      </c>
      <c r="J341" s="38" t="n">
        <v>68.7040254662638</v>
      </c>
      <c r="K341" s="38" t="n">
        <v>125.880151955703</v>
      </c>
      <c r="L341" s="38" t="n">
        <v>69.8022202635314</v>
      </c>
      <c r="M341" s="38" t="n">
        <v>65.7687288687233</v>
      </c>
      <c r="N341" s="38" t="n">
        <v>0</v>
      </c>
    </row>
    <row r="342" customFormat="false" ht="15" hidden="false" customHeight="false" outlineLevel="0" collapsed="false">
      <c r="A342" s="37" t="s">
        <v>558</v>
      </c>
      <c r="B342" s="37" t="s">
        <v>112</v>
      </c>
      <c r="C342" s="37" t="s">
        <v>67</v>
      </c>
      <c r="D342" s="37" t="s">
        <v>68</v>
      </c>
      <c r="E342" s="38" t="n">
        <v>201.891707896953</v>
      </c>
      <c r="F342" s="38" t="n">
        <v>39.8284394265069</v>
      </c>
      <c r="G342" s="38" t="n">
        <v>18.5119857986405</v>
      </c>
      <c r="H342" s="38" t="n">
        <v>5.90016312269727</v>
      </c>
      <c r="I342" s="38" t="n">
        <v>224.123222110022</v>
      </c>
      <c r="J342" s="38" t="n">
        <v>32.6232221100223</v>
      </c>
      <c r="K342" s="38" t="n">
        <v>116.918508247185</v>
      </c>
      <c r="L342" s="38" t="n">
        <v>67.6440808932003</v>
      </c>
      <c r="M342" s="38" t="n">
        <v>61.7524813720682</v>
      </c>
      <c r="N342" s="38" t="n">
        <v>0</v>
      </c>
    </row>
    <row r="343" customFormat="false" ht="15" hidden="false" customHeight="false" outlineLevel="0" collapsed="false">
      <c r="A343" s="37" t="s">
        <v>558</v>
      </c>
      <c r="B343" s="37" t="s">
        <v>112</v>
      </c>
      <c r="C343" s="37" t="s">
        <v>72</v>
      </c>
      <c r="D343" s="37" t="s">
        <v>73</v>
      </c>
      <c r="E343" s="38" t="n">
        <v>198.955272110121</v>
      </c>
      <c r="F343" s="38" t="n">
        <v>41.658320171069</v>
      </c>
      <c r="G343" s="38" t="n">
        <v>16.5734239969704</v>
      </c>
      <c r="H343" s="38" t="n">
        <v>11.8068340455719</v>
      </c>
      <c r="I343" s="38" t="n">
        <v>232.986178622803</v>
      </c>
      <c r="J343" s="38" t="n">
        <v>196.614194495819</v>
      </c>
      <c r="K343" s="38" t="n">
        <v>106.166167730705</v>
      </c>
      <c r="L343" s="38" t="n">
        <v>65.3002829810701</v>
      </c>
      <c r="M343" s="38" t="n">
        <v>57.0120583861235</v>
      </c>
      <c r="N343" s="38" t="n">
        <v>0</v>
      </c>
    </row>
    <row r="344" customFormat="false" ht="15" hidden="false" customHeight="false" outlineLevel="0" collapsed="false">
      <c r="A344" s="37" t="s">
        <v>558</v>
      </c>
      <c r="B344" s="37" t="s">
        <v>112</v>
      </c>
      <c r="C344" s="37" t="s">
        <v>77</v>
      </c>
      <c r="D344" s="37" t="s">
        <v>78</v>
      </c>
      <c r="E344" s="38" t="n">
        <v>240.392605579435</v>
      </c>
      <c r="F344" s="38" t="n">
        <v>55.9150833594723</v>
      </c>
      <c r="G344" s="38" t="n">
        <v>17.1360246888221</v>
      </c>
      <c r="H344" s="38" t="n">
        <v>25.4928210658444</v>
      </c>
      <c r="I344" s="38" t="n">
        <v>283.129052336621</v>
      </c>
      <c r="J344" s="38" t="n">
        <v>101.753876412083</v>
      </c>
      <c r="K344" s="38" t="n">
        <v>157.855710682082</v>
      </c>
      <c r="L344" s="38" t="n">
        <v>82.6833867834117</v>
      </c>
      <c r="M344" s="38" t="n">
        <v>80.0200139913799</v>
      </c>
      <c r="N344" s="38" t="n">
        <v>0</v>
      </c>
    </row>
    <row r="345" customFormat="false" ht="15" hidden="false" customHeight="false" outlineLevel="0" collapsed="false">
      <c r="A345" s="37" t="s">
        <v>558</v>
      </c>
      <c r="B345" s="37" t="s">
        <v>118</v>
      </c>
      <c r="C345" s="37" t="s">
        <v>36</v>
      </c>
      <c r="D345" s="37" t="s">
        <v>37</v>
      </c>
      <c r="E345" s="38" t="n">
        <v>228.371106218012</v>
      </c>
      <c r="F345" s="38" t="n">
        <v>38.7487721291758</v>
      </c>
      <c r="G345" s="38" t="n">
        <v>16.5536845260846</v>
      </c>
      <c r="H345" s="38" t="n">
        <v>4.11673053715598</v>
      </c>
      <c r="I345" s="38" t="n">
        <v>289.113001216576</v>
      </c>
      <c r="J345" s="38" t="n">
        <v>85.8110118179589</v>
      </c>
      <c r="K345" s="38" t="n">
        <v>129.741761678541</v>
      </c>
      <c r="L345" s="38" t="n">
        <v>73.8334197820688</v>
      </c>
      <c r="M345" s="38" t="n">
        <v>70.2307316965791</v>
      </c>
      <c r="N345" s="38" t="n">
        <v>0</v>
      </c>
    </row>
    <row r="346" customFormat="false" ht="15" hidden="false" customHeight="false" outlineLevel="0" collapsed="false">
      <c r="A346" s="37" t="s">
        <v>558</v>
      </c>
      <c r="B346" s="37" t="s">
        <v>118</v>
      </c>
      <c r="C346" s="37" t="s">
        <v>41</v>
      </c>
      <c r="D346" s="37" t="s">
        <v>42</v>
      </c>
      <c r="E346" s="38" t="n">
        <v>227.249771381808</v>
      </c>
      <c r="F346" s="38" t="n">
        <v>66.0873196874092</v>
      </c>
      <c r="G346" s="38" t="n">
        <v>16.5528141770557</v>
      </c>
      <c r="H346" s="38" t="n">
        <v>4.0926043540866</v>
      </c>
      <c r="I346" s="38" t="n">
        <v>250.605308455155</v>
      </c>
      <c r="J346" s="38" t="n">
        <v>38.3536961809007</v>
      </c>
      <c r="K346" s="38" t="n">
        <v>125.108141336443</v>
      </c>
      <c r="L346" s="38" t="n">
        <v>73.5834459441129</v>
      </c>
      <c r="M346" s="38" t="n">
        <v>67.319378261427</v>
      </c>
      <c r="N346" s="38" t="n">
        <v>0</v>
      </c>
    </row>
    <row r="347" customFormat="false" ht="15" hidden="false" customHeight="false" outlineLevel="0" collapsed="false">
      <c r="A347" s="37" t="s">
        <v>558</v>
      </c>
      <c r="B347" s="37" t="s">
        <v>118</v>
      </c>
      <c r="C347" s="37" t="s">
        <v>46</v>
      </c>
      <c r="D347" s="37" t="s">
        <v>47</v>
      </c>
      <c r="E347" s="38" t="n">
        <v>222.662186786356</v>
      </c>
      <c r="F347" s="38" t="n">
        <v>38.39021780004</v>
      </c>
      <c r="G347" s="38" t="n">
        <v>16.5734239969704</v>
      </c>
      <c r="H347" s="38" t="n">
        <v>16.9006082148153</v>
      </c>
      <c r="I347" s="38" t="n">
        <v>248.564069906198</v>
      </c>
      <c r="J347" s="38" t="n">
        <v>55.3140699061979</v>
      </c>
      <c r="K347" s="38" t="n">
        <v>132.905997023625</v>
      </c>
      <c r="L347" s="38" t="n">
        <v>75.1782770275162</v>
      </c>
      <c r="M347" s="38" t="n">
        <v>69.6465978231017</v>
      </c>
      <c r="N347" s="38" t="n">
        <v>0</v>
      </c>
    </row>
    <row r="348" customFormat="false" ht="15" hidden="false" customHeight="false" outlineLevel="0" collapsed="false">
      <c r="A348" s="37" t="s">
        <v>558</v>
      </c>
      <c r="B348" s="37" t="s">
        <v>118</v>
      </c>
      <c r="C348" s="37" t="s">
        <v>51</v>
      </c>
      <c r="D348" s="37" t="s">
        <v>51</v>
      </c>
      <c r="E348" s="38" t="n">
        <v>230.609408792551</v>
      </c>
      <c r="F348" s="38" t="n">
        <v>47.8646319282437</v>
      </c>
      <c r="G348" s="38" t="n">
        <v>16.5734239969704</v>
      </c>
      <c r="H348" s="38" t="n">
        <v>11.3070619880399</v>
      </c>
      <c r="I348" s="38" t="n">
        <v>287.610443190226</v>
      </c>
      <c r="J348" s="38" t="n">
        <v>90.9367425553491</v>
      </c>
      <c r="K348" s="38" t="n">
        <v>147.698864484537</v>
      </c>
      <c r="L348" s="38" t="n">
        <v>77.6429411749429</v>
      </c>
      <c r="M348" s="38" t="n">
        <v>75.1326837902156</v>
      </c>
      <c r="N348" s="38" t="n">
        <v>0</v>
      </c>
    </row>
    <row r="349" customFormat="false" ht="15" hidden="false" customHeight="false" outlineLevel="0" collapsed="false">
      <c r="A349" s="37" t="s">
        <v>558</v>
      </c>
      <c r="B349" s="37" t="s">
        <v>118</v>
      </c>
      <c r="C349" s="37" t="s">
        <v>55</v>
      </c>
      <c r="D349" s="37" t="s">
        <v>37</v>
      </c>
      <c r="E349" s="38" t="n">
        <v>219.292659582828</v>
      </c>
      <c r="F349" s="38" t="n">
        <v>38.4464517359207</v>
      </c>
      <c r="G349" s="38" t="n">
        <v>16.5521141142207</v>
      </c>
      <c r="H349" s="38" t="n">
        <v>3.94328429515778</v>
      </c>
      <c r="I349" s="38" t="n">
        <v>296.48657903087</v>
      </c>
      <c r="J349" s="38" t="n">
        <v>96.0551308136915</v>
      </c>
      <c r="K349" s="38" t="n">
        <v>123.401654458419</v>
      </c>
      <c r="L349" s="38" t="n">
        <v>67.443970140687</v>
      </c>
      <c r="M349" s="38" t="n">
        <v>64.991952226609</v>
      </c>
      <c r="N349" s="38" t="n">
        <v>0</v>
      </c>
    </row>
    <row r="350" customFormat="false" ht="15" hidden="false" customHeight="false" outlineLevel="0" collapsed="false">
      <c r="A350" s="37" t="s">
        <v>558</v>
      </c>
      <c r="B350" s="37" t="s">
        <v>118</v>
      </c>
      <c r="C350" s="37" t="s">
        <v>59</v>
      </c>
      <c r="D350" s="37" t="s">
        <v>42</v>
      </c>
      <c r="E350" s="38" t="n">
        <v>224.650229413357</v>
      </c>
      <c r="F350" s="38" t="n">
        <v>70.7319830555274</v>
      </c>
      <c r="G350" s="38" t="n">
        <v>16.551386498349</v>
      </c>
      <c r="H350" s="38" t="n">
        <v>3.92161486652116</v>
      </c>
      <c r="I350" s="38" t="n">
        <v>258.737019852099</v>
      </c>
      <c r="J350" s="38" t="n">
        <v>48.9887971081395</v>
      </c>
      <c r="K350" s="38" t="n">
        <v>126.188842028149</v>
      </c>
      <c r="L350" s="38" t="n">
        <v>69.8559904385652</v>
      </c>
      <c r="M350" s="38" t="n">
        <v>64.2449881530989</v>
      </c>
      <c r="N350" s="38" t="n">
        <v>0</v>
      </c>
    </row>
    <row r="351" customFormat="false" ht="15" hidden="false" customHeight="false" outlineLevel="0" collapsed="false">
      <c r="A351" s="37" t="s">
        <v>558</v>
      </c>
      <c r="B351" s="37" t="s">
        <v>118</v>
      </c>
      <c r="C351" s="37" t="s">
        <v>63</v>
      </c>
      <c r="D351" s="37" t="s">
        <v>47</v>
      </c>
      <c r="E351" s="38" t="n">
        <v>208.470193784352</v>
      </c>
      <c r="F351" s="38" t="n">
        <v>38.7031719175318</v>
      </c>
      <c r="G351" s="38" t="n">
        <v>16.556417940179</v>
      </c>
      <c r="H351" s="38" t="n">
        <v>16.4613048215322</v>
      </c>
      <c r="I351" s="38" t="n">
        <v>228.046000929373</v>
      </c>
      <c r="J351" s="38" t="n">
        <v>37.5247034046214</v>
      </c>
      <c r="K351" s="38" t="n">
        <v>107.799237325513</v>
      </c>
      <c r="L351" s="38" t="n">
        <v>59.5819230890361</v>
      </c>
      <c r="M351" s="38" t="n">
        <v>59.3192692343838</v>
      </c>
      <c r="N351" s="38" t="n">
        <v>0</v>
      </c>
    </row>
    <row r="352" customFormat="false" ht="15" hidden="false" customHeight="false" outlineLevel="0" collapsed="false">
      <c r="A352" s="37" t="s">
        <v>558</v>
      </c>
      <c r="B352" s="37" t="s">
        <v>118</v>
      </c>
      <c r="C352" s="37" t="s">
        <v>67</v>
      </c>
      <c r="D352" s="37" t="s">
        <v>68</v>
      </c>
      <c r="E352" s="38" t="n">
        <v>213.672535611028</v>
      </c>
      <c r="F352" s="38" t="n">
        <v>39.8697267722244</v>
      </c>
      <c r="G352" s="38" t="n">
        <v>18.5228199214922</v>
      </c>
      <c r="H352" s="38" t="n">
        <v>4.09069122026735</v>
      </c>
      <c r="I352" s="38" t="n">
        <v>251.854778188212</v>
      </c>
      <c r="J352" s="38" t="n">
        <v>60.3547781882119</v>
      </c>
      <c r="K352" s="38" t="n">
        <v>135.753377691637</v>
      </c>
      <c r="L352" s="38" t="n">
        <v>70.751336852249</v>
      </c>
      <c r="M352" s="38" t="n">
        <v>68.4078671141984</v>
      </c>
      <c r="N352" s="38" t="n">
        <v>0</v>
      </c>
    </row>
    <row r="353" customFormat="false" ht="15" hidden="false" customHeight="false" outlineLevel="0" collapsed="false">
      <c r="A353" s="37" t="s">
        <v>558</v>
      </c>
      <c r="B353" s="37" t="s">
        <v>118</v>
      </c>
      <c r="C353" s="37" t="s">
        <v>72</v>
      </c>
      <c r="D353" s="37" t="s">
        <v>73</v>
      </c>
      <c r="E353" s="38" t="n">
        <v>206.230277709166</v>
      </c>
      <c r="F353" s="38" t="n">
        <v>41.6872030921913</v>
      </c>
      <c r="G353" s="38" t="n">
        <v>16.5734239969704</v>
      </c>
      <c r="H353" s="38" t="n">
        <v>6.09477592139979</v>
      </c>
      <c r="I353" s="38" t="n">
        <v>253.754248809762</v>
      </c>
      <c r="J353" s="38" t="n">
        <v>217.382264682777</v>
      </c>
      <c r="K353" s="38" t="n">
        <v>112.209329129519</v>
      </c>
      <c r="L353" s="38" t="n">
        <v>66.4034783167646</v>
      </c>
      <c r="M353" s="38" t="n">
        <v>60.2177462799423</v>
      </c>
      <c r="N353" s="38" t="n">
        <v>0</v>
      </c>
    </row>
    <row r="354" customFormat="false" ht="15" hidden="false" customHeight="false" outlineLevel="0" collapsed="false">
      <c r="A354" s="37" t="s">
        <v>558</v>
      </c>
      <c r="B354" s="37" t="s">
        <v>118</v>
      </c>
      <c r="C354" s="37" t="s">
        <v>77</v>
      </c>
      <c r="D354" s="37" t="s">
        <v>78</v>
      </c>
      <c r="E354" s="38" t="n">
        <v>238.439269272269</v>
      </c>
      <c r="F354" s="38" t="n">
        <v>55.7536500249575</v>
      </c>
      <c r="G354" s="38" t="n">
        <v>17.136020969481</v>
      </c>
      <c r="H354" s="38" t="n">
        <v>10.9749054432259</v>
      </c>
      <c r="I354" s="38" t="n">
        <v>281.805131345952</v>
      </c>
      <c r="J354" s="38" t="n">
        <v>100.428545816285</v>
      </c>
      <c r="K354" s="38" t="n">
        <v>153.11234436255</v>
      </c>
      <c r="L354" s="38" t="n">
        <v>82.1351919510457</v>
      </c>
      <c r="M354" s="38" t="n">
        <v>78.3942310577085</v>
      </c>
      <c r="N354" s="38" t="n">
        <v>0</v>
      </c>
    </row>
    <row r="355" customFormat="false" ht="15" hidden="false" customHeight="false" outlineLevel="0" collapsed="false">
      <c r="A355" s="37" t="s">
        <v>558</v>
      </c>
      <c r="B355" s="37" t="s">
        <v>121</v>
      </c>
      <c r="C355" s="37" t="s">
        <v>36</v>
      </c>
      <c r="D355" s="37" t="s">
        <v>37</v>
      </c>
      <c r="E355" s="38" t="n">
        <v>208.157684855156</v>
      </c>
      <c r="F355" s="38" t="n">
        <v>38.3601908417261</v>
      </c>
      <c r="G355" s="38" t="n">
        <v>16.5119569823325</v>
      </c>
      <c r="H355" s="38" t="n">
        <v>4.88119944320263</v>
      </c>
      <c r="I355" s="38" t="n">
        <v>246.884727559206</v>
      </c>
      <c r="J355" s="38" t="n">
        <v>43.4863774862071</v>
      </c>
      <c r="K355" s="38" t="n">
        <v>107.879262810296</v>
      </c>
      <c r="L355" s="38" t="n">
        <v>66.8873253704344</v>
      </c>
      <c r="M355" s="38" t="n">
        <v>61.1865556665106</v>
      </c>
      <c r="N355" s="38" t="n">
        <v>0</v>
      </c>
    </row>
    <row r="356" customFormat="false" ht="15" hidden="false" customHeight="false" outlineLevel="0" collapsed="false">
      <c r="A356" s="37" t="s">
        <v>558</v>
      </c>
      <c r="B356" s="37" t="s">
        <v>121</v>
      </c>
      <c r="C356" s="37" t="s">
        <v>41</v>
      </c>
      <c r="D356" s="37" t="s">
        <v>42</v>
      </c>
      <c r="E356" s="38" t="n">
        <v>209.538599128723</v>
      </c>
      <c r="F356" s="38" t="n">
        <v>63.9628231725277</v>
      </c>
      <c r="G356" s="38" t="n">
        <v>16.5080310690242</v>
      </c>
      <c r="H356" s="38" t="n">
        <v>4.82791729131922</v>
      </c>
      <c r="I356" s="38" t="n">
        <v>230.950137960653</v>
      </c>
      <c r="J356" s="38" t="n">
        <v>72.3004167933281</v>
      </c>
      <c r="K356" s="38" t="n">
        <v>108.938342012169</v>
      </c>
      <c r="L356" s="38" t="n">
        <v>67.7549288935904</v>
      </c>
      <c r="M356" s="38" t="n">
        <v>59.5187992424978</v>
      </c>
      <c r="N356" s="38" t="n">
        <v>0</v>
      </c>
    </row>
    <row r="357" customFormat="false" ht="15" hidden="false" customHeight="false" outlineLevel="0" collapsed="false">
      <c r="A357" s="37" t="s">
        <v>558</v>
      </c>
      <c r="B357" s="37" t="s">
        <v>121</v>
      </c>
      <c r="C357" s="37" t="s">
        <v>46</v>
      </c>
      <c r="D357" s="37" t="s">
        <v>47</v>
      </c>
      <c r="E357" s="38" t="n">
        <v>217.874806825093</v>
      </c>
      <c r="F357" s="38" t="n">
        <v>38.2141887715451</v>
      </c>
      <c r="G357" s="38" t="n">
        <v>16.5317351422495</v>
      </c>
      <c r="H357" s="38" t="n">
        <v>25.9575383328604</v>
      </c>
      <c r="I357" s="38" t="n">
        <v>243.195134849421</v>
      </c>
      <c r="J357" s="38" t="n">
        <v>49.9451348494208</v>
      </c>
      <c r="K357" s="38" t="n">
        <v>127.7663231308</v>
      </c>
      <c r="L357" s="38" t="n">
        <v>74.539060602269</v>
      </c>
      <c r="M357" s="38" t="n">
        <v>66.4528988792958</v>
      </c>
      <c r="N357" s="38" t="n">
        <v>0</v>
      </c>
    </row>
    <row r="358" customFormat="false" ht="15" hidden="false" customHeight="false" outlineLevel="0" collapsed="false">
      <c r="A358" s="37" t="s">
        <v>558</v>
      </c>
      <c r="B358" s="37" t="s">
        <v>121</v>
      </c>
      <c r="C358" s="37" t="s">
        <v>51</v>
      </c>
      <c r="D358" s="37" t="s">
        <v>51</v>
      </c>
      <c r="E358" s="38" t="n">
        <v>219.465381182738</v>
      </c>
      <c r="F358" s="38" t="n">
        <v>47.4893891822967</v>
      </c>
      <c r="G358" s="38" t="n">
        <v>16.5317351422495</v>
      </c>
      <c r="H358" s="38" t="n">
        <v>16.6003699503618</v>
      </c>
      <c r="I358" s="38" t="n">
        <v>264.480090107216</v>
      </c>
      <c r="J358" s="38" t="n">
        <v>67.8063894723388</v>
      </c>
      <c r="K358" s="38" t="n">
        <v>136.505398674067</v>
      </c>
      <c r="L358" s="38" t="n">
        <v>74.9182775056343</v>
      </c>
      <c r="M358" s="38" t="n">
        <v>70.0415957128993</v>
      </c>
      <c r="N358" s="38" t="n">
        <v>0</v>
      </c>
    </row>
    <row r="359" customFormat="false" ht="15" hidden="false" customHeight="false" outlineLevel="0" collapsed="false">
      <c r="A359" s="37" t="s">
        <v>558</v>
      </c>
      <c r="B359" s="37" t="s">
        <v>121</v>
      </c>
      <c r="C359" s="37" t="s">
        <v>55</v>
      </c>
      <c r="D359" s="37" t="s">
        <v>37</v>
      </c>
      <c r="E359" s="38" t="n">
        <v>199.915994805465</v>
      </c>
      <c r="F359" s="38" t="n">
        <v>38.057847364885</v>
      </c>
      <c r="G359" s="38" t="n">
        <v>16.509951967053</v>
      </c>
      <c r="H359" s="38" t="n">
        <v>4.65397394027493</v>
      </c>
      <c r="I359" s="38" t="n">
        <v>254.260176664322</v>
      </c>
      <c r="J359" s="38" t="n">
        <v>53.4813987618301</v>
      </c>
      <c r="K359" s="38" t="n">
        <v>101.663410240524</v>
      </c>
      <c r="L359" s="38" t="n">
        <v>60.698657494747</v>
      </c>
      <c r="M359" s="38" t="n">
        <v>55.6491269899281</v>
      </c>
      <c r="N359" s="38" t="n">
        <v>0</v>
      </c>
    </row>
    <row r="360" customFormat="false" ht="15" hidden="false" customHeight="false" outlineLevel="0" collapsed="false">
      <c r="A360" s="37" t="s">
        <v>558</v>
      </c>
      <c r="B360" s="37" t="s">
        <v>121</v>
      </c>
      <c r="C360" s="37" t="s">
        <v>59</v>
      </c>
      <c r="D360" s="37" t="s">
        <v>42</v>
      </c>
      <c r="E360" s="38" t="n">
        <v>203.222909711069</v>
      </c>
      <c r="F360" s="38" t="n">
        <v>64.0553216940842</v>
      </c>
      <c r="G360" s="38" t="n">
        <v>16.491715905522</v>
      </c>
      <c r="H360" s="38" t="n">
        <v>4.58873400190192</v>
      </c>
      <c r="I360" s="38" t="n">
        <v>231.572000395375</v>
      </c>
      <c r="J360" s="38" t="n">
        <v>32.4107034322496</v>
      </c>
      <c r="K360" s="38" t="n">
        <v>99.097649319204</v>
      </c>
      <c r="L360" s="38" t="n">
        <v>56.9174792138439</v>
      </c>
      <c r="M360" s="38" t="n">
        <v>51.7818423676427</v>
      </c>
      <c r="N360" s="38" t="n">
        <v>0</v>
      </c>
    </row>
    <row r="361" customFormat="false" ht="15" hidden="false" customHeight="false" outlineLevel="0" collapsed="false">
      <c r="A361" s="37" t="s">
        <v>558</v>
      </c>
      <c r="B361" s="37" t="s">
        <v>121</v>
      </c>
      <c r="C361" s="37" t="s">
        <v>63</v>
      </c>
      <c r="D361" s="37" t="s">
        <v>47</v>
      </c>
      <c r="E361" s="38" t="n">
        <v>204.066978773691</v>
      </c>
      <c r="F361" s="38" t="n">
        <v>38.5263557529887</v>
      </c>
      <c r="G361" s="38" t="n">
        <v>16.514560328466</v>
      </c>
      <c r="H361" s="38" t="n">
        <v>25.454491358381</v>
      </c>
      <c r="I361" s="38" t="n">
        <v>223.175684595517</v>
      </c>
      <c r="J361" s="38" t="n">
        <v>32.49502952016</v>
      </c>
      <c r="K361" s="38" t="n">
        <v>98.0796508397372</v>
      </c>
      <c r="L361" s="38" t="n">
        <v>59.2922948402716</v>
      </c>
      <c r="M361" s="38" t="n">
        <v>55.1925658354206</v>
      </c>
      <c r="N361" s="38" t="n">
        <v>0</v>
      </c>
    </row>
    <row r="362" customFormat="false" ht="15" hidden="false" customHeight="false" outlineLevel="0" collapsed="false">
      <c r="A362" s="37" t="s">
        <v>558</v>
      </c>
      <c r="B362" s="37" t="s">
        <v>121</v>
      </c>
      <c r="C362" s="37" t="s">
        <v>67</v>
      </c>
      <c r="D362" s="37" t="s">
        <v>68</v>
      </c>
      <c r="E362" s="38" t="n">
        <v>197.514291277597</v>
      </c>
      <c r="F362" s="38" t="n">
        <v>39.465577823916</v>
      </c>
      <c r="G362" s="38" t="n">
        <v>18.4349859022203</v>
      </c>
      <c r="H362" s="38" t="n">
        <v>4.84392376298368</v>
      </c>
      <c r="I362" s="38" t="n">
        <v>216.305051178469</v>
      </c>
      <c r="J362" s="38" t="n">
        <v>24.9991160141271</v>
      </c>
      <c r="K362" s="38" t="n">
        <v>103.659841521294</v>
      </c>
      <c r="L362" s="38" t="n">
        <v>66.2714724592542</v>
      </c>
      <c r="M362" s="38" t="n">
        <v>57.1866687158428</v>
      </c>
      <c r="N362" s="38" t="n">
        <v>0</v>
      </c>
    </row>
    <row r="363" customFormat="false" ht="15" hidden="false" customHeight="false" outlineLevel="0" collapsed="false">
      <c r="A363" s="37" t="s">
        <v>558</v>
      </c>
      <c r="B363" s="37" t="s">
        <v>121</v>
      </c>
      <c r="C363" s="37" t="s">
        <v>72</v>
      </c>
      <c r="D363" s="37" t="s">
        <v>73</v>
      </c>
      <c r="E363" s="38" t="n">
        <v>192.070492124562</v>
      </c>
      <c r="F363" s="38" t="n">
        <v>41.2418797870594</v>
      </c>
      <c r="G363" s="38" t="n">
        <v>16.5317351422495</v>
      </c>
      <c r="H363" s="38" t="n">
        <v>8.07913616366102</v>
      </c>
      <c r="I363" s="38" t="n">
        <v>220.102983579285</v>
      </c>
      <c r="J363" s="38" t="n">
        <v>183.7309994523</v>
      </c>
      <c r="K363" s="38" t="n">
        <v>95.1611099420443</v>
      </c>
      <c r="L363" s="38" t="n">
        <v>63.3969936116508</v>
      </c>
      <c r="M363" s="38" t="n">
        <v>52.659221715739</v>
      </c>
      <c r="N363" s="38" t="n">
        <v>0</v>
      </c>
    </row>
    <row r="364" customFormat="false" ht="15" hidden="false" customHeight="false" outlineLevel="0" collapsed="false">
      <c r="A364" s="37" t="s">
        <v>558</v>
      </c>
      <c r="B364" s="37" t="s">
        <v>121</v>
      </c>
      <c r="C364" s="37" t="s">
        <v>77</v>
      </c>
      <c r="D364" s="37" t="s">
        <v>78</v>
      </c>
      <c r="E364" s="38" t="n">
        <v>227.241794982959</v>
      </c>
      <c r="F364" s="38" t="n">
        <v>55.3163240765515</v>
      </c>
      <c r="G364" s="38" t="n">
        <v>17.0884723623055</v>
      </c>
      <c r="H364" s="38" t="n">
        <v>15.915413074438</v>
      </c>
      <c r="I364" s="38" t="n">
        <v>257.951759312867</v>
      </c>
      <c r="J364" s="38" t="n">
        <v>76.5729468268075</v>
      </c>
      <c r="K364" s="38" t="n">
        <v>142.626997036784</v>
      </c>
      <c r="L364" s="38" t="n">
        <v>78.9758069587515</v>
      </c>
      <c r="M364" s="38" t="n">
        <v>74.5192823785148</v>
      </c>
      <c r="N364" s="38" t="n">
        <v>0</v>
      </c>
    </row>
    <row r="365" customFormat="false" ht="15" hidden="false" customHeight="false" outlineLevel="0" collapsed="false">
      <c r="A365" s="37" t="s">
        <v>560</v>
      </c>
      <c r="B365" s="37" t="s">
        <v>97</v>
      </c>
      <c r="C365" s="37" t="s">
        <v>36</v>
      </c>
      <c r="D365" s="37" t="s">
        <v>37</v>
      </c>
      <c r="E365" s="38" t="n">
        <v>212.154043578034</v>
      </c>
      <c r="F365" s="38" t="n">
        <v>38.7079789295091</v>
      </c>
      <c r="G365" s="38" t="n">
        <v>16.648360109802</v>
      </c>
      <c r="H365" s="38" t="n">
        <v>5.03141085364453</v>
      </c>
      <c r="I365" s="38" t="n">
        <v>250.779670534678</v>
      </c>
      <c r="J365" s="38" t="n">
        <v>47.4758663070968</v>
      </c>
      <c r="K365" s="38" t="n">
        <v>113.809816669835</v>
      </c>
      <c r="L365" s="38" t="n">
        <v>68.0430271673533</v>
      </c>
      <c r="M365" s="38" t="n">
        <v>63.4609139625172</v>
      </c>
      <c r="N365" s="38" t="n">
        <v>0</v>
      </c>
    </row>
    <row r="366" customFormat="false" ht="15" hidden="false" customHeight="false" outlineLevel="0" collapsed="false">
      <c r="A366" s="37" t="s">
        <v>560</v>
      </c>
      <c r="B366" s="37" t="s">
        <v>97</v>
      </c>
      <c r="C366" s="37" t="s">
        <v>41</v>
      </c>
      <c r="D366" s="37" t="s">
        <v>42</v>
      </c>
      <c r="E366" s="38" t="n">
        <v>213.098773812538</v>
      </c>
      <c r="F366" s="38" t="n">
        <v>64.5994430195407</v>
      </c>
      <c r="G366" s="38" t="n">
        <v>16.6447383341023</v>
      </c>
      <c r="H366" s="38" t="n">
        <v>4.97082963782473</v>
      </c>
      <c r="I366" s="38" t="n">
        <v>233.804536665743</v>
      </c>
      <c r="J366" s="38" t="n">
        <v>75.1573776217564</v>
      </c>
      <c r="K366" s="38" t="n">
        <v>114.066490866123</v>
      </c>
      <c r="L366" s="38" t="n">
        <v>68.8002142294333</v>
      </c>
      <c r="M366" s="38" t="n">
        <v>61.4061490049864</v>
      </c>
      <c r="N366" s="38" t="n">
        <v>0</v>
      </c>
    </row>
    <row r="367" customFormat="false" ht="15" hidden="false" customHeight="false" outlineLevel="0" collapsed="false">
      <c r="A367" s="37" t="s">
        <v>560</v>
      </c>
      <c r="B367" s="37" t="s">
        <v>97</v>
      </c>
      <c r="C367" s="37" t="s">
        <v>46</v>
      </c>
      <c r="D367" s="37" t="s">
        <v>47</v>
      </c>
      <c r="E367" s="38" t="n">
        <v>223.172195768748</v>
      </c>
      <c r="F367" s="38" t="n">
        <v>38.5629572282558</v>
      </c>
      <c r="G367" s="38" t="n">
        <v>16.6653508788723</v>
      </c>
      <c r="H367" s="38" t="n">
        <v>27.8902650721573</v>
      </c>
      <c r="I367" s="38" t="n">
        <v>249.553531191876</v>
      </c>
      <c r="J367" s="38" t="n">
        <v>56.3035311918756</v>
      </c>
      <c r="K367" s="38" t="n">
        <v>134.924572899381</v>
      </c>
      <c r="L367" s="38" t="n">
        <v>76.2583652840836</v>
      </c>
      <c r="M367" s="38" t="n">
        <v>69.045961312096</v>
      </c>
      <c r="N367" s="38" t="n">
        <v>0</v>
      </c>
    </row>
    <row r="368" customFormat="false" ht="15" hidden="false" customHeight="false" outlineLevel="0" collapsed="false">
      <c r="A368" s="37" t="s">
        <v>560</v>
      </c>
      <c r="B368" s="37" t="s">
        <v>97</v>
      </c>
      <c r="C368" s="37" t="s">
        <v>51</v>
      </c>
      <c r="D368" s="37" t="s">
        <v>51</v>
      </c>
      <c r="E368" s="38" t="n">
        <v>224.313940064876</v>
      </c>
      <c r="F368" s="38" t="n">
        <v>47.9959611914925</v>
      </c>
      <c r="G368" s="38" t="n">
        <v>16.6653508788723</v>
      </c>
      <c r="H368" s="38" t="n">
        <v>17.8765692783715</v>
      </c>
      <c r="I368" s="38" t="n">
        <v>269.692699775973</v>
      </c>
      <c r="J368" s="38" t="n">
        <v>73.0189991410961</v>
      </c>
      <c r="K368" s="38" t="n">
        <v>143.666942170279</v>
      </c>
      <c r="L368" s="38" t="n">
        <v>76.3958471434236</v>
      </c>
      <c r="M368" s="38" t="n">
        <v>72.8407744566268</v>
      </c>
      <c r="N368" s="38" t="n">
        <v>0</v>
      </c>
    </row>
    <row r="369" customFormat="false" ht="15" hidden="false" customHeight="false" outlineLevel="0" collapsed="false">
      <c r="A369" s="37" t="s">
        <v>560</v>
      </c>
      <c r="B369" s="37" t="s">
        <v>97</v>
      </c>
      <c r="C369" s="37" t="s">
        <v>55</v>
      </c>
      <c r="D369" s="37" t="s">
        <v>37</v>
      </c>
      <c r="E369" s="38" t="n">
        <v>203.682305724268</v>
      </c>
      <c r="F369" s="38" t="n">
        <v>38.4021447107144</v>
      </c>
      <c r="G369" s="38" t="n">
        <v>16.6466230386066</v>
      </c>
      <c r="H369" s="38" t="n">
        <v>4.78960818182069</v>
      </c>
      <c r="I369" s="38" t="n">
        <v>257.883482864053</v>
      </c>
      <c r="J369" s="38" t="n">
        <v>57.1992829307392</v>
      </c>
      <c r="K369" s="38" t="n">
        <v>107.494199577376</v>
      </c>
      <c r="L369" s="38" t="n">
        <v>61.786218116187</v>
      </c>
      <c r="M369" s="38" t="n">
        <v>57.8705538994915</v>
      </c>
      <c r="N369" s="38" t="n">
        <v>0</v>
      </c>
    </row>
    <row r="370" customFormat="false" ht="15" hidden="false" customHeight="false" outlineLevel="0" collapsed="false">
      <c r="A370" s="37" t="s">
        <v>560</v>
      </c>
      <c r="B370" s="37" t="s">
        <v>97</v>
      </c>
      <c r="C370" s="37" t="s">
        <v>59</v>
      </c>
      <c r="D370" s="37" t="s">
        <v>42</v>
      </c>
      <c r="E370" s="38" t="n">
        <v>206.647945078909</v>
      </c>
      <c r="F370" s="38" t="n">
        <v>64.6907330835017</v>
      </c>
      <c r="G370" s="38" t="n">
        <v>16.6305398621857</v>
      </c>
      <c r="H370" s="38" t="n">
        <v>4.71774603816191</v>
      </c>
      <c r="I370" s="38" t="n">
        <v>234.216890386764</v>
      </c>
      <c r="J370" s="38" t="n">
        <v>35.055846664701</v>
      </c>
      <c r="K370" s="38" t="n">
        <v>106.416780039368</v>
      </c>
      <c r="L370" s="38" t="n">
        <v>57.8700716714001</v>
      </c>
      <c r="M370" s="38" t="n">
        <v>54.0155454698611</v>
      </c>
      <c r="N370" s="38" t="n">
        <v>0</v>
      </c>
    </row>
    <row r="371" customFormat="false" ht="15" hidden="false" customHeight="false" outlineLevel="0" collapsed="false">
      <c r="A371" s="37" t="s">
        <v>560</v>
      </c>
      <c r="B371" s="37" t="s">
        <v>97</v>
      </c>
      <c r="C371" s="37" t="s">
        <v>63</v>
      </c>
      <c r="D371" s="37" t="s">
        <v>47</v>
      </c>
      <c r="E371" s="38" t="n">
        <v>209.105886466101</v>
      </c>
      <c r="F371" s="38" t="n">
        <v>38.8758773191843</v>
      </c>
      <c r="G371" s="38" t="n">
        <v>16.6506294356368</v>
      </c>
      <c r="H371" s="38" t="n">
        <v>27.3506241763368</v>
      </c>
      <c r="I371" s="38" t="n">
        <v>229.134473106767</v>
      </c>
      <c r="J371" s="38" t="n">
        <v>38.5573451987156</v>
      </c>
      <c r="K371" s="38" t="n">
        <v>110.547544847046</v>
      </c>
      <c r="L371" s="38" t="n">
        <v>60.9057965590565</v>
      </c>
      <c r="M371" s="38" t="n">
        <v>59.4290158717068</v>
      </c>
      <c r="N371" s="38" t="n">
        <v>0</v>
      </c>
    </row>
    <row r="372" customFormat="false" ht="15" hidden="false" customHeight="false" outlineLevel="0" collapsed="false">
      <c r="A372" s="37" t="s">
        <v>560</v>
      </c>
      <c r="B372" s="37" t="s">
        <v>97</v>
      </c>
      <c r="C372" s="37" t="s">
        <v>67</v>
      </c>
      <c r="D372" s="37" t="s">
        <v>68</v>
      </c>
      <c r="E372" s="38" t="n">
        <v>199.172938487184</v>
      </c>
      <c r="F372" s="38" t="n">
        <v>39.8274927441676</v>
      </c>
      <c r="G372" s="38" t="n">
        <v>16.7018180866643</v>
      </c>
      <c r="H372" s="38" t="n">
        <v>4.99119857494195</v>
      </c>
      <c r="I372" s="38" t="n">
        <v>216.273513335837</v>
      </c>
      <c r="J372" s="38" t="n">
        <v>34.7735133358372</v>
      </c>
      <c r="K372" s="38" t="n">
        <v>115.550722676439</v>
      </c>
      <c r="L372" s="38" t="n">
        <v>64.0963580093133</v>
      </c>
      <c r="M372" s="38" t="n">
        <v>60.779215074426</v>
      </c>
      <c r="N372" s="38" t="n">
        <v>0</v>
      </c>
    </row>
    <row r="373" customFormat="false" ht="15" hidden="false" customHeight="false" outlineLevel="0" collapsed="false">
      <c r="A373" s="37" t="s">
        <v>560</v>
      </c>
      <c r="B373" s="37" t="s">
        <v>97</v>
      </c>
      <c r="C373" s="37" t="s">
        <v>72</v>
      </c>
      <c r="D373" s="37" t="s">
        <v>73</v>
      </c>
      <c r="E373" s="38" t="n">
        <v>195.827627560447</v>
      </c>
      <c r="F373" s="38" t="n">
        <v>41.6484060213755</v>
      </c>
      <c r="G373" s="38" t="n">
        <v>16.6653508788723</v>
      </c>
      <c r="H373" s="38" t="n">
        <v>8.59717676368948</v>
      </c>
      <c r="I373" s="38" t="n">
        <v>223.799326302247</v>
      </c>
      <c r="J373" s="38" t="n">
        <v>187.427342175263</v>
      </c>
      <c r="K373" s="38" t="n">
        <v>101.659247619889</v>
      </c>
      <c r="L373" s="38" t="n">
        <v>64.4103347011659</v>
      </c>
      <c r="M373" s="38" t="n">
        <v>55.1650864353756</v>
      </c>
      <c r="N373" s="38" t="n">
        <v>0</v>
      </c>
    </row>
    <row r="374" customFormat="false" ht="15" hidden="false" customHeight="false" outlineLevel="0" collapsed="false">
      <c r="A374" s="37" t="s">
        <v>560</v>
      </c>
      <c r="B374" s="37" t="s">
        <v>97</v>
      </c>
      <c r="C374" s="37" t="s">
        <v>77</v>
      </c>
      <c r="D374" s="37" t="s">
        <v>78</v>
      </c>
      <c r="E374" s="38" t="n">
        <v>231.866140057819</v>
      </c>
      <c r="F374" s="38" t="n">
        <v>55.8453377493963</v>
      </c>
      <c r="G374" s="38" t="n">
        <v>16.9529583910495</v>
      </c>
      <c r="H374" s="38" t="n">
        <v>17.2192204389607</v>
      </c>
      <c r="I374" s="38" t="n">
        <v>262.68825170046</v>
      </c>
      <c r="J374" s="38" t="n">
        <v>81.3123942034117</v>
      </c>
      <c r="K374" s="38" t="n">
        <v>149.335811015518</v>
      </c>
      <c r="L374" s="38" t="n">
        <v>80.4017683077572</v>
      </c>
      <c r="M374" s="38" t="n">
        <v>76.910826296659</v>
      </c>
      <c r="N374" s="38" t="n">
        <v>0</v>
      </c>
    </row>
    <row r="375" customFormat="false" ht="15" hidden="false" customHeight="false" outlineLevel="0" collapsed="false">
      <c r="A375" s="37" t="s">
        <v>560</v>
      </c>
      <c r="B375" s="37" t="s">
        <v>100</v>
      </c>
      <c r="C375" s="37" t="s">
        <v>36</v>
      </c>
      <c r="D375" s="37" t="s">
        <v>37</v>
      </c>
      <c r="E375" s="38" t="n">
        <v>202.750365012747</v>
      </c>
      <c r="F375" s="38" t="n">
        <v>38.6908248190452</v>
      </c>
      <c r="G375" s="38" t="n">
        <v>16.6481053376479</v>
      </c>
      <c r="H375" s="38" t="n">
        <v>5.01869644449263</v>
      </c>
      <c r="I375" s="38" t="n">
        <v>230.376491659422</v>
      </c>
      <c r="J375" s="38" t="n">
        <v>38.1568983978039</v>
      </c>
      <c r="K375" s="38" t="n">
        <v>102.290502493596</v>
      </c>
      <c r="L375" s="38" t="n">
        <v>63.0855320756969</v>
      </c>
      <c r="M375" s="38" t="n">
        <v>58.5505267577358</v>
      </c>
      <c r="N375" s="38" t="n">
        <v>0</v>
      </c>
    </row>
    <row r="376" customFormat="false" ht="15" hidden="false" customHeight="false" outlineLevel="0" collapsed="false">
      <c r="A376" s="37" t="s">
        <v>560</v>
      </c>
      <c r="B376" s="37" t="s">
        <v>100</v>
      </c>
      <c r="C376" s="37" t="s">
        <v>41</v>
      </c>
      <c r="D376" s="37" t="s">
        <v>42</v>
      </c>
      <c r="E376" s="38" t="n">
        <v>200.841641611721</v>
      </c>
      <c r="F376" s="38" t="n">
        <v>59.9290091579474</v>
      </c>
      <c r="G376" s="38" t="n">
        <v>16.631601318327</v>
      </c>
      <c r="H376" s="38" t="n">
        <v>4.92582005095895</v>
      </c>
      <c r="I376" s="38" t="n">
        <v>209.81698437994</v>
      </c>
      <c r="J376" s="38" t="n">
        <v>24.9844368611429</v>
      </c>
      <c r="K376" s="38" t="n">
        <v>89.5050696350027</v>
      </c>
      <c r="L376" s="38" t="n">
        <v>61.7531146957622</v>
      </c>
      <c r="M376" s="38" t="n">
        <v>51.799934882399</v>
      </c>
      <c r="N376" s="38" t="n">
        <v>0</v>
      </c>
    </row>
    <row r="377" customFormat="false" ht="15" hidden="false" customHeight="false" outlineLevel="0" collapsed="false">
      <c r="A377" s="37" t="s">
        <v>560</v>
      </c>
      <c r="B377" s="37" t="s">
        <v>100</v>
      </c>
      <c r="C377" s="37" t="s">
        <v>46</v>
      </c>
      <c r="D377" s="37" t="s">
        <v>47</v>
      </c>
      <c r="E377" s="38" t="n">
        <v>216.34754791813</v>
      </c>
      <c r="F377" s="38" t="n">
        <v>38.5477705711226</v>
      </c>
      <c r="G377" s="38" t="n">
        <v>16.6653508788723</v>
      </c>
      <c r="H377" s="38" t="n">
        <v>27.8902650721573</v>
      </c>
      <c r="I377" s="38" t="n">
        <v>234.660735535525</v>
      </c>
      <c r="J377" s="38" t="n">
        <v>41.4107355355249</v>
      </c>
      <c r="K377" s="38" t="n">
        <v>128.616875887895</v>
      </c>
      <c r="L377" s="38" t="n">
        <v>74.4165375395295</v>
      </c>
      <c r="M377" s="38" t="n">
        <v>66.2882493248299</v>
      </c>
      <c r="N377" s="38" t="n">
        <v>0</v>
      </c>
    </row>
    <row r="378" customFormat="false" ht="15" hidden="false" customHeight="false" outlineLevel="0" collapsed="false">
      <c r="A378" s="37" t="s">
        <v>560</v>
      </c>
      <c r="B378" s="37" t="s">
        <v>100</v>
      </c>
      <c r="C378" s="37" t="s">
        <v>51</v>
      </c>
      <c r="D378" s="37" t="s">
        <v>51</v>
      </c>
      <c r="E378" s="38" t="n">
        <v>216.559578816403</v>
      </c>
      <c r="F378" s="38" t="n">
        <v>47.9556951663142</v>
      </c>
      <c r="G378" s="38" t="n">
        <v>16.6653508788723</v>
      </c>
      <c r="H378" s="38" t="n">
        <v>17.8765692783715</v>
      </c>
      <c r="I378" s="38" t="n">
        <v>251.903438146485</v>
      </c>
      <c r="J378" s="38" t="n">
        <v>55.2297375116081</v>
      </c>
      <c r="K378" s="38" t="n">
        <v>136.363516772161</v>
      </c>
      <c r="L378" s="38" t="n">
        <v>74.3195700254218</v>
      </c>
      <c r="M378" s="38" t="n">
        <v>69.5755422055482</v>
      </c>
      <c r="N378" s="38" t="n">
        <v>0</v>
      </c>
    </row>
    <row r="379" customFormat="false" ht="15" hidden="false" customHeight="false" outlineLevel="0" collapsed="false">
      <c r="A379" s="37" t="s">
        <v>560</v>
      </c>
      <c r="B379" s="37" t="s">
        <v>100</v>
      </c>
      <c r="C379" s="37" t="s">
        <v>55</v>
      </c>
      <c r="D379" s="37" t="s">
        <v>37</v>
      </c>
      <c r="E379" s="38" t="n">
        <v>194.666290661361</v>
      </c>
      <c r="F379" s="38" t="n">
        <v>38.3843797592686</v>
      </c>
      <c r="G379" s="38" t="n">
        <v>16.6463496242119</v>
      </c>
      <c r="H379" s="38" t="n">
        <v>4.78960818182069</v>
      </c>
      <c r="I379" s="38" t="n">
        <v>236.739992860653</v>
      </c>
      <c r="J379" s="38" t="n">
        <v>35.8778640187895</v>
      </c>
      <c r="K379" s="38" t="n">
        <v>93.9368748396912</v>
      </c>
      <c r="L379" s="38" t="n">
        <v>59.2580067696236</v>
      </c>
      <c r="M379" s="38" t="n">
        <v>52.6462166686382</v>
      </c>
      <c r="N379" s="38" t="n">
        <v>0</v>
      </c>
    </row>
    <row r="380" customFormat="false" ht="15" hidden="false" customHeight="false" outlineLevel="0" collapsed="false">
      <c r="A380" s="37" t="s">
        <v>560</v>
      </c>
      <c r="B380" s="37" t="s">
        <v>100</v>
      </c>
      <c r="C380" s="37" t="s">
        <v>59</v>
      </c>
      <c r="D380" s="37" t="s">
        <v>42</v>
      </c>
      <c r="E380" s="38" t="n">
        <v>199.462546935613</v>
      </c>
      <c r="F380" s="38" t="n">
        <v>64.6165846668421</v>
      </c>
      <c r="G380" s="38" t="n">
        <v>16.6305373929677</v>
      </c>
      <c r="H380" s="38" t="n">
        <v>4.71774603816191</v>
      </c>
      <c r="I380" s="38" t="n">
        <v>216.507421621753</v>
      </c>
      <c r="J380" s="38" t="n">
        <v>17.3462925587243</v>
      </c>
      <c r="K380" s="38" t="n">
        <v>89.2158483281761</v>
      </c>
      <c r="L380" s="38" t="n">
        <v>55.8435025785583</v>
      </c>
      <c r="M380" s="38" t="n">
        <v>48.2036223841873</v>
      </c>
      <c r="N380" s="38" t="n">
        <v>0</v>
      </c>
    </row>
    <row r="381" customFormat="false" ht="15" hidden="false" customHeight="false" outlineLevel="0" collapsed="false">
      <c r="A381" s="37" t="s">
        <v>560</v>
      </c>
      <c r="B381" s="37" t="s">
        <v>100</v>
      </c>
      <c r="C381" s="37" t="s">
        <v>63</v>
      </c>
      <c r="D381" s="37" t="s">
        <v>47</v>
      </c>
      <c r="E381" s="38" t="n">
        <v>202.500036163036</v>
      </c>
      <c r="F381" s="38" t="n">
        <v>38.8580981573828</v>
      </c>
      <c r="G381" s="38" t="n">
        <v>16.650449438553</v>
      </c>
      <c r="H381" s="38" t="n">
        <v>27.3506241763368</v>
      </c>
      <c r="I381" s="38" t="n">
        <v>213.949527728236</v>
      </c>
      <c r="J381" s="38" t="n">
        <v>23.2552770908784</v>
      </c>
      <c r="K381" s="38" t="n">
        <v>91.9011443696221</v>
      </c>
      <c r="L381" s="38" t="n">
        <v>59.0571213780006</v>
      </c>
      <c r="M381" s="38" t="n">
        <v>53.0549900079897</v>
      </c>
      <c r="N381" s="38" t="n">
        <v>0</v>
      </c>
    </row>
    <row r="382" customFormat="false" ht="15" hidden="false" customHeight="false" outlineLevel="0" collapsed="false">
      <c r="A382" s="37" t="s">
        <v>560</v>
      </c>
      <c r="B382" s="37" t="s">
        <v>100</v>
      </c>
      <c r="C382" s="37" t="s">
        <v>67</v>
      </c>
      <c r="D382" s="37" t="s">
        <v>68</v>
      </c>
      <c r="E382" s="38" t="n">
        <v>191.240168078069</v>
      </c>
      <c r="F382" s="38" t="n">
        <v>39.8114849607879</v>
      </c>
      <c r="G382" s="38" t="n">
        <v>16.6949824676098</v>
      </c>
      <c r="H382" s="38" t="n">
        <v>4.98677697960317</v>
      </c>
      <c r="I382" s="38" t="n">
        <v>197.329874803571</v>
      </c>
      <c r="J382" s="38" t="n">
        <v>24.9552884602608</v>
      </c>
      <c r="K382" s="38" t="n">
        <v>97.7662236293958</v>
      </c>
      <c r="L382" s="38" t="n">
        <v>62.1296834671408</v>
      </c>
      <c r="M382" s="38" t="n">
        <v>54.238987041909</v>
      </c>
      <c r="N382" s="38" t="n">
        <v>0</v>
      </c>
    </row>
    <row r="383" customFormat="false" ht="15" hidden="false" customHeight="false" outlineLevel="0" collapsed="false">
      <c r="A383" s="37" t="s">
        <v>560</v>
      </c>
      <c r="B383" s="37" t="s">
        <v>100</v>
      </c>
      <c r="C383" s="37" t="s">
        <v>72</v>
      </c>
      <c r="D383" s="37" t="s">
        <v>73</v>
      </c>
      <c r="E383" s="38" t="n">
        <v>188.292097507203</v>
      </c>
      <c r="F383" s="38" t="n">
        <v>41.6237505673396</v>
      </c>
      <c r="G383" s="38" t="n">
        <v>16.6653508788723</v>
      </c>
      <c r="H383" s="38" t="n">
        <v>8.59717676368948</v>
      </c>
      <c r="I383" s="38" t="n">
        <v>205.215283504755</v>
      </c>
      <c r="J383" s="38" t="n">
        <v>168.843299377771</v>
      </c>
      <c r="K383" s="38" t="n">
        <v>92.9241145301191</v>
      </c>
      <c r="L383" s="38" t="n">
        <v>62.8341409287335</v>
      </c>
      <c r="M383" s="38" t="n">
        <v>51.4449763106358</v>
      </c>
      <c r="N383" s="38" t="n">
        <v>0</v>
      </c>
    </row>
    <row r="384" customFormat="false" ht="15" hidden="false" customHeight="false" outlineLevel="0" collapsed="false">
      <c r="A384" s="37" t="s">
        <v>560</v>
      </c>
      <c r="B384" s="37" t="s">
        <v>100</v>
      </c>
      <c r="C384" s="37" t="s">
        <v>77</v>
      </c>
      <c r="D384" s="37" t="s">
        <v>78</v>
      </c>
      <c r="E384" s="38" t="n">
        <v>224.237843441733</v>
      </c>
      <c r="F384" s="38" t="n">
        <v>55.8082153586366</v>
      </c>
      <c r="G384" s="38" t="n">
        <v>16.952957264462</v>
      </c>
      <c r="H384" s="38" t="n">
        <v>17.2192204389607</v>
      </c>
      <c r="I384" s="38" t="n">
        <v>245.47552923486</v>
      </c>
      <c r="J384" s="38" t="n">
        <v>64.0991310544344</v>
      </c>
      <c r="K384" s="38" t="n">
        <v>142.378053401743</v>
      </c>
      <c r="L384" s="38" t="n">
        <v>78.2493215276729</v>
      </c>
      <c r="M384" s="38" t="n">
        <v>73.876972386055</v>
      </c>
      <c r="N384" s="38" t="n">
        <v>0</v>
      </c>
    </row>
    <row r="385" customFormat="false" ht="15" hidden="false" customHeight="false" outlineLevel="0" collapsed="false">
      <c r="A385" s="37" t="s">
        <v>560</v>
      </c>
      <c r="B385" s="37" t="s">
        <v>106</v>
      </c>
      <c r="C385" s="37" t="s">
        <v>36</v>
      </c>
      <c r="D385" s="37" t="s">
        <v>37</v>
      </c>
      <c r="E385" s="38" t="n">
        <v>213.106123077801</v>
      </c>
      <c r="F385" s="38" t="n">
        <v>39.6547687861395</v>
      </c>
      <c r="G385" s="38" t="n">
        <v>16.6483729085728</v>
      </c>
      <c r="H385" s="38" t="n">
        <v>5.03141085364453</v>
      </c>
      <c r="I385" s="38" t="n">
        <v>252.234096531511</v>
      </c>
      <c r="J385" s="38" t="n">
        <v>48.9386208745968</v>
      </c>
      <c r="K385" s="38" t="n">
        <v>115.176682449455</v>
      </c>
      <c r="L385" s="38" t="n">
        <v>69.6982342785199</v>
      </c>
      <c r="M385" s="38" t="n">
        <v>64.0315718055157</v>
      </c>
      <c r="N385" s="38" t="n">
        <v>0</v>
      </c>
    </row>
    <row r="386" customFormat="false" ht="15" hidden="false" customHeight="false" outlineLevel="0" collapsed="false">
      <c r="A386" s="37" t="s">
        <v>560</v>
      </c>
      <c r="B386" s="37" t="s">
        <v>106</v>
      </c>
      <c r="C386" s="37" t="s">
        <v>41</v>
      </c>
      <c r="D386" s="37" t="s">
        <v>42</v>
      </c>
      <c r="E386" s="38" t="n">
        <v>217.075404989866</v>
      </c>
      <c r="F386" s="38" t="n">
        <v>68.5727340309903</v>
      </c>
      <c r="G386" s="38" t="n">
        <v>16.6448275920291</v>
      </c>
      <c r="H386" s="38" t="n">
        <v>4.97082963782473</v>
      </c>
      <c r="I386" s="38" t="n">
        <v>238.608206619505</v>
      </c>
      <c r="J386" s="38" t="n">
        <v>80.0090704938656</v>
      </c>
      <c r="K386" s="38" t="n">
        <v>117.926517186624</v>
      </c>
      <c r="L386" s="38" t="n">
        <v>70.2211471452026</v>
      </c>
      <c r="M386" s="38" t="n">
        <v>62.7517415459367</v>
      </c>
      <c r="N386" s="38" t="n">
        <v>0</v>
      </c>
    </row>
    <row r="387" customFormat="false" ht="15" hidden="false" customHeight="false" outlineLevel="0" collapsed="false">
      <c r="A387" s="37" t="s">
        <v>560</v>
      </c>
      <c r="B387" s="37" t="s">
        <v>106</v>
      </c>
      <c r="C387" s="37" t="s">
        <v>46</v>
      </c>
      <c r="D387" s="37" t="s">
        <v>47</v>
      </c>
      <c r="E387" s="38" t="n">
        <v>224.313979112512</v>
      </c>
      <c r="F387" s="38" t="n">
        <v>39.7047405720199</v>
      </c>
      <c r="G387" s="38" t="n">
        <v>16.6653508788723</v>
      </c>
      <c r="H387" s="38" t="n">
        <v>27.8902650721573</v>
      </c>
      <c r="I387" s="38" t="n">
        <v>251.243394559632</v>
      </c>
      <c r="J387" s="38" t="n">
        <v>57.9933945596319</v>
      </c>
      <c r="K387" s="38" t="n">
        <v>136.558339752687</v>
      </c>
      <c r="L387" s="38" t="n">
        <v>76.6773155884743</v>
      </c>
      <c r="M387" s="38" t="n">
        <v>69.766365632794</v>
      </c>
      <c r="N387" s="38" t="n">
        <v>0</v>
      </c>
    </row>
    <row r="388" customFormat="false" ht="15" hidden="false" customHeight="false" outlineLevel="0" collapsed="false">
      <c r="A388" s="37" t="s">
        <v>560</v>
      </c>
      <c r="B388" s="37" t="s">
        <v>106</v>
      </c>
      <c r="C388" s="37" t="s">
        <v>51</v>
      </c>
      <c r="D388" s="37" t="s">
        <v>51</v>
      </c>
      <c r="E388" s="38" t="n">
        <v>227.03636413263</v>
      </c>
      <c r="F388" s="38" t="n">
        <v>50.7183852592465</v>
      </c>
      <c r="G388" s="38" t="n">
        <v>16.6653508788723</v>
      </c>
      <c r="H388" s="38" t="n">
        <v>17.8765692783715</v>
      </c>
      <c r="I388" s="38" t="n">
        <v>273.126946249339</v>
      </c>
      <c r="J388" s="38" t="n">
        <v>76.4532456144617</v>
      </c>
      <c r="K388" s="38" t="n">
        <v>146.940748995418</v>
      </c>
      <c r="L388" s="38" t="n">
        <v>77.3775496014364</v>
      </c>
      <c r="M388" s="38" t="n">
        <v>73.885583040796</v>
      </c>
      <c r="N388" s="38" t="n">
        <v>0</v>
      </c>
    </row>
    <row r="389" customFormat="false" ht="15" hidden="false" customHeight="false" outlineLevel="0" collapsed="false">
      <c r="A389" s="37" t="s">
        <v>560</v>
      </c>
      <c r="B389" s="37" t="s">
        <v>106</v>
      </c>
      <c r="C389" s="37" t="s">
        <v>55</v>
      </c>
      <c r="D389" s="37" t="s">
        <v>37</v>
      </c>
      <c r="E389" s="38" t="n">
        <v>204.595722068189</v>
      </c>
      <c r="F389" s="38" t="n">
        <v>39.3109935445343</v>
      </c>
      <c r="G389" s="38" t="n">
        <v>16.646635662355</v>
      </c>
      <c r="H389" s="38" t="n">
        <v>4.78960818182069</v>
      </c>
      <c r="I389" s="38" t="n">
        <v>259.323640784194</v>
      </c>
      <c r="J389" s="38" t="n">
        <v>58.6476559295058</v>
      </c>
      <c r="K389" s="38" t="n">
        <v>108.845086117011</v>
      </c>
      <c r="L389" s="38" t="n">
        <v>62.1172108894663</v>
      </c>
      <c r="M389" s="38" t="n">
        <v>58.4536360471217</v>
      </c>
      <c r="N389" s="38" t="n">
        <v>0</v>
      </c>
    </row>
    <row r="390" customFormat="false" ht="15" hidden="false" customHeight="false" outlineLevel="0" collapsed="false">
      <c r="A390" s="37" t="s">
        <v>560</v>
      </c>
      <c r="B390" s="37" t="s">
        <v>106</v>
      </c>
      <c r="C390" s="37" t="s">
        <v>59</v>
      </c>
      <c r="D390" s="37" t="s">
        <v>42</v>
      </c>
      <c r="E390" s="38" t="n">
        <v>211.217499431917</v>
      </c>
      <c r="F390" s="38" t="n">
        <v>69.2484602679333</v>
      </c>
      <c r="G390" s="38" t="n">
        <v>16.6307055259033</v>
      </c>
      <c r="H390" s="38" t="n">
        <v>4.71894151401479</v>
      </c>
      <c r="I390" s="38" t="n">
        <v>239.727826322715</v>
      </c>
      <c r="J390" s="38" t="n">
        <v>85.5725353593537</v>
      </c>
      <c r="K390" s="38" t="n">
        <v>113.311965600543</v>
      </c>
      <c r="L390" s="38" t="n">
        <v>62.4287348031329</v>
      </c>
      <c r="M390" s="38" t="n">
        <v>57.0137741933896</v>
      </c>
      <c r="N390" s="38" t="n">
        <v>0</v>
      </c>
    </row>
    <row r="391" customFormat="false" ht="15" hidden="false" customHeight="false" outlineLevel="0" collapsed="false">
      <c r="A391" s="37" t="s">
        <v>560</v>
      </c>
      <c r="B391" s="37" t="s">
        <v>106</v>
      </c>
      <c r="C391" s="37" t="s">
        <v>63</v>
      </c>
      <c r="D391" s="37" t="s">
        <v>47</v>
      </c>
      <c r="E391" s="38" t="n">
        <v>210.200187185312</v>
      </c>
      <c r="F391" s="38" t="n">
        <v>39.9663367667472</v>
      </c>
      <c r="G391" s="38" t="n">
        <v>16.6506427355112</v>
      </c>
      <c r="H391" s="38" t="n">
        <v>27.3506241763368</v>
      </c>
      <c r="I391" s="38" t="n">
        <v>230.822873391432</v>
      </c>
      <c r="J391" s="38" t="n">
        <v>40.2543995866682</v>
      </c>
      <c r="K391" s="38" t="n">
        <v>113.449282793065</v>
      </c>
      <c r="L391" s="38" t="n">
        <v>61.3144803880795</v>
      </c>
      <c r="M391" s="38" t="n">
        <v>60.460565713765</v>
      </c>
      <c r="N391" s="38" t="n">
        <v>0</v>
      </c>
    </row>
    <row r="392" customFormat="false" ht="15" hidden="false" customHeight="false" outlineLevel="0" collapsed="false">
      <c r="A392" s="37" t="s">
        <v>560</v>
      </c>
      <c r="B392" s="37" t="s">
        <v>106</v>
      </c>
      <c r="C392" s="37" t="s">
        <v>67</v>
      </c>
      <c r="D392" s="37" t="s">
        <v>68</v>
      </c>
      <c r="E392" s="38" t="n">
        <v>200.205901124655</v>
      </c>
      <c r="F392" s="38" t="n">
        <v>40.8543590341535</v>
      </c>
      <c r="G392" s="38" t="n">
        <v>16.7026463964994</v>
      </c>
      <c r="H392" s="38" t="n">
        <v>4.99119857494195</v>
      </c>
      <c r="I392" s="38" t="n">
        <v>217.931366942524</v>
      </c>
      <c r="J392" s="38" t="n">
        <v>26.4313669425236</v>
      </c>
      <c r="K392" s="38" t="n">
        <v>110.004960966511</v>
      </c>
      <c r="L392" s="38" t="n">
        <v>66.8983117904571</v>
      </c>
      <c r="M392" s="38" t="n">
        <v>59.6384458968979</v>
      </c>
      <c r="N392" s="38" t="n">
        <v>0</v>
      </c>
    </row>
    <row r="393" customFormat="false" ht="15" hidden="false" customHeight="false" outlineLevel="0" collapsed="false">
      <c r="A393" s="37" t="s">
        <v>560</v>
      </c>
      <c r="B393" s="37" t="s">
        <v>106</v>
      </c>
      <c r="C393" s="37" t="s">
        <v>72</v>
      </c>
      <c r="D393" s="37" t="s">
        <v>73</v>
      </c>
      <c r="E393" s="38" t="n">
        <v>197.343556036923</v>
      </c>
      <c r="F393" s="38" t="n">
        <v>43.1643344978517</v>
      </c>
      <c r="G393" s="38" t="n">
        <v>16.6653508788723</v>
      </c>
      <c r="H393" s="38" t="n">
        <v>8.59717676368948</v>
      </c>
      <c r="I393" s="38" t="n">
        <v>226.045464109223</v>
      </c>
      <c r="J393" s="38" t="n">
        <v>189.673479982239</v>
      </c>
      <c r="K393" s="38" t="n">
        <v>104.202083329159</v>
      </c>
      <c r="L393" s="38" t="n">
        <v>64.9206973515639</v>
      </c>
      <c r="M393" s="38" t="n">
        <v>56.241785484045</v>
      </c>
      <c r="N393" s="38" t="n">
        <v>0</v>
      </c>
    </row>
    <row r="394" customFormat="false" ht="15" hidden="false" customHeight="false" outlineLevel="0" collapsed="false">
      <c r="A394" s="37" t="s">
        <v>560</v>
      </c>
      <c r="B394" s="37" t="s">
        <v>106</v>
      </c>
      <c r="C394" s="37" t="s">
        <v>77</v>
      </c>
      <c r="D394" s="37" t="s">
        <v>78</v>
      </c>
      <c r="E394" s="38" t="n">
        <v>234.491165653444</v>
      </c>
      <c r="F394" s="38" t="n">
        <v>58.4673967315692</v>
      </c>
      <c r="G394" s="38" t="n">
        <v>16.9530358693536</v>
      </c>
      <c r="H394" s="38" t="n">
        <v>17.2192204389607</v>
      </c>
      <c r="I394" s="38" t="n">
        <v>265.861656919107</v>
      </c>
      <c r="J394" s="38" t="n">
        <v>84.5230099499376</v>
      </c>
      <c r="K394" s="38" t="n">
        <v>152.026780215806</v>
      </c>
      <c r="L394" s="38" t="n">
        <v>81.3647397962034</v>
      </c>
      <c r="M394" s="38" t="n">
        <v>77.8177473548877</v>
      </c>
      <c r="N394" s="38" t="n">
        <v>0</v>
      </c>
    </row>
    <row r="395" customFormat="false" ht="15" hidden="false" customHeight="false" outlineLevel="0" collapsed="false">
      <c r="A395" s="37" t="s">
        <v>560</v>
      </c>
      <c r="B395" s="37" t="s">
        <v>112</v>
      </c>
      <c r="C395" s="37" t="s">
        <v>36</v>
      </c>
      <c r="D395" s="37" t="s">
        <v>37</v>
      </c>
      <c r="E395" s="38" t="n">
        <v>213.088300282552</v>
      </c>
      <c r="F395" s="38" t="n">
        <v>38.7080823019166</v>
      </c>
      <c r="G395" s="38" t="n">
        <v>16.6483781015296</v>
      </c>
      <c r="H395" s="38" t="n">
        <v>5.95812839283022</v>
      </c>
      <c r="I395" s="38" t="n">
        <v>254.088079122912</v>
      </c>
      <c r="J395" s="38" t="n">
        <v>50.7959826886663</v>
      </c>
      <c r="K395" s="38" t="n">
        <v>114.732840463805</v>
      </c>
      <c r="L395" s="38" t="n">
        <v>69.6949968168274</v>
      </c>
      <c r="M395" s="38" t="n">
        <v>63.9408598805782</v>
      </c>
      <c r="N395" s="38" t="n">
        <v>0</v>
      </c>
    </row>
    <row r="396" customFormat="false" ht="15" hidden="false" customHeight="false" outlineLevel="0" collapsed="false">
      <c r="A396" s="37" t="s">
        <v>560</v>
      </c>
      <c r="B396" s="37" t="s">
        <v>112</v>
      </c>
      <c r="C396" s="37" t="s">
        <v>41</v>
      </c>
      <c r="D396" s="37" t="s">
        <v>42</v>
      </c>
      <c r="E396" s="38" t="n">
        <v>214.015828868581</v>
      </c>
      <c r="F396" s="38" t="n">
        <v>64.5994430195407</v>
      </c>
      <c r="G396" s="38" t="n">
        <v>16.6447383341023</v>
      </c>
      <c r="H396" s="38" t="n">
        <v>5.88788469386727</v>
      </c>
      <c r="I396" s="38" t="n">
        <v>237.233695202885</v>
      </c>
      <c r="J396" s="38" t="n">
        <v>78.5865361588988</v>
      </c>
      <c r="K396" s="38" t="n">
        <v>115.011799150893</v>
      </c>
      <c r="L396" s="38" t="n">
        <v>69.1133234829985</v>
      </c>
      <c r="M396" s="38" t="n">
        <v>61.8871167478602</v>
      </c>
      <c r="N396" s="38" t="n">
        <v>0</v>
      </c>
    </row>
    <row r="397" customFormat="false" ht="15" hidden="false" customHeight="false" outlineLevel="0" collapsed="false">
      <c r="A397" s="37" t="s">
        <v>560</v>
      </c>
      <c r="B397" s="37" t="s">
        <v>112</v>
      </c>
      <c r="C397" s="37" t="s">
        <v>46</v>
      </c>
      <c r="D397" s="37" t="s">
        <v>47</v>
      </c>
      <c r="E397" s="38" t="n">
        <v>236.06090810937</v>
      </c>
      <c r="F397" s="38" t="n">
        <v>38.6353637674438</v>
      </c>
      <c r="G397" s="38" t="n">
        <v>16.6653508788723</v>
      </c>
      <c r="H397" s="38" t="n">
        <v>40.7065708735917</v>
      </c>
      <c r="I397" s="38" t="n">
        <v>285.283494182765</v>
      </c>
      <c r="J397" s="38" t="n">
        <v>92.033494182765</v>
      </c>
      <c r="K397" s="38" t="n">
        <v>147.153397404031</v>
      </c>
      <c r="L397" s="38" t="n">
        <v>81.0377029793155</v>
      </c>
      <c r="M397" s="38" t="n">
        <v>73.2859230064246</v>
      </c>
      <c r="N397" s="38" t="n">
        <v>0</v>
      </c>
    </row>
    <row r="398" customFormat="false" ht="15" hidden="false" customHeight="false" outlineLevel="0" collapsed="false">
      <c r="A398" s="37" t="s">
        <v>560</v>
      </c>
      <c r="B398" s="37" t="s">
        <v>112</v>
      </c>
      <c r="C398" s="37" t="s">
        <v>51</v>
      </c>
      <c r="D398" s="37" t="s">
        <v>51</v>
      </c>
      <c r="E398" s="38" t="n">
        <v>233.001591462472</v>
      </c>
      <c r="F398" s="38" t="n">
        <v>48.0809511691174</v>
      </c>
      <c r="G398" s="38" t="n">
        <v>16.6653508788723</v>
      </c>
      <c r="H398" s="38" t="n">
        <v>26.4792306983426</v>
      </c>
      <c r="I398" s="38" t="n">
        <v>291.151285977649</v>
      </c>
      <c r="J398" s="38" t="n">
        <v>94.4775853427715</v>
      </c>
      <c r="K398" s="38" t="n">
        <v>152.4216141356</v>
      </c>
      <c r="L398" s="38" t="n">
        <v>79.5319185047259</v>
      </c>
      <c r="M398" s="38" t="n">
        <v>76.2227328413294</v>
      </c>
      <c r="N398" s="38" t="n">
        <v>0</v>
      </c>
    </row>
    <row r="399" customFormat="false" ht="15" hidden="false" customHeight="false" outlineLevel="0" collapsed="false">
      <c r="A399" s="37" t="s">
        <v>560</v>
      </c>
      <c r="B399" s="37" t="s">
        <v>112</v>
      </c>
      <c r="C399" s="37" t="s">
        <v>55</v>
      </c>
      <c r="D399" s="37" t="s">
        <v>37</v>
      </c>
      <c r="E399" s="38" t="n">
        <v>204.541113253478</v>
      </c>
      <c r="F399" s="38" t="n">
        <v>38.4022400172882</v>
      </c>
      <c r="G399" s="38" t="n">
        <v>16.6466402500181</v>
      </c>
      <c r="H399" s="38" t="n">
        <v>5.64209299144803</v>
      </c>
      <c r="I399" s="38" t="n">
        <v>261.074555882158</v>
      </c>
      <c r="J399" s="38" t="n">
        <v>60.4015565119069</v>
      </c>
      <c r="K399" s="38" t="n">
        <v>108.35918007425</v>
      </c>
      <c r="L399" s="38" t="n">
        <v>62.1036720941482</v>
      </c>
      <c r="M399" s="38" t="n">
        <v>58.3222909357527</v>
      </c>
      <c r="N399" s="38" t="n">
        <v>0</v>
      </c>
    </row>
    <row r="400" customFormat="false" ht="15" hidden="false" customHeight="false" outlineLevel="0" collapsed="false">
      <c r="A400" s="37" t="s">
        <v>560</v>
      </c>
      <c r="B400" s="37" t="s">
        <v>112</v>
      </c>
      <c r="C400" s="37" t="s">
        <v>59</v>
      </c>
      <c r="D400" s="37" t="s">
        <v>42</v>
      </c>
      <c r="E400" s="38" t="n">
        <v>207.478535854849</v>
      </c>
      <c r="F400" s="38" t="n">
        <v>64.6907330835017</v>
      </c>
      <c r="G400" s="38" t="n">
        <v>16.6305398621857</v>
      </c>
      <c r="H400" s="38" t="n">
        <v>5.54833681410179</v>
      </c>
      <c r="I400" s="38" t="n">
        <v>237.44773440796</v>
      </c>
      <c r="J400" s="38" t="n">
        <v>38.2866906858964</v>
      </c>
      <c r="K400" s="38" t="n">
        <v>110.037228234873</v>
      </c>
      <c r="L400" s="38" t="n">
        <v>58.1481907382781</v>
      </c>
      <c r="M400" s="38" t="n">
        <v>55.2502413389781</v>
      </c>
      <c r="N400" s="38" t="n">
        <v>0</v>
      </c>
    </row>
    <row r="401" customFormat="false" ht="15" hidden="false" customHeight="false" outlineLevel="0" collapsed="false">
      <c r="A401" s="37" t="s">
        <v>560</v>
      </c>
      <c r="B401" s="37" t="s">
        <v>112</v>
      </c>
      <c r="C401" s="37" t="s">
        <v>63</v>
      </c>
      <c r="D401" s="37" t="s">
        <v>47</v>
      </c>
      <c r="E401" s="38" t="n">
        <v>222.328625320541</v>
      </c>
      <c r="F401" s="38" t="n">
        <v>38.9505050591638</v>
      </c>
      <c r="G401" s="38" t="n">
        <v>16.6508184729096</v>
      </c>
      <c r="H401" s="38" t="n">
        <v>40.2325651962857</v>
      </c>
      <c r="I401" s="38" t="n">
        <v>265.826580876348</v>
      </c>
      <c r="J401" s="38" t="n">
        <v>67.8724574424167</v>
      </c>
      <c r="K401" s="38" t="n">
        <v>126.042154597751</v>
      </c>
      <c r="L401" s="38" t="n">
        <v>69.8333206490531</v>
      </c>
      <c r="M401" s="38" t="n">
        <v>65.7952098390583</v>
      </c>
      <c r="N401" s="38" t="n">
        <v>0</v>
      </c>
    </row>
    <row r="402" customFormat="false" ht="15" hidden="false" customHeight="false" outlineLevel="0" collapsed="false">
      <c r="A402" s="37" t="s">
        <v>560</v>
      </c>
      <c r="B402" s="37" t="s">
        <v>112</v>
      </c>
      <c r="C402" s="37" t="s">
        <v>67</v>
      </c>
      <c r="D402" s="37" t="s">
        <v>68</v>
      </c>
      <c r="E402" s="38" t="n">
        <v>200.089927804977</v>
      </c>
      <c r="F402" s="38" t="n">
        <v>39.8290416006338</v>
      </c>
      <c r="G402" s="38" t="n">
        <v>16.7028748920845</v>
      </c>
      <c r="H402" s="38" t="n">
        <v>5.90016312269727</v>
      </c>
      <c r="I402" s="38" t="n">
        <v>219.819531886648</v>
      </c>
      <c r="J402" s="38" t="n">
        <v>28.319531886648</v>
      </c>
      <c r="K402" s="38" t="n">
        <v>111.048235280571</v>
      </c>
      <c r="L402" s="38" t="n">
        <v>66.8687836122345</v>
      </c>
      <c r="M402" s="38" t="n">
        <v>59.9262046614893</v>
      </c>
      <c r="N402" s="38" t="n">
        <v>0</v>
      </c>
    </row>
    <row r="403" customFormat="false" ht="15" hidden="false" customHeight="false" outlineLevel="0" collapsed="false">
      <c r="A403" s="37" t="s">
        <v>560</v>
      </c>
      <c r="B403" s="37" t="s">
        <v>112</v>
      </c>
      <c r="C403" s="37" t="s">
        <v>72</v>
      </c>
      <c r="D403" s="37" t="s">
        <v>73</v>
      </c>
      <c r="E403" s="38" t="n">
        <v>199.047198992023</v>
      </c>
      <c r="F403" s="38" t="n">
        <v>41.658320171069</v>
      </c>
      <c r="G403" s="38" t="n">
        <v>16.6653508788723</v>
      </c>
      <c r="H403" s="38" t="n">
        <v>11.8068340455719</v>
      </c>
      <c r="I403" s="38" t="n">
        <v>232.021219172021</v>
      </c>
      <c r="J403" s="38" t="n">
        <v>195.649235045037</v>
      </c>
      <c r="K403" s="38" t="n">
        <v>106.321384032965</v>
      </c>
      <c r="L403" s="38" t="n">
        <v>65.3517450992127</v>
      </c>
      <c r="M403" s="38" t="n">
        <v>57.0323791794634</v>
      </c>
      <c r="N403" s="38" t="n">
        <v>0</v>
      </c>
    </row>
    <row r="404" customFormat="false" ht="15" hidden="false" customHeight="false" outlineLevel="0" collapsed="false">
      <c r="A404" s="37" t="s">
        <v>560</v>
      </c>
      <c r="B404" s="37" t="s">
        <v>112</v>
      </c>
      <c r="C404" s="37" t="s">
        <v>77</v>
      </c>
      <c r="D404" s="37" t="s">
        <v>78</v>
      </c>
      <c r="E404" s="38" t="n">
        <v>240.209540701779</v>
      </c>
      <c r="F404" s="38" t="n">
        <v>55.9150833594723</v>
      </c>
      <c r="G404" s="38" t="n">
        <v>16.9529598111661</v>
      </c>
      <c r="H404" s="38" t="n">
        <v>25.4928210658444</v>
      </c>
      <c r="I404" s="38" t="n">
        <v>281.750377720226</v>
      </c>
      <c r="J404" s="38" t="n">
        <v>100.375201795688</v>
      </c>
      <c r="K404" s="38" t="n">
        <v>157.742576337598</v>
      </c>
      <c r="L404" s="38" t="n">
        <v>82.6116782233879</v>
      </c>
      <c r="M404" s="38" t="n">
        <v>79.9577362625743</v>
      </c>
      <c r="N404" s="38" t="n">
        <v>0</v>
      </c>
    </row>
    <row r="405" customFormat="false" ht="15" hidden="false" customHeight="false" outlineLevel="0" collapsed="false">
      <c r="A405" s="37" t="s">
        <v>560</v>
      </c>
      <c r="B405" s="37" t="s">
        <v>118</v>
      </c>
      <c r="C405" s="37" t="s">
        <v>36</v>
      </c>
      <c r="D405" s="37" t="s">
        <v>37</v>
      </c>
      <c r="E405" s="38" t="n">
        <v>228.464189654615</v>
      </c>
      <c r="F405" s="38" t="n">
        <v>38.7487530203984</v>
      </c>
      <c r="G405" s="38" t="n">
        <v>16.6483595747497</v>
      </c>
      <c r="H405" s="38" t="n">
        <v>4.11673053715598</v>
      </c>
      <c r="I405" s="38" t="n">
        <v>288.319897037972</v>
      </c>
      <c r="J405" s="38" t="n">
        <v>85.0157446346373</v>
      </c>
      <c r="K405" s="38" t="n">
        <v>129.904201434855</v>
      </c>
      <c r="L405" s="38" t="n">
        <v>73.8697301671883</v>
      </c>
      <c r="M405" s="38" t="n">
        <v>70.2582841936814</v>
      </c>
      <c r="N405" s="38" t="n">
        <v>0</v>
      </c>
    </row>
    <row r="406" customFormat="false" ht="15" hidden="false" customHeight="false" outlineLevel="0" collapsed="false">
      <c r="A406" s="37" t="s">
        <v>560</v>
      </c>
      <c r="B406" s="37" t="s">
        <v>118</v>
      </c>
      <c r="C406" s="37" t="s">
        <v>41</v>
      </c>
      <c r="D406" s="37" t="s">
        <v>42</v>
      </c>
      <c r="E406" s="38" t="n">
        <v>227.380057033805</v>
      </c>
      <c r="F406" s="38" t="n">
        <v>66.0911453051936</v>
      </c>
      <c r="G406" s="38" t="n">
        <v>16.6476138925601</v>
      </c>
      <c r="H406" s="38" t="n">
        <v>4.11788788870846</v>
      </c>
      <c r="I406" s="38" t="n">
        <v>249.84353936978</v>
      </c>
      <c r="J406" s="38" t="n">
        <v>88.8419270955261</v>
      </c>
      <c r="K406" s="38" t="n">
        <v>124.94758562751</v>
      </c>
      <c r="L406" s="38" t="n">
        <v>73.3656467510973</v>
      </c>
      <c r="M406" s="38" t="n">
        <v>67.5897439293413</v>
      </c>
      <c r="N406" s="38" t="n">
        <v>0</v>
      </c>
    </row>
    <row r="407" customFormat="false" ht="15" hidden="false" customHeight="false" outlineLevel="0" collapsed="false">
      <c r="A407" s="37" t="s">
        <v>560</v>
      </c>
      <c r="B407" s="37" t="s">
        <v>118</v>
      </c>
      <c r="C407" s="37" t="s">
        <v>46</v>
      </c>
      <c r="D407" s="37" t="s">
        <v>47</v>
      </c>
      <c r="E407" s="38" t="n">
        <v>222.754113668258</v>
      </c>
      <c r="F407" s="38" t="n">
        <v>38.39021780004</v>
      </c>
      <c r="G407" s="38" t="n">
        <v>16.6653508788723</v>
      </c>
      <c r="H407" s="38" t="n">
        <v>16.9006082148153</v>
      </c>
      <c r="I407" s="38" t="n">
        <v>247.770661066117</v>
      </c>
      <c r="J407" s="38" t="n">
        <v>54.5206610661166</v>
      </c>
      <c r="K407" s="38" t="n">
        <v>133.072236264374</v>
      </c>
      <c r="L407" s="38" t="n">
        <v>75.2148997175785</v>
      </c>
      <c r="M407" s="38" t="n">
        <v>69.6722895173027</v>
      </c>
      <c r="N407" s="38" t="n">
        <v>0</v>
      </c>
    </row>
    <row r="408" customFormat="false" ht="15" hidden="false" customHeight="false" outlineLevel="0" collapsed="false">
      <c r="A408" s="37" t="s">
        <v>560</v>
      </c>
      <c r="B408" s="37" t="s">
        <v>118</v>
      </c>
      <c r="C408" s="37" t="s">
        <v>51</v>
      </c>
      <c r="D408" s="37" t="s">
        <v>51</v>
      </c>
      <c r="E408" s="38" t="n">
        <v>230.701335674452</v>
      </c>
      <c r="F408" s="38" t="n">
        <v>47.8646319282437</v>
      </c>
      <c r="G408" s="38" t="n">
        <v>16.6653508788723</v>
      </c>
      <c r="H408" s="38" t="n">
        <v>11.3070619880399</v>
      </c>
      <c r="I408" s="38" t="n">
        <v>286.798263850143</v>
      </c>
      <c r="J408" s="38" t="n">
        <v>90.1245632152654</v>
      </c>
      <c r="K408" s="38" t="n">
        <v>147.854465576531</v>
      </c>
      <c r="L408" s="38" t="n">
        <v>77.6777673519666</v>
      </c>
      <c r="M408" s="38" t="n">
        <v>75.1580019290949</v>
      </c>
      <c r="N408" s="38" t="n">
        <v>0</v>
      </c>
    </row>
    <row r="409" customFormat="false" ht="15" hidden="false" customHeight="false" outlineLevel="0" collapsed="false">
      <c r="A409" s="37" t="s">
        <v>560</v>
      </c>
      <c r="B409" s="37" t="s">
        <v>118</v>
      </c>
      <c r="C409" s="37" t="s">
        <v>55</v>
      </c>
      <c r="D409" s="37" t="s">
        <v>37</v>
      </c>
      <c r="E409" s="38" t="n">
        <v>219.386151558334</v>
      </c>
      <c r="F409" s="38" t="n">
        <v>38.4464330934871</v>
      </c>
      <c r="G409" s="38" t="n">
        <v>16.6470080679855</v>
      </c>
      <c r="H409" s="38" t="n">
        <v>3.94328429515778</v>
      </c>
      <c r="I409" s="38" t="n">
        <v>295.675082178404</v>
      </c>
      <c r="J409" s="38" t="n">
        <v>95.241444121644</v>
      </c>
      <c r="K409" s="38" t="n">
        <v>123.564678747757</v>
      </c>
      <c r="L409" s="38" t="n">
        <v>67.4773131475531</v>
      </c>
      <c r="M409" s="38" t="n">
        <v>65.0188326887862</v>
      </c>
      <c r="N409" s="38" t="n">
        <v>0</v>
      </c>
    </row>
    <row r="410" customFormat="false" ht="15" hidden="false" customHeight="false" outlineLevel="0" collapsed="false">
      <c r="A410" s="37" t="s">
        <v>560</v>
      </c>
      <c r="B410" s="37" t="s">
        <v>118</v>
      </c>
      <c r="C410" s="37" t="s">
        <v>59</v>
      </c>
      <c r="D410" s="37" t="s">
        <v>42</v>
      </c>
      <c r="E410" s="38" t="n">
        <v>224.745186923367</v>
      </c>
      <c r="F410" s="38" t="n">
        <v>70.7319830555274</v>
      </c>
      <c r="G410" s="38" t="n">
        <v>16.6463440083597</v>
      </c>
      <c r="H410" s="38" t="n">
        <v>3.92161486652116</v>
      </c>
      <c r="I410" s="38" t="n">
        <v>257.927306455785</v>
      </c>
      <c r="J410" s="38" t="n">
        <v>48.1790837118254</v>
      </c>
      <c r="K410" s="38" t="n">
        <v>126.352687816213</v>
      </c>
      <c r="L410" s="38" t="n">
        <v>69.8891313178788</v>
      </c>
      <c r="M410" s="38" t="n">
        <v>64.2724470197289</v>
      </c>
      <c r="N410" s="38" t="n">
        <v>0</v>
      </c>
    </row>
    <row r="411" customFormat="false" ht="15" hidden="false" customHeight="false" outlineLevel="0" collapsed="false">
      <c r="A411" s="37" t="s">
        <v>560</v>
      </c>
      <c r="B411" s="37" t="s">
        <v>118</v>
      </c>
      <c r="C411" s="37" t="s">
        <v>63</v>
      </c>
      <c r="D411" s="37" t="s">
        <v>47</v>
      </c>
      <c r="E411" s="38" t="n">
        <v>208.563450075055</v>
      </c>
      <c r="F411" s="38" t="n">
        <v>38.7031535664745</v>
      </c>
      <c r="G411" s="38" t="n">
        <v>16.6507119720338</v>
      </c>
      <c r="H411" s="38" t="n">
        <v>16.4613048215322</v>
      </c>
      <c r="I411" s="38" t="n">
        <v>227.234428487696</v>
      </c>
      <c r="J411" s="38" t="n">
        <v>36.7110061856099</v>
      </c>
      <c r="K411" s="38" t="n">
        <v>107.269761009283</v>
      </c>
      <c r="L411" s="38" t="n">
        <v>59.6155149541915</v>
      </c>
      <c r="M411" s="38" t="n">
        <v>59.1486840949645</v>
      </c>
      <c r="N411" s="38" t="n">
        <v>0</v>
      </c>
    </row>
    <row r="412" customFormat="false" ht="15" hidden="false" customHeight="false" outlineLevel="0" collapsed="false">
      <c r="A412" s="37" t="s">
        <v>560</v>
      </c>
      <c r="B412" s="37" t="s">
        <v>118</v>
      </c>
      <c r="C412" s="37" t="s">
        <v>67</v>
      </c>
      <c r="D412" s="37" t="s">
        <v>68</v>
      </c>
      <c r="E412" s="38" t="n">
        <v>211.869725666945</v>
      </c>
      <c r="F412" s="38" t="n">
        <v>39.8703075952908</v>
      </c>
      <c r="G412" s="38" t="n">
        <v>16.7121836852127</v>
      </c>
      <c r="H412" s="38" t="n">
        <v>4.09069122026735</v>
      </c>
      <c r="I412" s="38" t="n">
        <v>247.888124598045</v>
      </c>
      <c r="J412" s="38" t="n">
        <v>56.388124598045</v>
      </c>
      <c r="K412" s="38" t="n">
        <v>133.818918777094</v>
      </c>
      <c r="L412" s="38" t="n">
        <v>70.0184377080066</v>
      </c>
      <c r="M412" s="38" t="n">
        <v>67.7042544694959</v>
      </c>
      <c r="N412" s="38" t="n">
        <v>0</v>
      </c>
    </row>
    <row r="413" customFormat="false" ht="15" hidden="false" customHeight="false" outlineLevel="0" collapsed="false">
      <c r="A413" s="37" t="s">
        <v>560</v>
      </c>
      <c r="B413" s="37" t="s">
        <v>118</v>
      </c>
      <c r="C413" s="37" t="s">
        <v>72</v>
      </c>
      <c r="D413" s="37" t="s">
        <v>73</v>
      </c>
      <c r="E413" s="38" t="n">
        <v>206.322204591068</v>
      </c>
      <c r="F413" s="38" t="n">
        <v>41.6872030921913</v>
      </c>
      <c r="G413" s="38" t="n">
        <v>16.6653508788723</v>
      </c>
      <c r="H413" s="38" t="n">
        <v>6.09477592139979</v>
      </c>
      <c r="I413" s="38" t="n">
        <v>252.942069469678</v>
      </c>
      <c r="J413" s="38" t="n">
        <v>216.570085342694</v>
      </c>
      <c r="K413" s="38" t="n">
        <v>112.379790875916</v>
      </c>
      <c r="L413" s="38" t="n">
        <v>66.4594113544718</v>
      </c>
      <c r="M413" s="38" t="n">
        <v>60.246759423961</v>
      </c>
      <c r="N413" s="38" t="n">
        <v>0</v>
      </c>
    </row>
    <row r="414" customFormat="false" ht="15" hidden="false" customHeight="false" outlineLevel="0" collapsed="false">
      <c r="A414" s="37" t="s">
        <v>560</v>
      </c>
      <c r="B414" s="37" t="s">
        <v>118</v>
      </c>
      <c r="C414" s="37" t="s">
        <v>77</v>
      </c>
      <c r="D414" s="37" t="s">
        <v>78</v>
      </c>
      <c r="E414" s="38" t="n">
        <v>238.256205176877</v>
      </c>
      <c r="F414" s="38" t="n">
        <v>55.7536500249575</v>
      </c>
      <c r="G414" s="38" t="n">
        <v>16.9529568740889</v>
      </c>
      <c r="H414" s="38" t="n">
        <v>10.9749054432259</v>
      </c>
      <c r="I414" s="38" t="n">
        <v>280.493732027627</v>
      </c>
      <c r="J414" s="38" t="n">
        <v>99.1171464979605</v>
      </c>
      <c r="K414" s="38" t="n">
        <v>153.000320453286</v>
      </c>
      <c r="L414" s="38" t="n">
        <v>82.0658089404216</v>
      </c>
      <c r="M414" s="38" t="n">
        <v>78.3339324297965</v>
      </c>
      <c r="N414" s="38" t="n">
        <v>0</v>
      </c>
    </row>
    <row r="415" customFormat="false" ht="15" hidden="false" customHeight="false" outlineLevel="0" collapsed="false">
      <c r="A415" s="37" t="s">
        <v>560</v>
      </c>
      <c r="B415" s="37" t="s">
        <v>121</v>
      </c>
      <c r="C415" s="37" t="s">
        <v>36</v>
      </c>
      <c r="D415" s="37" t="s">
        <v>37</v>
      </c>
      <c r="E415" s="38" t="n">
        <v>208.254827896082</v>
      </c>
      <c r="F415" s="38" t="n">
        <v>38.3601713864913</v>
      </c>
      <c r="G415" s="38" t="n">
        <v>16.6104980515411</v>
      </c>
      <c r="H415" s="38" t="n">
        <v>4.88119944320263</v>
      </c>
      <c r="I415" s="38" t="n">
        <v>246.032274684044</v>
      </c>
      <c r="J415" s="38" t="n">
        <v>42.6316957833493</v>
      </c>
      <c r="K415" s="38" t="n">
        <v>108.057185694257</v>
      </c>
      <c r="L415" s="38" t="n">
        <v>66.9199804757143</v>
      </c>
      <c r="M415" s="38" t="n">
        <v>61.2163099160143</v>
      </c>
      <c r="N415" s="38" t="n">
        <v>0</v>
      </c>
    </row>
    <row r="416" customFormat="false" ht="15" hidden="false" customHeight="false" outlineLevel="0" collapsed="false">
      <c r="A416" s="37" t="s">
        <v>560</v>
      </c>
      <c r="B416" s="37" t="s">
        <v>121</v>
      </c>
      <c r="C416" s="37" t="s">
        <v>41</v>
      </c>
      <c r="D416" s="37" t="s">
        <v>42</v>
      </c>
      <c r="E416" s="38" t="n">
        <v>209.637593016161</v>
      </c>
      <c r="F416" s="38" t="n">
        <v>63.9628231725277</v>
      </c>
      <c r="G416" s="38" t="n">
        <v>16.6070249564624</v>
      </c>
      <c r="H416" s="38" t="n">
        <v>4.82791729131922</v>
      </c>
      <c r="I416" s="38" t="n">
        <v>230.003414769739</v>
      </c>
      <c r="J416" s="38" t="n">
        <v>71.3536936024143</v>
      </c>
      <c r="K416" s="38" t="n">
        <v>109.105726552507</v>
      </c>
      <c r="L416" s="38" t="n">
        <v>67.781269350799</v>
      </c>
      <c r="M416" s="38" t="n">
        <v>59.5441735725019</v>
      </c>
      <c r="N416" s="38" t="n">
        <v>0</v>
      </c>
    </row>
    <row r="417" customFormat="false" ht="15" hidden="false" customHeight="false" outlineLevel="0" collapsed="false">
      <c r="A417" s="37" t="s">
        <v>560</v>
      </c>
      <c r="B417" s="37" t="s">
        <v>121</v>
      </c>
      <c r="C417" s="37" t="s">
        <v>46</v>
      </c>
      <c r="D417" s="37" t="s">
        <v>47</v>
      </c>
      <c r="E417" s="38" t="n">
        <v>217.970685792821</v>
      </c>
      <c r="F417" s="38" t="n">
        <v>38.2141887715451</v>
      </c>
      <c r="G417" s="38" t="n">
        <v>16.627614109978</v>
      </c>
      <c r="H417" s="38" t="n">
        <v>25.9575383328604</v>
      </c>
      <c r="I417" s="38" t="n">
        <v>242.385459725643</v>
      </c>
      <c r="J417" s="38" t="n">
        <v>49.1354597256433</v>
      </c>
      <c r="K417" s="38" t="n">
        <v>127.940577926808</v>
      </c>
      <c r="L417" s="38" t="n">
        <v>74.5756609510911</v>
      </c>
      <c r="M417" s="38" t="n">
        <v>66.4800838921719</v>
      </c>
      <c r="N417" s="38" t="n">
        <v>0</v>
      </c>
    </row>
    <row r="418" customFormat="false" ht="15" hidden="false" customHeight="false" outlineLevel="0" collapsed="false">
      <c r="A418" s="37" t="s">
        <v>560</v>
      </c>
      <c r="B418" s="37" t="s">
        <v>121</v>
      </c>
      <c r="C418" s="37" t="s">
        <v>51</v>
      </c>
      <c r="D418" s="37" t="s">
        <v>51</v>
      </c>
      <c r="E418" s="38" t="n">
        <v>219.561260150467</v>
      </c>
      <c r="F418" s="38" t="n">
        <v>47.4893891822967</v>
      </c>
      <c r="G418" s="38" t="n">
        <v>16.627614109978</v>
      </c>
      <c r="H418" s="38" t="n">
        <v>16.6003699503618</v>
      </c>
      <c r="I418" s="38" t="n">
        <v>263.596947782152</v>
      </c>
      <c r="J418" s="38" t="n">
        <v>66.9232471472752</v>
      </c>
      <c r="K418" s="38" t="n">
        <v>136.667446329093</v>
      </c>
      <c r="L418" s="38" t="n">
        <v>74.9496359152529</v>
      </c>
      <c r="M418" s="38" t="n">
        <v>70.0666088781853</v>
      </c>
      <c r="N418" s="38" t="n">
        <v>0</v>
      </c>
    </row>
    <row r="419" customFormat="false" ht="15" hidden="false" customHeight="false" outlineLevel="0" collapsed="false">
      <c r="A419" s="37" t="s">
        <v>560</v>
      </c>
      <c r="B419" s="37" t="s">
        <v>121</v>
      </c>
      <c r="C419" s="37" t="s">
        <v>55</v>
      </c>
      <c r="D419" s="37" t="s">
        <v>37</v>
      </c>
      <c r="E419" s="38" t="n">
        <v>200.013565071661</v>
      </c>
      <c r="F419" s="38" t="n">
        <v>38.0578283730587</v>
      </c>
      <c r="G419" s="38" t="n">
        <v>16.6087632712242</v>
      </c>
      <c r="H419" s="38" t="n">
        <v>4.65397394027493</v>
      </c>
      <c r="I419" s="38" t="n">
        <v>253.380827828037</v>
      </c>
      <c r="J419" s="38" t="n">
        <v>52.5997938631192</v>
      </c>
      <c r="K419" s="38" t="n">
        <v>101.842672413368</v>
      </c>
      <c r="L419" s="38" t="n">
        <v>60.728460375482</v>
      </c>
      <c r="M419" s="38" t="n">
        <v>55.6781894551376</v>
      </c>
      <c r="N419" s="38" t="n">
        <v>0</v>
      </c>
    </row>
    <row r="420" customFormat="false" ht="15" hidden="false" customHeight="false" outlineLevel="0" collapsed="false">
      <c r="A420" s="37" t="s">
        <v>560</v>
      </c>
      <c r="B420" s="37" t="s">
        <v>121</v>
      </c>
      <c r="C420" s="37" t="s">
        <v>59</v>
      </c>
      <c r="D420" s="37" t="s">
        <v>42</v>
      </c>
      <c r="E420" s="38" t="n">
        <v>203.324037126307</v>
      </c>
      <c r="F420" s="38" t="n">
        <v>64.0553216940842</v>
      </c>
      <c r="G420" s="38" t="n">
        <v>16.5928433207592</v>
      </c>
      <c r="H420" s="38" t="n">
        <v>4.58873400190192</v>
      </c>
      <c r="I420" s="38" t="n">
        <v>230.627014371592</v>
      </c>
      <c r="J420" s="38" t="n">
        <v>31.4657174084669</v>
      </c>
      <c r="K420" s="38" t="n">
        <v>98.4523821124622</v>
      </c>
      <c r="L420" s="38" t="n">
        <v>56.9420370472384</v>
      </c>
      <c r="M420" s="38" t="n">
        <v>51.5746432104945</v>
      </c>
      <c r="N420" s="38" t="n">
        <v>0</v>
      </c>
    </row>
    <row r="421" customFormat="false" ht="15" hidden="false" customHeight="false" outlineLevel="0" collapsed="false">
      <c r="A421" s="37" t="s">
        <v>560</v>
      </c>
      <c r="B421" s="37" t="s">
        <v>121</v>
      </c>
      <c r="C421" s="37" t="s">
        <v>63</v>
      </c>
      <c r="D421" s="37" t="s">
        <v>47</v>
      </c>
      <c r="E421" s="38" t="n">
        <v>204.16426525949</v>
      </c>
      <c r="F421" s="38" t="n">
        <v>38.5263381904698</v>
      </c>
      <c r="G421" s="38" t="n">
        <v>16.6127507657898</v>
      </c>
      <c r="H421" s="38" t="n">
        <v>25.454491358381</v>
      </c>
      <c r="I421" s="38" t="n">
        <v>222.346169404055</v>
      </c>
      <c r="J421" s="38" t="n">
        <v>31.6634705122636</v>
      </c>
      <c r="K421" s="38" t="n">
        <v>97.5428866723954</v>
      </c>
      <c r="L421" s="38" t="n">
        <v>59.3258264926358</v>
      </c>
      <c r="M421" s="38" t="n">
        <v>55.0191944811472</v>
      </c>
      <c r="N421" s="38" t="n">
        <v>0</v>
      </c>
    </row>
    <row r="422" customFormat="false" ht="15" hidden="false" customHeight="false" outlineLevel="0" collapsed="false">
      <c r="A422" s="37" t="s">
        <v>560</v>
      </c>
      <c r="B422" s="37" t="s">
        <v>121</v>
      </c>
      <c r="C422" s="37" t="s">
        <v>67</v>
      </c>
      <c r="D422" s="37" t="s">
        <v>68</v>
      </c>
      <c r="E422" s="38" t="n">
        <v>195.746122594081</v>
      </c>
      <c r="F422" s="38" t="n">
        <v>39.4646899539251</v>
      </c>
      <c r="G422" s="38" t="n">
        <v>16.664949299855</v>
      </c>
      <c r="H422" s="38" t="n">
        <v>4.84400508234978</v>
      </c>
      <c r="I422" s="38" t="n">
        <v>212.029494574872</v>
      </c>
      <c r="J422" s="38" t="n">
        <v>30.5294945748724</v>
      </c>
      <c r="K422" s="38" t="n">
        <v>106.255632928562</v>
      </c>
      <c r="L422" s="38" t="n">
        <v>63.0940851565415</v>
      </c>
      <c r="M422" s="38" t="n">
        <v>57.5590654981855</v>
      </c>
      <c r="N422" s="38" t="n">
        <v>0</v>
      </c>
    </row>
    <row r="423" customFormat="false" ht="15" hidden="false" customHeight="false" outlineLevel="0" collapsed="false">
      <c r="A423" s="37" t="s">
        <v>560</v>
      </c>
      <c r="B423" s="37" t="s">
        <v>121</v>
      </c>
      <c r="C423" s="37" t="s">
        <v>72</v>
      </c>
      <c r="D423" s="37" t="s">
        <v>73</v>
      </c>
      <c r="E423" s="38" t="n">
        <v>192.16637109229</v>
      </c>
      <c r="F423" s="38" t="n">
        <v>41.2418797870594</v>
      </c>
      <c r="G423" s="38" t="n">
        <v>16.627614109978</v>
      </c>
      <c r="H423" s="38" t="n">
        <v>8.07913616366102</v>
      </c>
      <c r="I423" s="38" t="n">
        <v>219.141512168952</v>
      </c>
      <c r="J423" s="38" t="n">
        <v>182.769528041968</v>
      </c>
      <c r="K423" s="38" t="n">
        <v>95.3282211705021</v>
      </c>
      <c r="L423" s="38" t="n">
        <v>63.4488858723825</v>
      </c>
      <c r="M423" s="38" t="n">
        <v>52.6825821976515</v>
      </c>
      <c r="N423" s="38" t="n">
        <v>0</v>
      </c>
    </row>
    <row r="424" customFormat="false" ht="15" hidden="false" customHeight="false" outlineLevel="0" collapsed="false">
      <c r="A424" s="37" t="s">
        <v>560</v>
      </c>
      <c r="B424" s="37" t="s">
        <v>121</v>
      </c>
      <c r="C424" s="37" t="s">
        <v>77</v>
      </c>
      <c r="D424" s="37" t="s">
        <v>78</v>
      </c>
      <c r="E424" s="38" t="n">
        <v>227.068239518207</v>
      </c>
      <c r="F424" s="38" t="n">
        <v>55.3163240765515</v>
      </c>
      <c r="G424" s="38" t="n">
        <v>16.9149168975535</v>
      </c>
      <c r="H424" s="38" t="n">
        <v>15.915413074438</v>
      </c>
      <c r="I424" s="38" t="n">
        <v>256.581118205205</v>
      </c>
      <c r="J424" s="38" t="n">
        <v>75.2023057191461</v>
      </c>
      <c r="K424" s="38" t="n">
        <v>142.519758528891</v>
      </c>
      <c r="L424" s="38" t="n">
        <v>78.9116645808724</v>
      </c>
      <c r="M424" s="38" t="n">
        <v>74.4451701030597</v>
      </c>
      <c r="N424" s="38" t="n">
        <v>0</v>
      </c>
    </row>
    <row r="425" customFormat="false" ht="15" hidden="false" customHeight="false" outlineLevel="0" collapsed="false">
      <c r="A425" s="37" t="s">
        <v>599</v>
      </c>
      <c r="B425" s="37" t="s">
        <v>97</v>
      </c>
      <c r="C425" s="37" t="s">
        <v>36</v>
      </c>
      <c r="D425" s="37" t="s">
        <v>37</v>
      </c>
      <c r="E425" s="38" t="n">
        <v>212.364410560599</v>
      </c>
      <c r="F425" s="38" t="n">
        <v>39.5421810417664</v>
      </c>
      <c r="G425" s="38" t="n">
        <v>15.9058606326434</v>
      </c>
      <c r="H425" s="38" t="n">
        <v>5.03141085364453</v>
      </c>
      <c r="I425" s="38" t="n">
        <v>249.947495866092</v>
      </c>
      <c r="J425" s="38" t="n">
        <v>46.6415578431324</v>
      </c>
      <c r="K425" s="38" t="n">
        <v>116.206117158122</v>
      </c>
      <c r="L425" s="38" t="n">
        <v>68.060981926862</v>
      </c>
      <c r="M425" s="38" t="n">
        <v>64.153950073166</v>
      </c>
      <c r="N425" s="38" t="n">
        <v>0</v>
      </c>
    </row>
    <row r="426" customFormat="false" ht="15" hidden="false" customHeight="false" outlineLevel="0" collapsed="false">
      <c r="A426" s="37" t="s">
        <v>599</v>
      </c>
      <c r="B426" s="37" t="s">
        <v>97</v>
      </c>
      <c r="C426" s="37" t="s">
        <v>41</v>
      </c>
      <c r="D426" s="37" t="s">
        <v>42</v>
      </c>
      <c r="E426" s="38" t="n">
        <v>197.524078527406</v>
      </c>
      <c r="F426" s="38" t="n">
        <v>50.1021650036316</v>
      </c>
      <c r="G426" s="38" t="n">
        <v>15.8894021171473</v>
      </c>
      <c r="H426" s="38" t="n">
        <v>4.91816257006477</v>
      </c>
      <c r="I426" s="38" t="n">
        <v>199.832100696294</v>
      </c>
      <c r="J426" s="38" t="n">
        <v>24.9341345665839</v>
      </c>
      <c r="K426" s="38" t="n">
        <v>81.785812560389</v>
      </c>
      <c r="L426" s="38" t="n">
        <v>58.631731521967</v>
      </c>
      <c r="M426" s="38" t="n">
        <v>48.8876574280537</v>
      </c>
      <c r="N426" s="38" t="n">
        <v>0</v>
      </c>
    </row>
    <row r="427" customFormat="false" ht="15" hidden="false" customHeight="false" outlineLevel="0" collapsed="false">
      <c r="A427" s="37" t="s">
        <v>599</v>
      </c>
      <c r="B427" s="37" t="s">
        <v>97</v>
      </c>
      <c r="C427" s="37" t="s">
        <v>46</v>
      </c>
      <c r="D427" s="37" t="s">
        <v>47</v>
      </c>
      <c r="E427" s="38" t="n">
        <v>223.336503025128</v>
      </c>
      <c r="F427" s="38" t="n">
        <v>39.3709787908919</v>
      </c>
      <c r="G427" s="38" t="n">
        <v>15.9221667710777</v>
      </c>
      <c r="H427" s="38" t="n">
        <v>27.8902650721573</v>
      </c>
      <c r="I427" s="38" t="n">
        <v>248.567447023036</v>
      </c>
      <c r="J427" s="38" t="n">
        <v>55.317447023036</v>
      </c>
      <c r="K427" s="38" t="n">
        <v>137.282860869916</v>
      </c>
      <c r="L427" s="38" t="n">
        <v>76.2643561040644</v>
      </c>
      <c r="M427" s="38" t="n">
        <v>69.7680294471385</v>
      </c>
      <c r="N427" s="38" t="n">
        <v>0</v>
      </c>
    </row>
    <row r="428" customFormat="false" ht="15" hidden="false" customHeight="false" outlineLevel="0" collapsed="false">
      <c r="A428" s="37" t="s">
        <v>599</v>
      </c>
      <c r="B428" s="37" t="s">
        <v>97</v>
      </c>
      <c r="C428" s="37" t="s">
        <v>51</v>
      </c>
      <c r="D428" s="37" t="s">
        <v>51</v>
      </c>
      <c r="E428" s="38" t="n">
        <v>219.473579145104</v>
      </c>
      <c r="F428" s="38" t="n">
        <v>43.7973263962411</v>
      </c>
      <c r="G428" s="38" t="n">
        <v>15.9221667710777</v>
      </c>
      <c r="H428" s="38" t="n">
        <v>17.8765692783715</v>
      </c>
      <c r="I428" s="38" t="n">
        <v>257.298031286783</v>
      </c>
      <c r="J428" s="38" t="n">
        <v>60.6243306519061</v>
      </c>
      <c r="K428" s="38" t="n">
        <v>136.713814513911</v>
      </c>
      <c r="L428" s="38" t="n">
        <v>74.2672249316713</v>
      </c>
      <c r="M428" s="38" t="n">
        <v>69.64184668495</v>
      </c>
      <c r="N428" s="38" t="n">
        <v>0</v>
      </c>
    </row>
    <row r="429" customFormat="false" ht="15" hidden="false" customHeight="false" outlineLevel="0" collapsed="false">
      <c r="A429" s="37" t="s">
        <v>599</v>
      </c>
      <c r="B429" s="37" t="s">
        <v>97</v>
      </c>
      <c r="C429" s="37" t="s">
        <v>55</v>
      </c>
      <c r="D429" s="37" t="s">
        <v>37</v>
      </c>
      <c r="E429" s="38" t="n">
        <v>203.893159816572</v>
      </c>
      <c r="F429" s="38" t="n">
        <v>39.2463786901263</v>
      </c>
      <c r="G429" s="38" t="n">
        <v>15.9041943769392</v>
      </c>
      <c r="H429" s="38" t="n">
        <v>4.78960818182069</v>
      </c>
      <c r="I429" s="38" t="n">
        <v>257.077331171122</v>
      </c>
      <c r="J429" s="38" t="n">
        <v>56.3913350461927</v>
      </c>
      <c r="K429" s="38" t="n">
        <v>109.882212011446</v>
      </c>
      <c r="L429" s="38" t="n">
        <v>61.8035853090846</v>
      </c>
      <c r="M429" s="38" t="n">
        <v>58.5631559561693</v>
      </c>
      <c r="N429" s="38" t="n">
        <v>0</v>
      </c>
    </row>
    <row r="430" customFormat="false" ht="15" hidden="false" customHeight="false" outlineLevel="0" collapsed="false">
      <c r="A430" s="37" t="s">
        <v>599</v>
      </c>
      <c r="B430" s="37" t="s">
        <v>97</v>
      </c>
      <c r="C430" s="37" t="s">
        <v>59</v>
      </c>
      <c r="D430" s="37" t="s">
        <v>42</v>
      </c>
      <c r="E430" s="38" t="n">
        <v>193.278429750093</v>
      </c>
      <c r="F430" s="38" t="n">
        <v>51.9852683851449</v>
      </c>
      <c r="G430" s="38" t="n">
        <v>15.8883317838861</v>
      </c>
      <c r="H430" s="38" t="n">
        <v>4.71774603816191</v>
      </c>
      <c r="I430" s="38" t="n">
        <v>196.935099803728</v>
      </c>
      <c r="J430" s="38" t="n">
        <v>-1.68165802514184</v>
      </c>
      <c r="K430" s="38" t="n">
        <v>74.7460254168548</v>
      </c>
      <c r="L430" s="38" t="n">
        <v>51.7174939108118</v>
      </c>
      <c r="M430" s="38" t="n">
        <v>43.0224013575707</v>
      </c>
      <c r="N430" s="38" t="n">
        <v>0</v>
      </c>
    </row>
    <row r="431" customFormat="false" ht="15" hidden="false" customHeight="false" outlineLevel="0" collapsed="false">
      <c r="A431" s="37" t="s">
        <v>599</v>
      </c>
      <c r="B431" s="37" t="s">
        <v>97</v>
      </c>
      <c r="C431" s="37" t="s">
        <v>63</v>
      </c>
      <c r="D431" s="37" t="s">
        <v>47</v>
      </c>
      <c r="E431" s="38" t="n">
        <v>209.286782947445</v>
      </c>
      <c r="F431" s="38" t="n">
        <v>39.711861652767</v>
      </c>
      <c r="G431" s="38" t="n">
        <v>15.9080384079191</v>
      </c>
      <c r="H431" s="38" t="n">
        <v>27.3506241763368</v>
      </c>
      <c r="I431" s="38" t="n">
        <v>228.201388987476</v>
      </c>
      <c r="J431" s="38" t="n">
        <v>37.6223392873706</v>
      </c>
      <c r="K431" s="38" t="n">
        <v>112.106318350142</v>
      </c>
      <c r="L431" s="38" t="n">
        <v>60.9130043882401</v>
      </c>
      <c r="M431" s="38" t="n">
        <v>59.8784425222116</v>
      </c>
      <c r="N431" s="38" t="n">
        <v>0</v>
      </c>
    </row>
    <row r="432" customFormat="false" ht="15" hidden="false" customHeight="false" outlineLevel="0" collapsed="false">
      <c r="A432" s="37" t="s">
        <v>599</v>
      </c>
      <c r="B432" s="37" t="s">
        <v>97</v>
      </c>
      <c r="C432" s="37" t="s">
        <v>67</v>
      </c>
      <c r="D432" s="37" t="s">
        <v>68</v>
      </c>
      <c r="E432" s="38" t="n">
        <v>198.164187821147</v>
      </c>
      <c r="F432" s="38" t="n">
        <v>40.652857342268</v>
      </c>
      <c r="G432" s="38" t="n">
        <v>15.1216882833063</v>
      </c>
      <c r="H432" s="38" t="n">
        <v>4.99119857494195</v>
      </c>
      <c r="I432" s="38" t="n">
        <v>214.012726287484</v>
      </c>
      <c r="J432" s="38" t="n">
        <v>32.5127262874841</v>
      </c>
      <c r="K432" s="38" t="n">
        <v>110.903443154202</v>
      </c>
      <c r="L432" s="38" t="n">
        <v>63.6532932047838</v>
      </c>
      <c r="M432" s="38" t="n">
        <v>59.6811526623173</v>
      </c>
      <c r="N432" s="38" t="n">
        <v>0</v>
      </c>
    </row>
    <row r="433" customFormat="false" ht="15" hidden="false" customHeight="false" outlineLevel="0" collapsed="false">
      <c r="A433" s="37" t="s">
        <v>599</v>
      </c>
      <c r="B433" s="37" t="s">
        <v>97</v>
      </c>
      <c r="C433" s="37" t="s">
        <v>72</v>
      </c>
      <c r="D433" s="37" t="s">
        <v>73</v>
      </c>
      <c r="E433" s="38" t="n">
        <v>194.30321533499</v>
      </c>
      <c r="F433" s="38" t="n">
        <v>40.775677806062</v>
      </c>
      <c r="G433" s="38" t="n">
        <v>15.9221667710777</v>
      </c>
      <c r="H433" s="38" t="n">
        <v>8.59717676368948</v>
      </c>
      <c r="I433" s="38" t="n">
        <v>218.973484942641</v>
      </c>
      <c r="J433" s="38" t="n">
        <v>182.601500815657</v>
      </c>
      <c r="K433" s="38" t="n">
        <v>100.148862290468</v>
      </c>
      <c r="L433" s="38" t="n">
        <v>63.8192194618383</v>
      </c>
      <c r="M433" s="38" t="n">
        <v>54.1827398230968</v>
      </c>
      <c r="N433" s="38" t="n">
        <v>0</v>
      </c>
    </row>
    <row r="434" customFormat="false" ht="15" hidden="false" customHeight="false" outlineLevel="0" collapsed="false">
      <c r="A434" s="37" t="s">
        <v>599</v>
      </c>
      <c r="B434" s="37" t="s">
        <v>97</v>
      </c>
      <c r="C434" s="37" t="s">
        <v>77</v>
      </c>
      <c r="D434" s="37" t="s">
        <v>78</v>
      </c>
      <c r="E434" s="38" t="n">
        <v>226.937442408117</v>
      </c>
      <c r="F434" s="38" t="n">
        <v>51.6606518328984</v>
      </c>
      <c r="G434" s="38" t="n">
        <v>16.0401527282242</v>
      </c>
      <c r="H434" s="38" t="n">
        <v>17.2192204389607</v>
      </c>
      <c r="I434" s="38" t="n">
        <v>248.47912117855</v>
      </c>
      <c r="J434" s="38" t="n">
        <v>67.2585451004281</v>
      </c>
      <c r="K434" s="38" t="n">
        <v>142.125580137375</v>
      </c>
      <c r="L434" s="38" t="n">
        <v>78.2209685542445</v>
      </c>
      <c r="M434" s="38" t="n">
        <v>73.5843510232296</v>
      </c>
      <c r="N434" s="38" t="n">
        <v>0</v>
      </c>
    </row>
    <row r="435" customFormat="false" ht="15" hidden="false" customHeight="false" outlineLevel="0" collapsed="false">
      <c r="A435" s="37" t="s">
        <v>599</v>
      </c>
      <c r="B435" s="37" t="s">
        <v>100</v>
      </c>
      <c r="C435" s="37" t="s">
        <v>36</v>
      </c>
      <c r="D435" s="37" t="s">
        <v>37</v>
      </c>
      <c r="E435" s="38" t="n">
        <v>202.950145937118</v>
      </c>
      <c r="F435" s="38" t="n">
        <v>39.5249458138505</v>
      </c>
      <c r="G435" s="38" t="n">
        <v>15.9056160606976</v>
      </c>
      <c r="H435" s="38" t="n">
        <v>5.01869644449263</v>
      </c>
      <c r="I435" s="38" t="n">
        <v>229.508766299505</v>
      </c>
      <c r="J435" s="38" t="n">
        <v>37.2869625367352</v>
      </c>
      <c r="K435" s="38" t="n">
        <v>103.928290903108</v>
      </c>
      <c r="L435" s="38" t="n">
        <v>63.0982195793117</v>
      </c>
      <c r="M435" s="38" t="n">
        <v>59.0253835543121</v>
      </c>
      <c r="N435" s="38" t="n">
        <v>0</v>
      </c>
    </row>
    <row r="436" customFormat="false" ht="15" hidden="false" customHeight="false" outlineLevel="0" collapsed="false">
      <c r="A436" s="37" t="s">
        <v>599</v>
      </c>
      <c r="B436" s="37" t="s">
        <v>100</v>
      </c>
      <c r="C436" s="37" t="s">
        <v>41</v>
      </c>
      <c r="D436" s="37" t="s">
        <v>42</v>
      </c>
      <c r="E436" s="38" t="n">
        <v>190.078740375448</v>
      </c>
      <c r="F436" s="38" t="n">
        <v>50.0742214826534</v>
      </c>
      <c r="G436" s="38" t="n">
        <v>15.8893718035808</v>
      </c>
      <c r="H436" s="38" t="n">
        <v>4.91105759022253</v>
      </c>
      <c r="I436" s="38" t="n">
        <v>181.554633365507</v>
      </c>
      <c r="J436" s="38" t="n">
        <v>13.7606241530431</v>
      </c>
      <c r="K436" s="38" t="n">
        <v>71.5753020320829</v>
      </c>
      <c r="L436" s="38" t="n">
        <v>56.3728872821593</v>
      </c>
      <c r="M436" s="38" t="n">
        <v>44.5825478495417</v>
      </c>
      <c r="N436" s="38" t="n">
        <v>0</v>
      </c>
    </row>
    <row r="437" customFormat="false" ht="15" hidden="false" customHeight="false" outlineLevel="0" collapsed="false">
      <c r="A437" s="37" t="s">
        <v>599</v>
      </c>
      <c r="B437" s="37" t="s">
        <v>100</v>
      </c>
      <c r="C437" s="37" t="s">
        <v>46</v>
      </c>
      <c r="D437" s="37" t="s">
        <v>47</v>
      </c>
      <c r="E437" s="38" t="n">
        <v>216.505316196659</v>
      </c>
      <c r="F437" s="38" t="n">
        <v>39.3556261278555</v>
      </c>
      <c r="G437" s="38" t="n">
        <v>15.9221667710777</v>
      </c>
      <c r="H437" s="38" t="n">
        <v>27.8902650721573</v>
      </c>
      <c r="I437" s="38" t="n">
        <v>233.66210223598</v>
      </c>
      <c r="J437" s="38" t="n">
        <v>40.4121022359797</v>
      </c>
      <c r="K437" s="38" t="n">
        <v>130.973390284643</v>
      </c>
      <c r="L437" s="38" t="n">
        <v>74.4198259583133</v>
      </c>
      <c r="M437" s="38" t="n">
        <v>67.0084925175293</v>
      </c>
      <c r="N437" s="38" t="n">
        <v>0</v>
      </c>
    </row>
    <row r="438" customFormat="false" ht="15" hidden="false" customHeight="false" outlineLevel="0" collapsed="false">
      <c r="A438" s="37" t="s">
        <v>599</v>
      </c>
      <c r="B438" s="37" t="s">
        <v>100</v>
      </c>
      <c r="C438" s="37" t="s">
        <v>51</v>
      </c>
      <c r="D438" s="37" t="s">
        <v>51</v>
      </c>
      <c r="E438" s="38" t="n">
        <v>211.728236496561</v>
      </c>
      <c r="F438" s="38" t="n">
        <v>43.7730564105364</v>
      </c>
      <c r="G438" s="38" t="n">
        <v>15.9221667710777</v>
      </c>
      <c r="H438" s="38" t="n">
        <v>17.8765692783715</v>
      </c>
      <c r="I438" s="38" t="n">
        <v>239.454546851632</v>
      </c>
      <c r="J438" s="38" t="n">
        <v>42.7808462167552</v>
      </c>
      <c r="K438" s="38" t="n">
        <v>129.234279071329</v>
      </c>
      <c r="L438" s="38" t="n">
        <v>72.1741083856779</v>
      </c>
      <c r="M438" s="38" t="n">
        <v>66.3247350139603</v>
      </c>
      <c r="N438" s="38" t="n">
        <v>0</v>
      </c>
    </row>
    <row r="439" customFormat="false" ht="15" hidden="false" customHeight="false" outlineLevel="0" collapsed="false">
      <c r="A439" s="37" t="s">
        <v>599</v>
      </c>
      <c r="B439" s="37" t="s">
        <v>100</v>
      </c>
      <c r="C439" s="37" t="s">
        <v>55</v>
      </c>
      <c r="D439" s="37" t="s">
        <v>37</v>
      </c>
      <c r="E439" s="38" t="n">
        <v>194.867857398629</v>
      </c>
      <c r="F439" s="38" t="n">
        <v>39.2284913252066</v>
      </c>
      <c r="G439" s="38" t="n">
        <v>15.9039319267884</v>
      </c>
      <c r="H439" s="38" t="n">
        <v>4.78960818182069</v>
      </c>
      <c r="I439" s="38" t="n">
        <v>235.874137837083</v>
      </c>
      <c r="J439" s="38" t="n">
        <v>35.0101424263789</v>
      </c>
      <c r="K439" s="38" t="n">
        <v>95.5586654226419</v>
      </c>
      <c r="L439" s="38" t="n">
        <v>59.2678402670938</v>
      </c>
      <c r="M439" s="38" t="n">
        <v>53.1185849026026</v>
      </c>
      <c r="N439" s="38" t="n">
        <v>0</v>
      </c>
    </row>
    <row r="440" customFormat="false" ht="15" hidden="false" customHeight="false" outlineLevel="0" collapsed="false">
      <c r="A440" s="37" t="s">
        <v>599</v>
      </c>
      <c r="B440" s="37" t="s">
        <v>100</v>
      </c>
      <c r="C440" s="37" t="s">
        <v>59</v>
      </c>
      <c r="D440" s="37" t="s">
        <v>42</v>
      </c>
      <c r="E440" s="38" t="n">
        <v>186.130449586425</v>
      </c>
      <c r="F440" s="38" t="n">
        <v>51.953852951744</v>
      </c>
      <c r="G440" s="38" t="n">
        <v>15.8883305001523</v>
      </c>
      <c r="H440" s="38" t="n">
        <v>4.71774603816191</v>
      </c>
      <c r="I440" s="38" t="n">
        <v>178.615236810712</v>
      </c>
      <c r="J440" s="38" t="n">
        <v>-20.0015527509312</v>
      </c>
      <c r="K440" s="38" t="n">
        <v>63.7172046991819</v>
      </c>
      <c r="L440" s="38" t="n">
        <v>49.7278760676774</v>
      </c>
      <c r="M440" s="38" t="n">
        <v>38.9805701072034</v>
      </c>
      <c r="N440" s="38" t="n">
        <v>0</v>
      </c>
    </row>
    <row r="441" customFormat="false" ht="15" hidden="false" customHeight="false" outlineLevel="0" collapsed="false">
      <c r="A441" s="37" t="s">
        <v>599</v>
      </c>
      <c r="B441" s="37" t="s">
        <v>100</v>
      </c>
      <c r="C441" s="37" t="s">
        <v>63</v>
      </c>
      <c r="D441" s="37" t="s">
        <v>47</v>
      </c>
      <c r="E441" s="38" t="n">
        <v>202.67519107401</v>
      </c>
      <c r="F441" s="38" t="n">
        <v>39.6939894313198</v>
      </c>
      <c r="G441" s="38" t="n">
        <v>15.9078656459718</v>
      </c>
      <c r="H441" s="38" t="n">
        <v>27.3506241763368</v>
      </c>
      <c r="I441" s="38" t="n">
        <v>212.981973185287</v>
      </c>
      <c r="J441" s="38" t="n">
        <v>22.2857660405897</v>
      </c>
      <c r="K441" s="38" t="n">
        <v>94.1459883568684</v>
      </c>
      <c r="L441" s="38" t="n">
        <v>59.0591294166029</v>
      </c>
      <c r="M441" s="38" t="n">
        <v>53.6984484524162</v>
      </c>
      <c r="N441" s="38" t="n">
        <v>0</v>
      </c>
    </row>
    <row r="442" customFormat="false" ht="15" hidden="false" customHeight="false" outlineLevel="0" collapsed="false">
      <c r="A442" s="37" t="s">
        <v>599</v>
      </c>
      <c r="B442" s="37" t="s">
        <v>100</v>
      </c>
      <c r="C442" s="37" t="s">
        <v>67</v>
      </c>
      <c r="D442" s="37" t="s">
        <v>68</v>
      </c>
      <c r="E442" s="38" t="n">
        <v>190.226847409267</v>
      </c>
      <c r="F442" s="38" t="n">
        <v>40.6366582197403</v>
      </c>
      <c r="G442" s="38" t="n">
        <v>15.1154131366612</v>
      </c>
      <c r="H442" s="38" t="n">
        <v>4.9853863148386</v>
      </c>
      <c r="I442" s="38" t="n">
        <v>195.10628327223</v>
      </c>
      <c r="J442" s="38" t="n">
        <v>24.4408269101123</v>
      </c>
      <c r="K442" s="38" t="n">
        <v>94.9707821822824</v>
      </c>
      <c r="L442" s="38" t="n">
        <v>61.7346447275285</v>
      </c>
      <c r="M442" s="38" t="n">
        <v>53.6342685768191</v>
      </c>
      <c r="N442" s="38" t="n">
        <v>0</v>
      </c>
    </row>
    <row r="443" customFormat="false" ht="15" hidden="false" customHeight="false" outlineLevel="0" collapsed="false">
      <c r="A443" s="37" t="s">
        <v>599</v>
      </c>
      <c r="B443" s="37" t="s">
        <v>100</v>
      </c>
      <c r="C443" s="37" t="s">
        <v>72</v>
      </c>
      <c r="D443" s="37" t="s">
        <v>73</v>
      </c>
      <c r="E443" s="38" t="n">
        <v>186.766847089153</v>
      </c>
      <c r="F443" s="38" t="n">
        <v>40.7565261267345</v>
      </c>
      <c r="G443" s="38" t="n">
        <v>15.9221667710777</v>
      </c>
      <c r="H443" s="38" t="n">
        <v>8.59717676368948</v>
      </c>
      <c r="I443" s="38" t="n">
        <v>200.38721947716</v>
      </c>
      <c r="J443" s="38" t="n">
        <v>164.015235350176</v>
      </c>
      <c r="K443" s="38" t="n">
        <v>91.3289992195899</v>
      </c>
      <c r="L443" s="38" t="n">
        <v>62.2334972515039</v>
      </c>
      <c r="M443" s="38" t="n">
        <v>50.4376078852749</v>
      </c>
      <c r="N443" s="38" t="n">
        <v>0</v>
      </c>
    </row>
    <row r="444" customFormat="false" ht="15" hidden="false" customHeight="false" outlineLevel="0" collapsed="false">
      <c r="A444" s="37" t="s">
        <v>599</v>
      </c>
      <c r="B444" s="37" t="s">
        <v>100</v>
      </c>
      <c r="C444" s="37" t="s">
        <v>77</v>
      </c>
      <c r="D444" s="37" t="s">
        <v>78</v>
      </c>
      <c r="E444" s="38" t="n">
        <v>219.312344476402</v>
      </c>
      <c r="F444" s="38" t="n">
        <v>51.6376315675158</v>
      </c>
      <c r="G444" s="38" t="n">
        <v>16.0401520029203</v>
      </c>
      <c r="H444" s="38" t="n">
        <v>17.2192204389607</v>
      </c>
      <c r="I444" s="38" t="n">
        <v>231.129293850702</v>
      </c>
      <c r="J444" s="38" t="n">
        <v>49.9083841283374</v>
      </c>
      <c r="K444" s="38" t="n">
        <v>135.005707579352</v>
      </c>
      <c r="L444" s="38" t="n">
        <v>76.0475999781437</v>
      </c>
      <c r="M444" s="38" t="n">
        <v>70.4685675565727</v>
      </c>
      <c r="N444" s="38" t="n">
        <v>0</v>
      </c>
    </row>
    <row r="445" customFormat="false" ht="15" hidden="false" customHeight="false" outlineLevel="0" collapsed="false">
      <c r="A445" s="37" t="s">
        <v>599</v>
      </c>
      <c r="B445" s="37" t="s">
        <v>106</v>
      </c>
      <c r="C445" s="37" t="s">
        <v>36</v>
      </c>
      <c r="D445" s="37" t="s">
        <v>37</v>
      </c>
      <c r="E445" s="38" t="n">
        <v>213.357342386116</v>
      </c>
      <c r="F445" s="38" t="n">
        <v>40.5305429523825</v>
      </c>
      <c r="G445" s="38" t="n">
        <v>15.9058712307534</v>
      </c>
      <c r="H445" s="38" t="n">
        <v>5.03141085364453</v>
      </c>
      <c r="I445" s="38" t="n">
        <v>251.260408382437</v>
      </c>
      <c r="J445" s="38" t="n">
        <v>47.9616578427354</v>
      </c>
      <c r="K445" s="38" t="n">
        <v>117.726693288497</v>
      </c>
      <c r="L445" s="38" t="n">
        <v>69.7239719374708</v>
      </c>
      <c r="M445" s="38" t="n">
        <v>64.7864509996784</v>
      </c>
      <c r="N445" s="38" t="n">
        <v>0</v>
      </c>
    </row>
    <row r="446" customFormat="false" ht="15" hidden="false" customHeight="false" outlineLevel="0" collapsed="false">
      <c r="A446" s="37" t="s">
        <v>599</v>
      </c>
      <c r="B446" s="37" t="s">
        <v>106</v>
      </c>
      <c r="C446" s="37" t="s">
        <v>41</v>
      </c>
      <c r="D446" s="37" t="s">
        <v>42</v>
      </c>
      <c r="E446" s="38" t="n">
        <v>199.40706728234</v>
      </c>
      <c r="F446" s="38" t="n">
        <v>51.9464254308998</v>
      </c>
      <c r="G446" s="38" t="n">
        <v>15.889489180681</v>
      </c>
      <c r="H446" s="38" t="n">
        <v>4.92033572219715</v>
      </c>
      <c r="I446" s="38" t="n">
        <v>202.128721099823</v>
      </c>
      <c r="J446" s="38" t="n">
        <v>24.9482452088025</v>
      </c>
      <c r="K446" s="38" t="n">
        <v>84.9326139905197</v>
      </c>
      <c r="L446" s="38" t="n">
        <v>59.4008433085104</v>
      </c>
      <c r="M446" s="38" t="n">
        <v>50.22099298396</v>
      </c>
      <c r="N446" s="38" t="n">
        <v>0</v>
      </c>
    </row>
    <row r="447" customFormat="false" ht="15" hidden="false" customHeight="false" outlineLevel="0" collapsed="false">
      <c r="A447" s="37" t="s">
        <v>599</v>
      </c>
      <c r="B447" s="37" t="s">
        <v>106</v>
      </c>
      <c r="C447" s="37" t="s">
        <v>46</v>
      </c>
      <c r="D447" s="37" t="s">
        <v>47</v>
      </c>
      <c r="E447" s="38" t="n">
        <v>224.518306282533</v>
      </c>
      <c r="F447" s="38" t="n">
        <v>40.5527820482971</v>
      </c>
      <c r="G447" s="38" t="n">
        <v>15.9221667710777</v>
      </c>
      <c r="H447" s="38" t="n">
        <v>27.8902650721573</v>
      </c>
      <c r="I447" s="38" t="n">
        <v>250.084232733225</v>
      </c>
      <c r="J447" s="38" t="n">
        <v>56.834232733225</v>
      </c>
      <c r="K447" s="38" t="n">
        <v>139.072961386038</v>
      </c>
      <c r="L447" s="38" t="n">
        <v>76.6903767353093</v>
      </c>
      <c r="M447" s="38" t="n">
        <v>70.5455905494745</v>
      </c>
      <c r="N447" s="38" t="n">
        <v>0</v>
      </c>
    </row>
    <row r="448" customFormat="false" ht="15" hidden="false" customHeight="false" outlineLevel="0" collapsed="false">
      <c r="A448" s="37" t="s">
        <v>599</v>
      </c>
      <c r="B448" s="37" t="s">
        <v>106</v>
      </c>
      <c r="C448" s="37" t="s">
        <v>51</v>
      </c>
      <c r="D448" s="37" t="s">
        <v>51</v>
      </c>
      <c r="E448" s="38" t="n">
        <v>221.084374221246</v>
      </c>
      <c r="F448" s="38" t="n">
        <v>45.4081214723827</v>
      </c>
      <c r="G448" s="38" t="n">
        <v>15.9221667710777</v>
      </c>
      <c r="H448" s="38" t="n">
        <v>17.8765692783715</v>
      </c>
      <c r="I448" s="38" t="n">
        <v>259.248512215303</v>
      </c>
      <c r="J448" s="38" t="n">
        <v>62.5748115804254</v>
      </c>
      <c r="K448" s="38" t="n">
        <v>139.23405559248</v>
      </c>
      <c r="L448" s="38" t="n">
        <v>74.8503528010423</v>
      </c>
      <c r="M448" s="38" t="n">
        <v>70.7244019728875</v>
      </c>
      <c r="N448" s="38" t="n">
        <v>0</v>
      </c>
    </row>
    <row r="449" customFormat="false" ht="15" hidden="false" customHeight="false" outlineLevel="0" collapsed="false">
      <c r="A449" s="37" t="s">
        <v>599</v>
      </c>
      <c r="B449" s="37" t="s">
        <v>106</v>
      </c>
      <c r="C449" s="37" t="s">
        <v>55</v>
      </c>
      <c r="D449" s="37" t="s">
        <v>37</v>
      </c>
      <c r="E449" s="38" t="n">
        <v>204.847832855894</v>
      </c>
      <c r="F449" s="38" t="n">
        <v>40.1970988241999</v>
      </c>
      <c r="G449" s="38" t="n">
        <v>15.90420485001</v>
      </c>
      <c r="H449" s="38" t="n">
        <v>4.78960818182069</v>
      </c>
      <c r="I449" s="38" t="n">
        <v>258.374121162751</v>
      </c>
      <c r="J449" s="38" t="n">
        <v>57.6952280691762</v>
      </c>
      <c r="K449" s="38" t="n">
        <v>111.385717544233</v>
      </c>
      <c r="L449" s="38" t="n">
        <v>62.1419291015761</v>
      </c>
      <c r="M449" s="38" t="n">
        <v>59.2081002110734</v>
      </c>
      <c r="N449" s="38" t="n">
        <v>0</v>
      </c>
    </row>
    <row r="450" customFormat="false" ht="15" hidden="false" customHeight="false" outlineLevel="0" collapsed="false">
      <c r="A450" s="37" t="s">
        <v>599</v>
      </c>
      <c r="B450" s="37" t="s">
        <v>106</v>
      </c>
      <c r="C450" s="37" t="s">
        <v>59</v>
      </c>
      <c r="D450" s="37" t="s">
        <v>42</v>
      </c>
      <c r="E450" s="38" t="n">
        <v>195.251547067355</v>
      </c>
      <c r="F450" s="38" t="n">
        <v>53.9573017287729</v>
      </c>
      <c r="G450" s="38" t="n">
        <v>15.8884117407786</v>
      </c>
      <c r="H450" s="38" t="n">
        <v>4.71774603816191</v>
      </c>
      <c r="I450" s="38" t="n">
        <v>199.448429187542</v>
      </c>
      <c r="J450" s="38" t="n">
        <v>0.833658122609528</v>
      </c>
      <c r="K450" s="38" t="n">
        <v>78.4230170542657</v>
      </c>
      <c r="L450" s="38" t="n">
        <v>52.4713798292206</v>
      </c>
      <c r="M450" s="38" t="n">
        <v>44.3726118010413</v>
      </c>
      <c r="N450" s="38" t="n">
        <v>0</v>
      </c>
    </row>
    <row r="451" customFormat="false" ht="15" hidden="false" customHeight="false" outlineLevel="0" collapsed="false">
      <c r="A451" s="37" t="s">
        <v>599</v>
      </c>
      <c r="B451" s="37" t="s">
        <v>106</v>
      </c>
      <c r="C451" s="37" t="s">
        <v>63</v>
      </c>
      <c r="D451" s="37" t="s">
        <v>47</v>
      </c>
      <c r="E451" s="38" t="n">
        <v>210.421364654114</v>
      </c>
      <c r="F451" s="38" t="n">
        <v>40.8431496414971</v>
      </c>
      <c r="G451" s="38" t="n">
        <v>15.9080493432739</v>
      </c>
      <c r="H451" s="38" t="n">
        <v>27.3506241763368</v>
      </c>
      <c r="I451" s="38" t="n">
        <v>229.71351223907</v>
      </c>
      <c r="J451" s="38" t="n">
        <v>39.1418782620602</v>
      </c>
      <c r="K451" s="38" t="n">
        <v>115.230206597058</v>
      </c>
      <c r="L451" s="38" t="n">
        <v>61.3280351946369</v>
      </c>
      <c r="M451" s="38" t="n">
        <v>60.9896097254744</v>
      </c>
      <c r="N451" s="38" t="n">
        <v>0</v>
      </c>
    </row>
    <row r="452" customFormat="false" ht="15" hidden="false" customHeight="false" outlineLevel="0" collapsed="false">
      <c r="A452" s="37" t="s">
        <v>599</v>
      </c>
      <c r="B452" s="37" t="s">
        <v>106</v>
      </c>
      <c r="C452" s="37" t="s">
        <v>67</v>
      </c>
      <c r="D452" s="37" t="s">
        <v>68</v>
      </c>
      <c r="E452" s="38" t="n">
        <v>199.230621608548</v>
      </c>
      <c r="F452" s="38" t="n">
        <v>41.7183815699539</v>
      </c>
      <c r="G452" s="38" t="n">
        <v>15.1221830078397</v>
      </c>
      <c r="H452" s="38" t="n">
        <v>4.99119857494195</v>
      </c>
      <c r="I452" s="38" t="n">
        <v>215.493885950038</v>
      </c>
      <c r="J452" s="38" t="n">
        <v>33.9938859500379</v>
      </c>
      <c r="K452" s="38" t="n">
        <v>113.982206931249</v>
      </c>
      <c r="L452" s="38" t="n">
        <v>64.0559097651232</v>
      </c>
      <c r="M452" s="38" t="n">
        <v>60.8008290647047</v>
      </c>
      <c r="N452" s="38" t="n">
        <v>0</v>
      </c>
    </row>
    <row r="453" customFormat="false" ht="15" hidden="false" customHeight="false" outlineLevel="0" collapsed="false">
      <c r="A453" s="37" t="s">
        <v>599</v>
      </c>
      <c r="B453" s="37" t="s">
        <v>106</v>
      </c>
      <c r="C453" s="37" t="s">
        <v>72</v>
      </c>
      <c r="D453" s="37" t="s">
        <v>73</v>
      </c>
      <c r="E453" s="38" t="n">
        <v>195.463920773149</v>
      </c>
      <c r="F453" s="38" t="n">
        <v>41.936383244221</v>
      </c>
      <c r="G453" s="38" t="n">
        <v>15.9221667710777</v>
      </c>
      <c r="H453" s="38" t="n">
        <v>8.59717676368948</v>
      </c>
      <c r="I453" s="38" t="n">
        <v>220.568450517893</v>
      </c>
      <c r="J453" s="38" t="n">
        <v>184.196466390909</v>
      </c>
      <c r="K453" s="38" t="n">
        <v>102.181235207933</v>
      </c>
      <c r="L453" s="38" t="n">
        <v>64.2107136128064</v>
      </c>
      <c r="M453" s="38" t="n">
        <v>55.0436260004524</v>
      </c>
      <c r="N453" s="38" t="n">
        <v>0</v>
      </c>
    </row>
    <row r="454" customFormat="false" ht="15" hidden="false" customHeight="false" outlineLevel="0" collapsed="false">
      <c r="A454" s="37" t="s">
        <v>599</v>
      </c>
      <c r="B454" s="37" t="s">
        <v>106</v>
      </c>
      <c r="C454" s="37" t="s">
        <v>77</v>
      </c>
      <c r="D454" s="37" t="s">
        <v>78</v>
      </c>
      <c r="E454" s="38" t="n">
        <v>228.519326819514</v>
      </c>
      <c r="F454" s="38" t="n">
        <v>53.2406932995625</v>
      </c>
      <c r="G454" s="38" t="n">
        <v>16.0401985558421</v>
      </c>
      <c r="H454" s="38" t="n">
        <v>17.2192204389607</v>
      </c>
      <c r="I454" s="38" t="n">
        <v>250.339246045014</v>
      </c>
      <c r="J454" s="38" t="n">
        <v>69.1397661156924</v>
      </c>
      <c r="K454" s="38" t="n">
        <v>144.666191958458</v>
      </c>
      <c r="L454" s="38" t="n">
        <v>78.8233399927808</v>
      </c>
      <c r="M454" s="38" t="n">
        <v>74.6790002550473</v>
      </c>
      <c r="N454" s="38" t="n">
        <v>0</v>
      </c>
    </row>
    <row r="455" customFormat="false" ht="15" hidden="false" customHeight="false" outlineLevel="0" collapsed="false">
      <c r="A455" s="37" t="s">
        <v>599</v>
      </c>
      <c r="B455" s="37" t="s">
        <v>112</v>
      </c>
      <c r="C455" s="37" t="s">
        <v>36</v>
      </c>
      <c r="D455" s="37" t="s">
        <v>37</v>
      </c>
      <c r="E455" s="38" t="n">
        <v>213.298694837602</v>
      </c>
      <c r="F455" s="38" t="n">
        <v>39.5422805649425</v>
      </c>
      <c r="G455" s="38" t="n">
        <v>15.9058779500925</v>
      </c>
      <c r="H455" s="38" t="n">
        <v>5.95812839283022</v>
      </c>
      <c r="I455" s="38" t="n">
        <v>253.25946810903</v>
      </c>
      <c r="J455" s="38" t="n">
        <v>49.9652745256919</v>
      </c>
      <c r="K455" s="38" t="n">
        <v>117.128370734044</v>
      </c>
      <c r="L455" s="38" t="n">
        <v>69.7131317819148</v>
      </c>
      <c r="M455" s="38" t="n">
        <v>64.6338885780703</v>
      </c>
      <c r="N455" s="38" t="n">
        <v>0</v>
      </c>
    </row>
    <row r="456" customFormat="false" ht="15" hidden="false" customHeight="false" outlineLevel="0" collapsed="false">
      <c r="A456" s="37" t="s">
        <v>599</v>
      </c>
      <c r="B456" s="37" t="s">
        <v>112</v>
      </c>
      <c r="C456" s="37" t="s">
        <v>41</v>
      </c>
      <c r="D456" s="37" t="s">
        <v>42</v>
      </c>
      <c r="E456" s="38" t="n">
        <v>198.477424003857</v>
      </c>
      <c r="F456" s="38" t="n">
        <v>50.1020143657943</v>
      </c>
      <c r="G456" s="38" t="n">
        <v>15.8894195513068</v>
      </c>
      <c r="H456" s="38" t="n">
        <v>5.81148718529775</v>
      </c>
      <c r="I456" s="38" t="n">
        <v>203.237459867311</v>
      </c>
      <c r="J456" s="38" t="n">
        <v>24.9519054144955</v>
      </c>
      <c r="K456" s="38" t="n">
        <v>82.7969712973782</v>
      </c>
      <c r="L456" s="38" t="n">
        <v>59.0925354525913</v>
      </c>
      <c r="M456" s="38" t="n">
        <v>49.445829454376</v>
      </c>
      <c r="N456" s="38" t="n">
        <v>0</v>
      </c>
    </row>
    <row r="457" customFormat="false" ht="15" hidden="false" customHeight="false" outlineLevel="0" collapsed="false">
      <c r="A457" s="37" t="s">
        <v>599</v>
      </c>
      <c r="B457" s="37" t="s">
        <v>112</v>
      </c>
      <c r="C457" s="37" t="s">
        <v>46</v>
      </c>
      <c r="D457" s="37" t="s">
        <v>47</v>
      </c>
      <c r="E457" s="38" t="n">
        <v>236.223788906234</v>
      </c>
      <c r="F457" s="38" t="n">
        <v>39.4419588705632</v>
      </c>
      <c r="G457" s="38" t="n">
        <v>15.9221667710777</v>
      </c>
      <c r="H457" s="38" t="n">
        <v>40.7065708735917</v>
      </c>
      <c r="I457" s="38" t="n">
        <v>284.282521912676</v>
      </c>
      <c r="J457" s="38" t="n">
        <v>91.0325219126763</v>
      </c>
      <c r="K457" s="38" t="n">
        <v>149.501026574394</v>
      </c>
      <c r="L457" s="38" t="n">
        <v>81.0438076972572</v>
      </c>
      <c r="M457" s="38" t="n">
        <v>74.0056567697001</v>
      </c>
      <c r="N457" s="38" t="n">
        <v>0</v>
      </c>
    </row>
    <row r="458" customFormat="false" ht="15" hidden="false" customHeight="false" outlineLevel="0" collapsed="false">
      <c r="A458" s="37" t="s">
        <v>599</v>
      </c>
      <c r="B458" s="37" t="s">
        <v>112</v>
      </c>
      <c r="C458" s="37" t="s">
        <v>51</v>
      </c>
      <c r="D458" s="37" t="s">
        <v>51</v>
      </c>
      <c r="E458" s="38" t="n">
        <v>228.128593438948</v>
      </c>
      <c r="F458" s="38" t="n">
        <v>43.849679270114</v>
      </c>
      <c r="G458" s="38" t="n">
        <v>15.9221667710777</v>
      </c>
      <c r="H458" s="38" t="n">
        <v>26.4792306983426</v>
      </c>
      <c r="I458" s="38" t="n">
        <v>278.731507469987</v>
      </c>
      <c r="J458" s="38" t="n">
        <v>82.0578068351102</v>
      </c>
      <c r="K458" s="38" t="n">
        <v>145.650418278973</v>
      </c>
      <c r="L458" s="38" t="n">
        <v>77.4170218310388</v>
      </c>
      <c r="M458" s="38" t="n">
        <v>73.0954618945589</v>
      </c>
      <c r="N458" s="38" t="n">
        <v>0</v>
      </c>
    </row>
    <row r="459" customFormat="false" ht="15" hidden="false" customHeight="false" outlineLevel="0" collapsed="false">
      <c r="A459" s="37" t="s">
        <v>599</v>
      </c>
      <c r="B459" s="37" t="s">
        <v>112</v>
      </c>
      <c r="C459" s="37" t="s">
        <v>55</v>
      </c>
      <c r="D459" s="37" t="s">
        <v>37</v>
      </c>
      <c r="E459" s="38" t="n">
        <v>204.751989201875</v>
      </c>
      <c r="F459" s="38" t="n">
        <v>39.2464716086814</v>
      </c>
      <c r="G459" s="38" t="n">
        <v>15.9042109404651</v>
      </c>
      <c r="H459" s="38" t="n">
        <v>5.64209299144803</v>
      </c>
      <c r="I459" s="38" t="n">
        <v>260.268433766936</v>
      </c>
      <c r="J459" s="38" t="n">
        <v>59.5936713322498</v>
      </c>
      <c r="K459" s="38" t="n">
        <v>110.746166773557</v>
      </c>
      <c r="L459" s="38" t="n">
        <v>62.1210375707442</v>
      </c>
      <c r="M459" s="38" t="n">
        <v>59.0147212477369</v>
      </c>
      <c r="N459" s="38" t="n">
        <v>0</v>
      </c>
    </row>
    <row r="460" customFormat="false" ht="15" hidden="false" customHeight="false" outlineLevel="0" collapsed="false">
      <c r="A460" s="37" t="s">
        <v>599</v>
      </c>
      <c r="B460" s="37" t="s">
        <v>112</v>
      </c>
      <c r="C460" s="37" t="s">
        <v>59</v>
      </c>
      <c r="D460" s="37" t="s">
        <v>42</v>
      </c>
      <c r="E460" s="38" t="n">
        <v>194.109020526033</v>
      </c>
      <c r="F460" s="38" t="n">
        <v>51.9852683851449</v>
      </c>
      <c r="G460" s="38" t="n">
        <v>15.8883317838861</v>
      </c>
      <c r="H460" s="38" t="n">
        <v>5.54833681410179</v>
      </c>
      <c r="I460" s="38" t="n">
        <v>200.35546701038</v>
      </c>
      <c r="J460" s="38" t="n">
        <v>1.73870918151033</v>
      </c>
      <c r="K460" s="38" t="n">
        <v>76.1656605581922</v>
      </c>
      <c r="L460" s="38" t="n">
        <v>52.0594765101634</v>
      </c>
      <c r="M460" s="38" t="n">
        <v>43.6346340096295</v>
      </c>
      <c r="N460" s="38" t="n">
        <v>0</v>
      </c>
    </row>
    <row r="461" customFormat="false" ht="15" hidden="false" customHeight="false" outlineLevel="0" collapsed="false">
      <c r="A461" s="37" t="s">
        <v>599</v>
      </c>
      <c r="B461" s="37" t="s">
        <v>112</v>
      </c>
      <c r="C461" s="37" t="s">
        <v>63</v>
      </c>
      <c r="D461" s="37" t="s">
        <v>47</v>
      </c>
      <c r="E461" s="38" t="n">
        <v>222.50856552099</v>
      </c>
      <c r="F461" s="38" t="n">
        <v>39.785179208655</v>
      </c>
      <c r="G461" s="38" t="n">
        <v>15.9082202537005</v>
      </c>
      <c r="H461" s="38" t="n">
        <v>40.2325651962857</v>
      </c>
      <c r="I461" s="38" t="n">
        <v>264.877930397575</v>
      </c>
      <c r="J461" s="38" t="n">
        <v>66.9221976454245</v>
      </c>
      <c r="K461" s="38" t="n">
        <v>128.396970295928</v>
      </c>
      <c r="L461" s="38" t="n">
        <v>69.8395465745079</v>
      </c>
      <c r="M461" s="38" t="n">
        <v>66.4726763857296</v>
      </c>
      <c r="N461" s="38" t="n">
        <v>0</v>
      </c>
    </row>
    <row r="462" customFormat="false" ht="15" hidden="false" customHeight="false" outlineLevel="0" collapsed="false">
      <c r="A462" s="37" t="s">
        <v>599</v>
      </c>
      <c r="B462" s="37" t="s">
        <v>112</v>
      </c>
      <c r="C462" s="37" t="s">
        <v>67</v>
      </c>
      <c r="D462" s="37" t="s">
        <v>68</v>
      </c>
      <c r="E462" s="38" t="n">
        <v>199.081191008911</v>
      </c>
      <c r="F462" s="38" t="n">
        <v>40.6544214190847</v>
      </c>
      <c r="G462" s="38" t="n">
        <v>15.1226614668613</v>
      </c>
      <c r="H462" s="38" t="n">
        <v>5.90016312269727</v>
      </c>
      <c r="I462" s="38" t="n">
        <v>217.558695685963</v>
      </c>
      <c r="J462" s="38" t="n">
        <v>26.0586956859633</v>
      </c>
      <c r="K462" s="38" t="n">
        <v>106.408923008225</v>
      </c>
      <c r="L462" s="38" t="n">
        <v>66.4267908395264</v>
      </c>
      <c r="M462" s="38" t="n">
        <v>58.8329700925522</v>
      </c>
      <c r="N462" s="38" t="n">
        <v>0</v>
      </c>
    </row>
    <row r="463" customFormat="false" ht="15" hidden="false" customHeight="false" outlineLevel="0" collapsed="false">
      <c r="A463" s="37" t="s">
        <v>599</v>
      </c>
      <c r="B463" s="37" t="s">
        <v>112</v>
      </c>
      <c r="C463" s="37" t="s">
        <v>72</v>
      </c>
      <c r="D463" s="37" t="s">
        <v>73</v>
      </c>
      <c r="E463" s="38" t="n">
        <v>197.519420687392</v>
      </c>
      <c r="F463" s="38" t="n">
        <v>40.7822258765813</v>
      </c>
      <c r="G463" s="38" t="n">
        <v>15.9221667710777</v>
      </c>
      <c r="H463" s="38" t="n">
        <v>11.8068340455719</v>
      </c>
      <c r="I463" s="38" t="n">
        <v>227.192175662657</v>
      </c>
      <c r="J463" s="38" t="n">
        <v>190.820191535673</v>
      </c>
      <c r="K463" s="38" t="n">
        <v>104.84590616225</v>
      </c>
      <c r="L463" s="38" t="n">
        <v>64.7646034980302</v>
      </c>
      <c r="M463" s="38" t="n">
        <v>56.0598616768933</v>
      </c>
      <c r="N463" s="38" t="n">
        <v>0</v>
      </c>
    </row>
    <row r="464" customFormat="false" ht="15" hidden="false" customHeight="false" outlineLevel="0" collapsed="false">
      <c r="A464" s="37" t="s">
        <v>599</v>
      </c>
      <c r="B464" s="37" t="s">
        <v>112</v>
      </c>
      <c r="C464" s="37" t="s">
        <v>77</v>
      </c>
      <c r="D464" s="37" t="s">
        <v>78</v>
      </c>
      <c r="E464" s="38" t="n">
        <v>235.253663861814</v>
      </c>
      <c r="F464" s="38" t="n">
        <v>51.7032407247691</v>
      </c>
      <c r="G464" s="38" t="n">
        <v>16.04015352205</v>
      </c>
      <c r="H464" s="38" t="n">
        <v>25.4928210658444</v>
      </c>
      <c r="I464" s="38" t="n">
        <v>267.512995238548</v>
      </c>
      <c r="J464" s="38" t="n">
        <v>86.2927843337453</v>
      </c>
      <c r="K464" s="38" t="n">
        <v>150.691402226684</v>
      </c>
      <c r="L464" s="38" t="n">
        <v>80.9707949961803</v>
      </c>
      <c r="M464" s="38" t="n">
        <v>76.9069596796141</v>
      </c>
      <c r="N464" s="38" t="n">
        <v>0</v>
      </c>
    </row>
    <row r="465" customFormat="false" ht="15" hidden="false" customHeight="false" outlineLevel="0" collapsed="false">
      <c r="A465" s="37" t="s">
        <v>599</v>
      </c>
      <c r="B465" s="37" t="s">
        <v>118</v>
      </c>
      <c r="C465" s="37" t="s">
        <v>36</v>
      </c>
      <c r="D465" s="37" t="s">
        <v>37</v>
      </c>
      <c r="E465" s="38" t="n">
        <v>228.699561170076</v>
      </c>
      <c r="F465" s="38" t="n">
        <v>39.5834348361254</v>
      </c>
      <c r="G465" s="38" t="n">
        <v>15.9058544912055</v>
      </c>
      <c r="H465" s="38" t="n">
        <v>4.11673053715598</v>
      </c>
      <c r="I465" s="38" t="n">
        <v>287.527124928629</v>
      </c>
      <c r="J465" s="38" t="n">
        <v>84.2170218712593</v>
      </c>
      <c r="K465" s="38" t="n">
        <v>132.308678566336</v>
      </c>
      <c r="L465" s="38" t="n">
        <v>73.8958488375894</v>
      </c>
      <c r="M465" s="38" t="n">
        <v>70.946747590185</v>
      </c>
      <c r="N465" s="38" t="n">
        <v>0</v>
      </c>
    </row>
    <row r="466" customFormat="false" ht="15" hidden="false" customHeight="false" outlineLevel="0" collapsed="false">
      <c r="A466" s="37" t="s">
        <v>599</v>
      </c>
      <c r="B466" s="37" t="s">
        <v>118</v>
      </c>
      <c r="C466" s="37" t="s">
        <v>41</v>
      </c>
      <c r="D466" s="37" t="s">
        <v>42</v>
      </c>
      <c r="E466" s="38" t="n">
        <v>216.349296733273</v>
      </c>
      <c r="F466" s="38" t="n">
        <v>55.7718219511116</v>
      </c>
      <c r="G466" s="38" t="n">
        <v>15.9049308882645</v>
      </c>
      <c r="H466" s="38" t="n">
        <v>4.11450784619871</v>
      </c>
      <c r="I466" s="38" t="n">
        <v>222.25404180583</v>
      </c>
      <c r="J466" s="38" t="n">
        <v>64.8820542374981</v>
      </c>
      <c r="K466" s="38" t="n">
        <v>111.071006653827</v>
      </c>
      <c r="L466" s="38" t="n">
        <v>68.6901741328408</v>
      </c>
      <c r="M466" s="38" t="n">
        <v>62.1106731903153</v>
      </c>
      <c r="N466" s="38" t="n">
        <v>0</v>
      </c>
    </row>
    <row r="467" customFormat="false" ht="15" hidden="false" customHeight="false" outlineLevel="0" collapsed="false">
      <c r="A467" s="37" t="s">
        <v>599</v>
      </c>
      <c r="B467" s="37" t="s">
        <v>118</v>
      </c>
      <c r="C467" s="37" t="s">
        <v>46</v>
      </c>
      <c r="D467" s="37" t="s">
        <v>47</v>
      </c>
      <c r="E467" s="38" t="n">
        <v>222.933477344089</v>
      </c>
      <c r="F467" s="38" t="n">
        <v>39.1994944938971</v>
      </c>
      <c r="G467" s="38" t="n">
        <v>15.9221667710777</v>
      </c>
      <c r="H467" s="38" t="n">
        <v>16.9006082148153</v>
      </c>
      <c r="I467" s="38" t="n">
        <v>246.846735829542</v>
      </c>
      <c r="J467" s="38" t="n">
        <v>53.5967358295415</v>
      </c>
      <c r="K467" s="38" t="n">
        <v>135.440656555394</v>
      </c>
      <c r="L467" s="38" t="n">
        <v>75.2269576969658</v>
      </c>
      <c r="M467" s="38" t="n">
        <v>70.4009319321221</v>
      </c>
      <c r="N467" s="38" t="n">
        <v>0</v>
      </c>
    </row>
    <row r="468" customFormat="false" ht="15" hidden="false" customHeight="false" outlineLevel="0" collapsed="false">
      <c r="A468" s="37" t="s">
        <v>599</v>
      </c>
      <c r="B468" s="37" t="s">
        <v>118</v>
      </c>
      <c r="C468" s="37" t="s">
        <v>51</v>
      </c>
      <c r="D468" s="37" t="s">
        <v>51</v>
      </c>
      <c r="E468" s="38" t="n">
        <v>225.921016969519</v>
      </c>
      <c r="F468" s="38" t="n">
        <v>43.7104536177221</v>
      </c>
      <c r="G468" s="38" t="n">
        <v>15.9221667710777</v>
      </c>
      <c r="H468" s="38" t="n">
        <v>11.3070619880399</v>
      </c>
      <c r="I468" s="38" t="n">
        <v>274.500868100095</v>
      </c>
      <c r="J468" s="38" t="n">
        <v>77.8271674652182</v>
      </c>
      <c r="K468" s="38" t="n">
        <v>141.072270505366</v>
      </c>
      <c r="L468" s="38" t="n">
        <v>75.5789488655031</v>
      </c>
      <c r="M468" s="38" t="n">
        <v>72.001364235964</v>
      </c>
      <c r="N468" s="38" t="n">
        <v>0</v>
      </c>
    </row>
    <row r="469" customFormat="false" ht="15" hidden="false" customHeight="false" outlineLevel="0" collapsed="false">
      <c r="A469" s="37" t="s">
        <v>599</v>
      </c>
      <c r="B469" s="37" t="s">
        <v>118</v>
      </c>
      <c r="C469" s="37" t="s">
        <v>55</v>
      </c>
      <c r="D469" s="37" t="s">
        <v>37</v>
      </c>
      <c r="E469" s="38" t="n">
        <v>219.617660989997</v>
      </c>
      <c r="F469" s="38" t="n">
        <v>39.291156075128</v>
      </c>
      <c r="G469" s="38" t="n">
        <v>15.9045581845875</v>
      </c>
      <c r="H469" s="38" t="n">
        <v>3.94328429515778</v>
      </c>
      <c r="I469" s="38" t="n">
        <v>294.901605755894</v>
      </c>
      <c r="J469" s="38" t="n">
        <v>94.4623494609272</v>
      </c>
      <c r="K469" s="38" t="n">
        <v>125.957022753601</v>
      </c>
      <c r="L469" s="38" t="n">
        <v>67.5013011755843</v>
      </c>
      <c r="M469" s="38" t="n">
        <v>65.7155167611823</v>
      </c>
      <c r="N469" s="38" t="n">
        <v>0</v>
      </c>
    </row>
    <row r="470" customFormat="false" ht="15" hidden="false" customHeight="false" outlineLevel="0" collapsed="false">
      <c r="A470" s="37" t="s">
        <v>599</v>
      </c>
      <c r="B470" s="37" t="s">
        <v>118</v>
      </c>
      <c r="C470" s="37" t="s">
        <v>59</v>
      </c>
      <c r="D470" s="37" t="s">
        <v>42</v>
      </c>
      <c r="E470" s="38" t="n">
        <v>204.761430422064</v>
      </c>
      <c r="F470" s="38" t="n">
        <v>52.066273802849</v>
      </c>
      <c r="G470" s="38" t="n">
        <v>15.88833521502</v>
      </c>
      <c r="H470" s="38" t="n">
        <v>3.89084309997944</v>
      </c>
      <c r="I470" s="38" t="n">
        <v>228.877156471044</v>
      </c>
      <c r="J470" s="38" t="n">
        <v>30.2574465729985</v>
      </c>
      <c r="K470" s="38" t="n">
        <v>96.1436500685595</v>
      </c>
      <c r="L470" s="38" t="n">
        <v>54.9915071579762</v>
      </c>
      <c r="M470" s="38" t="n">
        <v>51.3391034321137</v>
      </c>
      <c r="N470" s="38" t="n">
        <v>0</v>
      </c>
    </row>
    <row r="471" customFormat="false" ht="15" hidden="false" customHeight="false" outlineLevel="0" collapsed="false">
      <c r="A471" s="37" t="s">
        <v>599</v>
      </c>
      <c r="B471" s="37" t="s">
        <v>118</v>
      </c>
      <c r="C471" s="37" t="s">
        <v>63</v>
      </c>
      <c r="D471" s="37" t="s">
        <v>47</v>
      </c>
      <c r="E471" s="38" t="n">
        <v>208.756776801586</v>
      </c>
      <c r="F471" s="38" t="n">
        <v>39.5400280714037</v>
      </c>
      <c r="G471" s="38" t="n">
        <v>15.9081176581776</v>
      </c>
      <c r="H471" s="38" t="n">
        <v>16.4613048215322</v>
      </c>
      <c r="I471" s="38" t="n">
        <v>226.36253007021</v>
      </c>
      <c r="J471" s="38" t="n">
        <v>35.8372232430522</v>
      </c>
      <c r="K471" s="38" t="n">
        <v>108.890400724161</v>
      </c>
      <c r="L471" s="38" t="n">
        <v>59.6283170443619</v>
      </c>
      <c r="M471" s="38" t="n">
        <v>59.6193174228835</v>
      </c>
      <c r="N471" s="38" t="n">
        <v>0</v>
      </c>
    </row>
    <row r="472" customFormat="false" ht="15" hidden="false" customHeight="false" outlineLevel="0" collapsed="false">
      <c r="A472" s="37" t="s">
        <v>599</v>
      </c>
      <c r="B472" s="37" t="s">
        <v>118</v>
      </c>
      <c r="C472" s="37" t="s">
        <v>67</v>
      </c>
      <c r="D472" s="37" t="s">
        <v>68</v>
      </c>
      <c r="E472" s="38" t="n">
        <v>210.824792423961</v>
      </c>
      <c r="F472" s="38" t="n">
        <v>40.6961615320846</v>
      </c>
      <c r="G472" s="38" t="n">
        <v>15.1312069738694</v>
      </c>
      <c r="H472" s="38" t="n">
        <v>4.09069122026735</v>
      </c>
      <c r="I472" s="38" t="n">
        <v>245.709920462189</v>
      </c>
      <c r="J472" s="38" t="n">
        <v>54.2099204621886</v>
      </c>
      <c r="K472" s="38" t="n">
        <v>131.203829261028</v>
      </c>
      <c r="L472" s="38" t="n">
        <v>69.5846760631604</v>
      </c>
      <c r="M472" s="38" t="n">
        <v>67.1519828228321</v>
      </c>
      <c r="N472" s="38" t="n">
        <v>0</v>
      </c>
    </row>
    <row r="473" customFormat="false" ht="15" hidden="false" customHeight="false" outlineLevel="0" collapsed="false">
      <c r="A473" s="37" t="s">
        <v>599</v>
      </c>
      <c r="B473" s="37" t="s">
        <v>118</v>
      </c>
      <c r="C473" s="37" t="s">
        <v>72</v>
      </c>
      <c r="D473" s="37" t="s">
        <v>73</v>
      </c>
      <c r="E473" s="38" t="n">
        <v>204.805397036267</v>
      </c>
      <c r="F473" s="38" t="n">
        <v>40.8085150961475</v>
      </c>
      <c r="G473" s="38" t="n">
        <v>15.9221667710777</v>
      </c>
      <c r="H473" s="38" t="n">
        <v>6.09477592139979</v>
      </c>
      <c r="I473" s="38" t="n">
        <v>248.316916232167</v>
      </c>
      <c r="J473" s="38" t="n">
        <v>211.944932105183</v>
      </c>
      <c r="K473" s="38" t="n">
        <v>111.067463619473</v>
      </c>
      <c r="L473" s="38" t="n">
        <v>65.8978294126638</v>
      </c>
      <c r="M473" s="38" t="n">
        <v>59.3271684701167</v>
      </c>
      <c r="N473" s="38" t="n">
        <v>0</v>
      </c>
    </row>
    <row r="474" customFormat="false" ht="15" hidden="false" customHeight="false" outlineLevel="0" collapsed="false">
      <c r="A474" s="37" t="s">
        <v>599</v>
      </c>
      <c r="B474" s="37" t="s">
        <v>118</v>
      </c>
      <c r="C474" s="37" t="s">
        <v>77</v>
      </c>
      <c r="D474" s="37" t="s">
        <v>78</v>
      </c>
      <c r="E474" s="38" t="n">
        <v>233.383794519547</v>
      </c>
      <c r="F474" s="38" t="n">
        <v>51.601657232255</v>
      </c>
      <c r="G474" s="38" t="n">
        <v>16.0401521435287</v>
      </c>
      <c r="H474" s="38" t="n">
        <v>10.9749054432259</v>
      </c>
      <c r="I474" s="38" t="n">
        <v>266.365033927105</v>
      </c>
      <c r="J474" s="38" t="n">
        <v>85.1441888848928</v>
      </c>
      <c r="K474" s="38" t="n">
        <v>145.918368516155</v>
      </c>
      <c r="L474" s="38" t="n">
        <v>79.9372339720687</v>
      </c>
      <c r="M474" s="38" t="n">
        <v>75.026594870111</v>
      </c>
      <c r="N474" s="38" t="n">
        <v>0</v>
      </c>
    </row>
    <row r="475" customFormat="false" ht="15" hidden="false" customHeight="false" outlineLevel="0" collapsed="false">
      <c r="A475" s="37" t="s">
        <v>599</v>
      </c>
      <c r="B475" s="37" t="s">
        <v>121</v>
      </c>
      <c r="C475" s="37" t="s">
        <v>36</v>
      </c>
      <c r="D475" s="37" t="s">
        <v>37</v>
      </c>
      <c r="E475" s="38" t="n">
        <v>208.475040471088</v>
      </c>
      <c r="F475" s="38" t="n">
        <v>39.2079657728275</v>
      </c>
      <c r="G475" s="38" t="n">
        <v>15.8693883017256</v>
      </c>
      <c r="H475" s="38" t="n">
        <v>4.88119944320263</v>
      </c>
      <c r="I475" s="38" t="n">
        <v>245.201378633924</v>
      </c>
      <c r="J475" s="38" t="n">
        <v>41.7986431686966</v>
      </c>
      <c r="K475" s="38" t="n">
        <v>110.351344068311</v>
      </c>
      <c r="L475" s="38" t="n">
        <v>66.9405929722809</v>
      </c>
      <c r="M475" s="38" t="n">
        <v>61.8662062287485</v>
      </c>
      <c r="N475" s="38" t="n">
        <v>0</v>
      </c>
    </row>
    <row r="476" customFormat="false" ht="15" hidden="false" customHeight="false" outlineLevel="0" collapsed="false">
      <c r="A476" s="37" t="s">
        <v>599</v>
      </c>
      <c r="B476" s="37" t="s">
        <v>121</v>
      </c>
      <c r="C476" s="37" t="s">
        <v>41</v>
      </c>
      <c r="D476" s="37" t="s">
        <v>42</v>
      </c>
      <c r="E476" s="38" t="n">
        <v>194.300002768747</v>
      </c>
      <c r="F476" s="38" t="n">
        <v>49.7509957830967</v>
      </c>
      <c r="G476" s="38" t="n">
        <v>15.8530753783062</v>
      </c>
      <c r="H476" s="38" t="n">
        <v>4.7742791895173</v>
      </c>
      <c r="I476" s="38" t="n">
        <v>196.013463136103</v>
      </c>
      <c r="J476" s="38" t="n">
        <v>24.9124567036408</v>
      </c>
      <c r="K476" s="38" t="n">
        <v>75.8499839497872</v>
      </c>
      <c r="L476" s="38" t="n">
        <v>57.6221982158887</v>
      </c>
      <c r="M476" s="38" t="n">
        <v>46.4277418468131</v>
      </c>
      <c r="N476" s="38" t="n">
        <v>0</v>
      </c>
    </row>
    <row r="477" customFormat="false" ht="15" hidden="false" customHeight="false" outlineLevel="0" collapsed="false">
      <c r="A477" s="37" t="s">
        <v>599</v>
      </c>
      <c r="B477" s="37" t="s">
        <v>121</v>
      </c>
      <c r="C477" s="37" t="s">
        <v>46</v>
      </c>
      <c r="D477" s="37" t="s">
        <v>47</v>
      </c>
      <c r="E477" s="38" t="n">
        <v>218.148265985681</v>
      </c>
      <c r="F477" s="38" t="n">
        <v>39.0377865434789</v>
      </c>
      <c r="G477" s="38" t="n">
        <v>15.8858144937776</v>
      </c>
      <c r="H477" s="38" t="n">
        <v>25.9575383328604</v>
      </c>
      <c r="I477" s="38" t="n">
        <v>241.403985025777</v>
      </c>
      <c r="J477" s="38" t="n">
        <v>48.1539850257768</v>
      </c>
      <c r="K477" s="38" t="n">
        <v>130.200176629125</v>
      </c>
      <c r="L477" s="38" t="n">
        <v>74.5851907711243</v>
      </c>
      <c r="M477" s="38" t="n">
        <v>67.1599052779329</v>
      </c>
      <c r="N477" s="38" t="n">
        <v>0</v>
      </c>
    </row>
    <row r="478" customFormat="false" ht="15" hidden="false" customHeight="false" outlineLevel="0" collapsed="false">
      <c r="A478" s="37" t="s">
        <v>599</v>
      </c>
      <c r="B478" s="37" t="s">
        <v>121</v>
      </c>
      <c r="C478" s="37" t="s">
        <v>51</v>
      </c>
      <c r="D478" s="37" t="s">
        <v>51</v>
      </c>
      <c r="E478" s="38" t="n">
        <v>214.871934125635</v>
      </c>
      <c r="F478" s="38" t="n">
        <v>43.4442239499321</v>
      </c>
      <c r="G478" s="38" t="n">
        <v>15.8858144937776</v>
      </c>
      <c r="H478" s="38" t="n">
        <v>16.6003699503618</v>
      </c>
      <c r="I478" s="38" t="n">
        <v>251.271283813034</v>
      </c>
      <c r="J478" s="38" t="n">
        <v>54.5975831781568</v>
      </c>
      <c r="K478" s="38" t="n">
        <v>130.012062302986</v>
      </c>
      <c r="L478" s="38" t="n">
        <v>72.8598866948552</v>
      </c>
      <c r="M478" s="38" t="n">
        <v>66.8949271874907</v>
      </c>
      <c r="N478" s="38" t="n">
        <v>0</v>
      </c>
    </row>
    <row r="479" customFormat="false" ht="15" hidden="false" customHeight="false" outlineLevel="0" collapsed="false">
      <c r="A479" s="37" t="s">
        <v>599</v>
      </c>
      <c r="B479" s="37" t="s">
        <v>121</v>
      </c>
      <c r="C479" s="37" t="s">
        <v>55</v>
      </c>
      <c r="D479" s="37" t="s">
        <v>37</v>
      </c>
      <c r="E479" s="38" t="n">
        <v>200.234101650625</v>
      </c>
      <c r="F479" s="38" t="n">
        <v>38.9148300908656</v>
      </c>
      <c r="G479" s="38" t="n">
        <v>15.8677242647104</v>
      </c>
      <c r="H479" s="38" t="n">
        <v>4.65397394027493</v>
      </c>
      <c r="I479" s="38" t="n">
        <v>252.574061112105</v>
      </c>
      <c r="J479" s="38" t="n">
        <v>51.7912092896845</v>
      </c>
      <c r="K479" s="38" t="n">
        <v>104.126481893975</v>
      </c>
      <c r="L479" s="38" t="n">
        <v>60.7480773007259</v>
      </c>
      <c r="M479" s="38" t="n">
        <v>56.3271139015255</v>
      </c>
      <c r="N479" s="38" t="n">
        <v>0</v>
      </c>
    </row>
    <row r="480" customFormat="false" ht="15" hidden="false" customHeight="false" outlineLevel="0" collapsed="false">
      <c r="A480" s="37" t="s">
        <v>599</v>
      </c>
      <c r="B480" s="37" t="s">
        <v>121</v>
      </c>
      <c r="C480" s="37" t="s">
        <v>59</v>
      </c>
      <c r="D480" s="37" t="s">
        <v>42</v>
      </c>
      <c r="E480" s="38" t="n">
        <v>190.24978527724</v>
      </c>
      <c r="F480" s="38" t="n">
        <v>51.6464853311989</v>
      </c>
      <c r="G480" s="38" t="n">
        <v>15.8520183335148</v>
      </c>
      <c r="H480" s="38" t="n">
        <v>4.58873400190192</v>
      </c>
      <c r="I480" s="38" t="n">
        <v>193.25683095611</v>
      </c>
      <c r="J480" s="38" t="n">
        <v>-5.36011954184816</v>
      </c>
      <c r="K480" s="38" t="n">
        <v>68.4743516170038</v>
      </c>
      <c r="L480" s="38" t="n">
        <v>50.854840929762</v>
      </c>
      <c r="M480" s="38" t="n">
        <v>40.8533339406201</v>
      </c>
      <c r="N480" s="38" t="n">
        <v>0</v>
      </c>
    </row>
    <row r="481" customFormat="false" ht="15" hidden="false" customHeight="false" outlineLevel="0" collapsed="false">
      <c r="A481" s="37" t="s">
        <v>599</v>
      </c>
      <c r="B481" s="37" t="s">
        <v>121</v>
      </c>
      <c r="C481" s="37" t="s">
        <v>63</v>
      </c>
      <c r="D481" s="37" t="s">
        <v>47</v>
      </c>
      <c r="E481" s="38" t="n">
        <v>204.357357026473</v>
      </c>
      <c r="F481" s="38" t="n">
        <v>39.3762822530389</v>
      </c>
      <c r="G481" s="38" t="n">
        <v>15.8715500761317</v>
      </c>
      <c r="H481" s="38" t="n">
        <v>25.454491358381</v>
      </c>
      <c r="I481" s="38" t="n">
        <v>221.417384156501</v>
      </c>
      <c r="J481" s="38" t="n">
        <v>30.7327163731908</v>
      </c>
      <c r="K481" s="38" t="n">
        <v>99.0068183160724</v>
      </c>
      <c r="L481" s="38" t="n">
        <v>59.3364876711931</v>
      </c>
      <c r="M481" s="38" t="n">
        <v>55.4275113408618</v>
      </c>
      <c r="N481" s="38" t="n">
        <v>0</v>
      </c>
    </row>
    <row r="482" customFormat="false" ht="15" hidden="false" customHeight="false" outlineLevel="0" collapsed="false">
      <c r="A482" s="37" t="s">
        <v>599</v>
      </c>
      <c r="B482" s="37" t="s">
        <v>121</v>
      </c>
      <c r="C482" s="37" t="s">
        <v>67</v>
      </c>
      <c r="D482" s="37" t="s">
        <v>68</v>
      </c>
      <c r="E482" s="38" t="n">
        <v>194.740393815941</v>
      </c>
      <c r="F482" s="38" t="n">
        <v>40.3065450847787</v>
      </c>
      <c r="G482" s="38" t="n">
        <v>15.086650380996</v>
      </c>
      <c r="H482" s="38" t="n">
        <v>4.84400508234978</v>
      </c>
      <c r="I482" s="38" t="n">
        <v>209.768769777209</v>
      </c>
      <c r="J482" s="38" t="n">
        <v>28.2687697772087</v>
      </c>
      <c r="K482" s="38" t="n">
        <v>101.213174818428</v>
      </c>
      <c r="L482" s="38" t="n">
        <v>62.6507167128187</v>
      </c>
      <c r="M482" s="38" t="n">
        <v>56.347616387815</v>
      </c>
      <c r="N482" s="38" t="n">
        <v>0</v>
      </c>
    </row>
    <row r="483" customFormat="false" ht="15" hidden="false" customHeight="false" outlineLevel="0" collapsed="false">
      <c r="A483" s="37" t="s">
        <v>599</v>
      </c>
      <c r="B483" s="37" t="s">
        <v>121</v>
      </c>
      <c r="C483" s="37" t="s">
        <v>72</v>
      </c>
      <c r="D483" s="37" t="s">
        <v>73</v>
      </c>
      <c r="E483" s="38" t="n">
        <v>190.706176712994</v>
      </c>
      <c r="F483" s="38" t="n">
        <v>40.4353692439415</v>
      </c>
      <c r="G483" s="38" t="n">
        <v>15.8858144937776</v>
      </c>
      <c r="H483" s="38" t="n">
        <v>8.07913616366102</v>
      </c>
      <c r="I483" s="38" t="n">
        <v>214.345288590164</v>
      </c>
      <c r="J483" s="38" t="n">
        <v>177.97330446318</v>
      </c>
      <c r="K483" s="38" t="n">
        <v>93.9234378035247</v>
      </c>
      <c r="L483" s="38" t="n">
        <v>62.8731070111378</v>
      </c>
      <c r="M483" s="38" t="n">
        <v>51.7625269719677</v>
      </c>
      <c r="N483" s="38" t="n">
        <v>0</v>
      </c>
    </row>
    <row r="484" customFormat="false" ht="15" hidden="false" customHeight="false" outlineLevel="0" collapsed="false">
      <c r="A484" s="37" t="s">
        <v>599</v>
      </c>
      <c r="B484" s="37" t="s">
        <v>121</v>
      </c>
      <c r="C484" s="37" t="s">
        <v>77</v>
      </c>
      <c r="D484" s="37" t="s">
        <v>78</v>
      </c>
      <c r="E484" s="38" t="n">
        <v>222.30039946174</v>
      </c>
      <c r="F484" s="38" t="n">
        <v>51.2970359334163</v>
      </c>
      <c r="G484" s="38" t="n">
        <v>16.0036131186398</v>
      </c>
      <c r="H484" s="38" t="n">
        <v>15.915413074438</v>
      </c>
      <c r="I484" s="38" t="n">
        <v>242.452236194679</v>
      </c>
      <c r="J484" s="38" t="n">
        <v>61.2288545010199</v>
      </c>
      <c r="K484" s="38" t="n">
        <v>135.352416988604</v>
      </c>
      <c r="L484" s="38" t="n">
        <v>76.7787317050375</v>
      </c>
      <c r="M484" s="38" t="n">
        <v>70.862687225044</v>
      </c>
      <c r="N484" s="38" t="n">
        <v>0</v>
      </c>
    </row>
    <row r="485" customFormat="false" ht="15" hidden="false" customHeight="false" outlineLevel="0" collapsed="false">
      <c r="A485" s="37" t="s">
        <v>600</v>
      </c>
      <c r="B485" s="37" t="s">
        <v>97</v>
      </c>
      <c r="C485" s="37" t="s">
        <v>36</v>
      </c>
      <c r="D485" s="37" t="s">
        <v>37</v>
      </c>
      <c r="E485" s="38" t="n">
        <v>211.732617925772</v>
      </c>
      <c r="F485" s="38" t="n">
        <v>38.9065438968122</v>
      </c>
      <c r="G485" s="38" t="n">
        <v>15.9058549462539</v>
      </c>
      <c r="H485" s="38" t="n">
        <v>5.03770740845352</v>
      </c>
      <c r="I485" s="38" t="n">
        <v>249.187363271797</v>
      </c>
      <c r="J485" s="38" t="n">
        <v>45.8775688216567</v>
      </c>
      <c r="K485" s="38" t="n">
        <v>114.928065747772</v>
      </c>
      <c r="L485" s="38" t="n">
        <v>67.8421830028233</v>
      </c>
      <c r="M485" s="38" t="n">
        <v>63.587767817743</v>
      </c>
      <c r="N485" s="38" t="n">
        <v>0</v>
      </c>
    </row>
    <row r="486" customFormat="false" ht="15" hidden="false" customHeight="false" outlineLevel="0" collapsed="false">
      <c r="A486" s="37" t="s">
        <v>600</v>
      </c>
      <c r="B486" s="37" t="s">
        <v>97</v>
      </c>
      <c r="C486" s="37" t="s">
        <v>41</v>
      </c>
      <c r="D486" s="37" t="s">
        <v>42</v>
      </c>
      <c r="E486" s="38" t="n">
        <v>204.809975208613</v>
      </c>
      <c r="F486" s="38" t="n">
        <v>57.2866554369195</v>
      </c>
      <c r="G486" s="38" t="n">
        <v>15.8896333600416</v>
      </c>
      <c r="H486" s="38" t="n">
        <v>4.92397877521846</v>
      </c>
      <c r="I486" s="38" t="n">
        <v>207.1831906809</v>
      </c>
      <c r="J486" s="38" t="n">
        <v>24.9735250355949</v>
      </c>
      <c r="K486" s="38" t="n">
        <v>94.1776112368833</v>
      </c>
      <c r="L486" s="38" t="n">
        <v>61.4089008990276</v>
      </c>
      <c r="M486" s="38" t="n">
        <v>53.2400481470371</v>
      </c>
      <c r="N486" s="38" t="n">
        <v>0</v>
      </c>
    </row>
    <row r="487" customFormat="false" ht="15" hidden="false" customHeight="false" outlineLevel="0" collapsed="false">
      <c r="A487" s="37" t="s">
        <v>600</v>
      </c>
      <c r="B487" s="37" t="s">
        <v>97</v>
      </c>
      <c r="C487" s="37" t="s">
        <v>46</v>
      </c>
      <c r="D487" s="37" t="s">
        <v>47</v>
      </c>
      <c r="E487" s="38" t="n">
        <v>234.004336491332</v>
      </c>
      <c r="F487" s="38" t="n">
        <v>38.6752212663986</v>
      </c>
      <c r="G487" s="38" t="n">
        <v>15.9221667710777</v>
      </c>
      <c r="H487" s="38" t="n">
        <v>39.2538560628545</v>
      </c>
      <c r="I487" s="38" t="n">
        <v>276.947894740042</v>
      </c>
      <c r="J487" s="38" t="n">
        <v>83.6978947400424</v>
      </c>
      <c r="K487" s="38" t="n">
        <v>147.21984195693</v>
      </c>
      <c r="L487" s="38" t="n">
        <v>80.2696476713524</v>
      </c>
      <c r="M487" s="38" t="n">
        <v>72.9295229650302</v>
      </c>
      <c r="N487" s="38" t="n">
        <v>0</v>
      </c>
    </row>
    <row r="488" customFormat="false" ht="15" hidden="false" customHeight="false" outlineLevel="0" collapsed="false">
      <c r="A488" s="37" t="s">
        <v>600</v>
      </c>
      <c r="B488" s="37" t="s">
        <v>97</v>
      </c>
      <c r="C488" s="37" t="s">
        <v>51</v>
      </c>
      <c r="D488" s="37" t="s">
        <v>51</v>
      </c>
      <c r="E488" s="38" t="n">
        <v>229.365324274049</v>
      </c>
      <c r="F488" s="38" t="n">
        <v>46.9426591311859</v>
      </c>
      <c r="G488" s="38" t="n">
        <v>15.9221667710777</v>
      </c>
      <c r="H488" s="38" t="n">
        <v>24.6229816723716</v>
      </c>
      <c r="I488" s="38" t="n">
        <v>276.330128197529</v>
      </c>
      <c r="J488" s="38" t="n">
        <v>79.6564275626515</v>
      </c>
      <c r="K488" s="38" t="n">
        <v>149.756111503527</v>
      </c>
      <c r="L488" s="38" t="n">
        <v>77.8148616423123</v>
      </c>
      <c r="M488" s="38" t="n">
        <v>74.7810748604323</v>
      </c>
      <c r="N488" s="38" t="n">
        <v>0</v>
      </c>
    </row>
    <row r="489" customFormat="false" ht="15" hidden="false" customHeight="false" outlineLevel="0" collapsed="false">
      <c r="A489" s="37" t="s">
        <v>600</v>
      </c>
      <c r="B489" s="37" t="s">
        <v>97</v>
      </c>
      <c r="C489" s="37" t="s">
        <v>55</v>
      </c>
      <c r="D489" s="37" t="s">
        <v>37</v>
      </c>
      <c r="E489" s="38" t="n">
        <v>203.285102324834</v>
      </c>
      <c r="F489" s="38" t="n">
        <v>38.6404336755203</v>
      </c>
      <c r="G489" s="38" t="n">
        <v>15.9041887800124</v>
      </c>
      <c r="H489" s="38" t="n">
        <v>4.78960818182069</v>
      </c>
      <c r="I489" s="38" t="n">
        <v>256.327337763063</v>
      </c>
      <c r="J489" s="38" t="n">
        <v>55.6375456974271</v>
      </c>
      <c r="K489" s="38" t="n">
        <v>108.611720018428</v>
      </c>
      <c r="L489" s="38" t="n">
        <v>61.5924504103862</v>
      </c>
      <c r="M489" s="38" t="n">
        <v>58.0004809848803</v>
      </c>
      <c r="N489" s="38" t="n">
        <v>0</v>
      </c>
    </row>
    <row r="490" customFormat="false" ht="15" hidden="false" customHeight="false" outlineLevel="0" collapsed="false">
      <c r="A490" s="37" t="s">
        <v>600</v>
      </c>
      <c r="B490" s="37" t="s">
        <v>97</v>
      </c>
      <c r="C490" s="37" t="s">
        <v>59</v>
      </c>
      <c r="D490" s="37" t="s">
        <v>42</v>
      </c>
      <c r="E490" s="38" t="n">
        <v>202.72190409962</v>
      </c>
      <c r="F490" s="38" t="n">
        <v>61.4251571549657</v>
      </c>
      <c r="G490" s="38" t="n">
        <v>15.8885962754661</v>
      </c>
      <c r="H490" s="38" t="n">
        <v>4.71774603816191</v>
      </c>
      <c r="I490" s="38" t="n">
        <v>206.904286233659</v>
      </c>
      <c r="J490" s="38" t="n">
        <v>8.29417786405432</v>
      </c>
      <c r="K490" s="38" t="n">
        <v>90.630437826627</v>
      </c>
      <c r="L490" s="38" t="n">
        <v>55.1039018927481</v>
      </c>
      <c r="M490" s="38" t="n">
        <v>48.2410662464184</v>
      </c>
      <c r="N490" s="38" t="n">
        <v>0</v>
      </c>
    </row>
    <row r="491" customFormat="false" ht="15" hidden="false" customHeight="false" outlineLevel="0" collapsed="false">
      <c r="A491" s="37" t="s">
        <v>600</v>
      </c>
      <c r="B491" s="37" t="s">
        <v>97</v>
      </c>
      <c r="C491" s="37" t="s">
        <v>63</v>
      </c>
      <c r="D491" s="37" t="s">
        <v>47</v>
      </c>
      <c r="E491" s="38" t="n">
        <v>220.290603566296</v>
      </c>
      <c r="F491" s="38" t="n">
        <v>39.060904990336</v>
      </c>
      <c r="G491" s="38" t="n">
        <v>15.9081797348624</v>
      </c>
      <c r="H491" s="38" t="n">
        <v>38.7510974202793</v>
      </c>
      <c r="I491" s="38" t="n">
        <v>257.458287044163</v>
      </c>
      <c r="J491" s="38" t="n">
        <v>59.4750768930984</v>
      </c>
      <c r="K491" s="38" t="n">
        <v>125.975211495641</v>
      </c>
      <c r="L491" s="38" t="n">
        <v>69.0512813345386</v>
      </c>
      <c r="M491" s="38" t="n">
        <v>65.231209730407</v>
      </c>
      <c r="N491" s="38" t="n">
        <v>0</v>
      </c>
    </row>
    <row r="492" customFormat="false" ht="15" hidden="false" customHeight="false" outlineLevel="0" collapsed="false">
      <c r="A492" s="37" t="s">
        <v>600</v>
      </c>
      <c r="B492" s="37" t="s">
        <v>97</v>
      </c>
      <c r="C492" s="37" t="s">
        <v>67</v>
      </c>
      <c r="D492" s="37" t="s">
        <v>68</v>
      </c>
      <c r="E492" s="38" t="n">
        <v>197.462220001979</v>
      </c>
      <c r="F492" s="38" t="n">
        <v>39.9513807191864</v>
      </c>
      <c r="G492" s="38" t="n">
        <v>15.1214211306206</v>
      </c>
      <c r="H492" s="38" t="n">
        <v>4.99119857494195</v>
      </c>
      <c r="I492" s="38" t="n">
        <v>213.140012135775</v>
      </c>
      <c r="J492" s="38" t="n">
        <v>31.6400121357749</v>
      </c>
      <c r="K492" s="38" t="n">
        <v>108.587487224939</v>
      </c>
      <c r="L492" s="38" t="n">
        <v>63.3945282842147</v>
      </c>
      <c r="M492" s="38" t="n">
        <v>58.7913418261543</v>
      </c>
      <c r="N492" s="38" t="n">
        <v>0</v>
      </c>
    </row>
    <row r="493" customFormat="false" ht="15" hidden="false" customHeight="false" outlineLevel="0" collapsed="false">
      <c r="A493" s="37" t="s">
        <v>600</v>
      </c>
      <c r="B493" s="37" t="s">
        <v>97</v>
      </c>
      <c r="C493" s="37" t="s">
        <v>72</v>
      </c>
      <c r="D493" s="37" t="s">
        <v>73</v>
      </c>
      <c r="E493" s="38" t="n">
        <v>197.046620426279</v>
      </c>
      <c r="F493" s="38" t="n">
        <v>41.4705041215922</v>
      </c>
      <c r="G493" s="38" t="n">
        <v>15.9221667710777</v>
      </c>
      <c r="H493" s="38" t="n">
        <v>10.6457555394483</v>
      </c>
      <c r="I493" s="38" t="n">
        <v>223.900970261961</v>
      </c>
      <c r="J493" s="38" t="n">
        <v>187.528986134977</v>
      </c>
      <c r="K493" s="38" t="n">
        <v>104.620529562764</v>
      </c>
      <c r="L493" s="38" t="n">
        <v>64.6613985373091</v>
      </c>
      <c r="M493" s="38" t="n">
        <v>56.0589053792324</v>
      </c>
      <c r="N493" s="38" t="n">
        <v>0</v>
      </c>
    </row>
    <row r="494" customFormat="false" ht="15" hidden="false" customHeight="false" outlineLevel="0" collapsed="false">
      <c r="A494" s="37" t="s">
        <v>600</v>
      </c>
      <c r="B494" s="37" t="s">
        <v>97</v>
      </c>
      <c r="C494" s="37" t="s">
        <v>77</v>
      </c>
      <c r="D494" s="37" t="s">
        <v>78</v>
      </c>
      <c r="E494" s="38" t="n">
        <v>236.163242003856</v>
      </c>
      <c r="F494" s="38" t="n">
        <v>54.4726068011437</v>
      </c>
      <c r="G494" s="38" t="n">
        <v>16.0402038416688</v>
      </c>
      <c r="H494" s="38" t="n">
        <v>23.6310096401959</v>
      </c>
      <c r="I494" s="38" t="n">
        <v>264.711294875901</v>
      </c>
      <c r="J494" s="38" t="n">
        <v>83.514250128535</v>
      </c>
      <c r="K494" s="38" t="n">
        <v>154.719278216639</v>
      </c>
      <c r="L494" s="38" t="n">
        <v>81.3410251055605</v>
      </c>
      <c r="M494" s="38" t="n">
        <v>78.4181097727063</v>
      </c>
      <c r="N494" s="38" t="n">
        <v>0</v>
      </c>
    </row>
    <row r="495" customFormat="false" ht="15" hidden="false" customHeight="false" outlineLevel="0" collapsed="false">
      <c r="A495" s="37" t="s">
        <v>600</v>
      </c>
      <c r="B495" s="37" t="s">
        <v>100</v>
      </c>
      <c r="C495" s="37" t="s">
        <v>36</v>
      </c>
      <c r="D495" s="37" t="s">
        <v>37</v>
      </c>
      <c r="E495" s="38" t="n">
        <v>202.313949863138</v>
      </c>
      <c r="F495" s="38" t="n">
        <v>38.8910839119705</v>
      </c>
      <c r="G495" s="38" t="n">
        <v>15.9056102816739</v>
      </c>
      <c r="H495" s="38" t="n">
        <v>5.01869644449263</v>
      </c>
      <c r="I495" s="38" t="n">
        <v>228.710053012314</v>
      </c>
      <c r="J495" s="38" t="n">
        <v>36.4843299710675</v>
      </c>
      <c r="K495" s="38" t="n">
        <v>101.902096847655</v>
      </c>
      <c r="L495" s="38" t="n">
        <v>62.8712121672084</v>
      </c>
      <c r="M495" s="38" t="n">
        <v>58.2460963816656</v>
      </c>
      <c r="N495" s="38" t="n">
        <v>0</v>
      </c>
    </row>
    <row r="496" customFormat="false" ht="15" hidden="false" customHeight="false" outlineLevel="0" collapsed="false">
      <c r="A496" s="37" t="s">
        <v>600</v>
      </c>
      <c r="B496" s="37" t="s">
        <v>100</v>
      </c>
      <c r="C496" s="37" t="s">
        <v>41</v>
      </c>
      <c r="D496" s="37" t="s">
        <v>42</v>
      </c>
      <c r="E496" s="38" t="n">
        <v>197.264870001537</v>
      </c>
      <c r="F496" s="38" t="n">
        <v>57.2371673193856</v>
      </c>
      <c r="G496" s="38" t="n">
        <v>15.8895819333257</v>
      </c>
      <c r="H496" s="38" t="n">
        <v>4.91242126281083</v>
      </c>
      <c r="I496" s="38" t="n">
        <v>189.110578672593</v>
      </c>
      <c r="J496" s="38" t="n">
        <v>18.8179508828417</v>
      </c>
      <c r="K496" s="38" t="n">
        <v>84.9493667743299</v>
      </c>
      <c r="L496" s="38" t="n">
        <v>59.0593660698438</v>
      </c>
      <c r="M496" s="38" t="n">
        <v>49.1741706770801</v>
      </c>
      <c r="N496" s="38" t="n">
        <v>0</v>
      </c>
    </row>
    <row r="497" customFormat="false" ht="15" hidden="false" customHeight="false" outlineLevel="0" collapsed="false">
      <c r="A497" s="37" t="s">
        <v>600</v>
      </c>
      <c r="B497" s="37" t="s">
        <v>100</v>
      </c>
      <c r="C497" s="37" t="s">
        <v>46</v>
      </c>
      <c r="D497" s="37" t="s">
        <v>47</v>
      </c>
      <c r="E497" s="38" t="n">
        <v>227.174813710048</v>
      </c>
      <c r="F497" s="38" t="n">
        <v>38.6615326505475</v>
      </c>
      <c r="G497" s="38" t="n">
        <v>15.9221667710777</v>
      </c>
      <c r="H497" s="38" t="n">
        <v>39.2538560628545</v>
      </c>
      <c r="I497" s="38" t="n">
        <v>262.230895357398</v>
      </c>
      <c r="J497" s="38" t="n">
        <v>68.9808953573978</v>
      </c>
      <c r="K497" s="38" t="n">
        <v>141.215297136656</v>
      </c>
      <c r="L497" s="38" t="n">
        <v>78.312686481563</v>
      </c>
      <c r="M497" s="38" t="n">
        <v>70.2634830651537</v>
      </c>
      <c r="N497" s="38" t="n">
        <v>0</v>
      </c>
    </row>
    <row r="498" customFormat="false" ht="15" hidden="false" customHeight="false" outlineLevel="0" collapsed="false">
      <c r="A498" s="37" t="s">
        <v>600</v>
      </c>
      <c r="B498" s="37" t="s">
        <v>100</v>
      </c>
      <c r="C498" s="37" t="s">
        <v>51</v>
      </c>
      <c r="D498" s="37" t="s">
        <v>51</v>
      </c>
      <c r="E498" s="38" t="n">
        <v>221.610296706228</v>
      </c>
      <c r="F498" s="38" t="n">
        <v>46.9087042262028</v>
      </c>
      <c r="G498" s="38" t="n">
        <v>15.9221667710777</v>
      </c>
      <c r="H498" s="38" t="n">
        <v>24.6229816723716</v>
      </c>
      <c r="I498" s="38" t="n">
        <v>258.695322184403</v>
      </c>
      <c r="J498" s="38" t="n">
        <v>62.0216215495259</v>
      </c>
      <c r="K498" s="38" t="n">
        <v>142.612652648906</v>
      </c>
      <c r="L498" s="38" t="n">
        <v>75.7476518652654</v>
      </c>
      <c r="M498" s="38" t="n">
        <v>71.5639640856954</v>
      </c>
      <c r="N498" s="38" t="n">
        <v>0</v>
      </c>
    </row>
    <row r="499" customFormat="false" ht="15" hidden="false" customHeight="false" outlineLevel="0" collapsed="false">
      <c r="A499" s="37" t="s">
        <v>600</v>
      </c>
      <c r="B499" s="37" t="s">
        <v>100</v>
      </c>
      <c r="C499" s="37" t="s">
        <v>55</v>
      </c>
      <c r="D499" s="37" t="s">
        <v>37</v>
      </c>
      <c r="E499" s="38" t="n">
        <v>194.261756795777</v>
      </c>
      <c r="F499" s="38" t="n">
        <v>38.6243998352789</v>
      </c>
      <c r="G499" s="38" t="n">
        <v>15.9039262401782</v>
      </c>
      <c r="H499" s="38" t="n">
        <v>4.78960818182069</v>
      </c>
      <c r="I499" s="38" t="n">
        <v>235.079859369072</v>
      </c>
      <c r="J499" s="38" t="n">
        <v>34.2120071629753</v>
      </c>
      <c r="K499" s="38" t="n">
        <v>93.5462639327985</v>
      </c>
      <c r="L499" s="38" t="n">
        <v>59.0487174334214</v>
      </c>
      <c r="M499" s="38" t="n">
        <v>52.34511407212</v>
      </c>
      <c r="N499" s="38" t="n">
        <v>0</v>
      </c>
    </row>
    <row r="500" customFormat="false" ht="15" hidden="false" customHeight="false" outlineLevel="0" collapsed="false">
      <c r="A500" s="37" t="s">
        <v>600</v>
      </c>
      <c r="B500" s="37" t="s">
        <v>100</v>
      </c>
      <c r="C500" s="37" t="s">
        <v>59</v>
      </c>
      <c r="D500" s="37" t="s">
        <v>42</v>
      </c>
      <c r="E500" s="38" t="n">
        <v>195.543399102884</v>
      </c>
      <c r="F500" s="38" t="n">
        <v>61.3633911282504</v>
      </c>
      <c r="G500" s="38" t="n">
        <v>15.88859448286</v>
      </c>
      <c r="H500" s="38" t="n">
        <v>4.71774603816191</v>
      </c>
      <c r="I500" s="38" t="n">
        <v>188.566125680589</v>
      </c>
      <c r="J500" s="38" t="n">
        <v>-10.044028502759</v>
      </c>
      <c r="K500" s="38" t="n">
        <v>79.9871993879654</v>
      </c>
      <c r="L500" s="38" t="n">
        <v>52.9708272258767</v>
      </c>
      <c r="M500" s="38" t="n">
        <v>44.2740611797667</v>
      </c>
      <c r="N500" s="38" t="n">
        <v>0</v>
      </c>
    </row>
    <row r="501" customFormat="false" ht="15" hidden="false" customHeight="false" outlineLevel="0" collapsed="false">
      <c r="A501" s="37" t="s">
        <v>600</v>
      </c>
      <c r="B501" s="37" t="s">
        <v>100</v>
      </c>
      <c r="C501" s="37" t="s">
        <v>63</v>
      </c>
      <c r="D501" s="37" t="s">
        <v>47</v>
      </c>
      <c r="E501" s="38" t="n">
        <v>213.666381415312</v>
      </c>
      <c r="F501" s="38" t="n">
        <v>39.0449264572401</v>
      </c>
      <c r="G501" s="38" t="n">
        <v>15.9080083933177</v>
      </c>
      <c r="H501" s="38" t="n">
        <v>38.7510974202793</v>
      </c>
      <c r="I501" s="38" t="n">
        <v>242.577941578321</v>
      </c>
      <c r="J501" s="38" t="n">
        <v>44.4785377048217</v>
      </c>
      <c r="K501" s="38" t="n">
        <v>119.620501631191</v>
      </c>
      <c r="L501" s="38" t="n">
        <v>67.1885054499864</v>
      </c>
      <c r="M501" s="38" t="n">
        <v>62.3645527448569</v>
      </c>
      <c r="N501" s="38" t="n">
        <v>0</v>
      </c>
    </row>
    <row r="502" customFormat="false" ht="15" hidden="false" customHeight="false" outlineLevel="0" collapsed="false">
      <c r="A502" s="37" t="s">
        <v>600</v>
      </c>
      <c r="B502" s="37" t="s">
        <v>100</v>
      </c>
      <c r="C502" s="37" t="s">
        <v>67</v>
      </c>
      <c r="D502" s="37" t="s">
        <v>68</v>
      </c>
      <c r="E502" s="38" t="n">
        <v>189.517451235174</v>
      </c>
      <c r="F502" s="38" t="n">
        <v>39.9369218547953</v>
      </c>
      <c r="G502" s="38" t="n">
        <v>15.1151308475878</v>
      </c>
      <c r="H502" s="38" t="n">
        <v>4.98489761267634</v>
      </c>
      <c r="I502" s="38" t="n">
        <v>194.252533635626</v>
      </c>
      <c r="J502" s="38" t="n">
        <v>24.0329321499538</v>
      </c>
      <c r="K502" s="38" t="n">
        <v>93.3336103016086</v>
      </c>
      <c r="L502" s="38" t="n">
        <v>61.4874112506626</v>
      </c>
      <c r="M502" s="38" t="n">
        <v>52.9316300700749</v>
      </c>
      <c r="N502" s="38" t="n">
        <v>0</v>
      </c>
    </row>
    <row r="503" customFormat="false" ht="15" hidden="false" customHeight="false" outlineLevel="0" collapsed="false">
      <c r="A503" s="37" t="s">
        <v>600</v>
      </c>
      <c r="B503" s="37" t="s">
        <v>100</v>
      </c>
      <c r="C503" s="37" t="s">
        <v>72</v>
      </c>
      <c r="D503" s="37" t="s">
        <v>73</v>
      </c>
      <c r="E503" s="38" t="n">
        <v>189.508013451406</v>
      </c>
      <c r="F503" s="38" t="n">
        <v>41.4491137132287</v>
      </c>
      <c r="G503" s="38" t="n">
        <v>15.9221667710777</v>
      </c>
      <c r="H503" s="38" t="n">
        <v>10.6457555394483</v>
      </c>
      <c r="I503" s="38" t="n">
        <v>205.312649379026</v>
      </c>
      <c r="J503" s="38" t="n">
        <v>168.940665252042</v>
      </c>
      <c r="K503" s="38" t="n">
        <v>95.9408611738362</v>
      </c>
      <c r="L503" s="38" t="n">
        <v>63.0840446146929</v>
      </c>
      <c r="M503" s="38" t="n">
        <v>52.3523340719464</v>
      </c>
      <c r="N503" s="38" t="n">
        <v>0</v>
      </c>
    </row>
    <row r="504" customFormat="false" ht="15" hidden="false" customHeight="false" outlineLevel="0" collapsed="false">
      <c r="A504" s="37" t="s">
        <v>600</v>
      </c>
      <c r="B504" s="37" t="s">
        <v>100</v>
      </c>
      <c r="C504" s="37" t="s">
        <v>77</v>
      </c>
      <c r="D504" s="37" t="s">
        <v>78</v>
      </c>
      <c r="E504" s="38" t="n">
        <v>228.529775423408</v>
      </c>
      <c r="F504" s="38" t="n">
        <v>54.4412931445654</v>
      </c>
      <c r="G504" s="38" t="n">
        <v>16.0402030163828</v>
      </c>
      <c r="H504" s="38" t="n">
        <v>23.6310096401959</v>
      </c>
      <c r="I504" s="38" t="n">
        <v>247.610313581007</v>
      </c>
      <c r="J504" s="38" t="n">
        <v>66.4128885979914</v>
      </c>
      <c r="K504" s="38" t="n">
        <v>147.904530678495</v>
      </c>
      <c r="L504" s="38" t="n">
        <v>79.1946346746834</v>
      </c>
      <c r="M504" s="38" t="n">
        <v>75.3946005249548</v>
      </c>
      <c r="N504" s="38" t="n">
        <v>0</v>
      </c>
    </row>
    <row r="505" customFormat="false" ht="15" hidden="false" customHeight="false" outlineLevel="0" collapsed="false">
      <c r="A505" s="37" t="s">
        <v>600</v>
      </c>
      <c r="B505" s="37" t="s">
        <v>106</v>
      </c>
      <c r="C505" s="37" t="s">
        <v>36</v>
      </c>
      <c r="D505" s="37" t="s">
        <v>37</v>
      </c>
      <c r="E505" s="38" t="n">
        <v>212.587613467103</v>
      </c>
      <c r="F505" s="38" t="n">
        <v>39.7574016223028</v>
      </c>
      <c r="G505" s="38" t="n">
        <v>15.9058645420782</v>
      </c>
      <c r="H505" s="38" t="n">
        <v>5.03770740845352</v>
      </c>
      <c r="I505" s="38" t="n">
        <v>250.354519433831</v>
      </c>
      <c r="J505" s="38" t="n">
        <v>47.0512327326377</v>
      </c>
      <c r="K505" s="38" t="n">
        <v>116.221367300056</v>
      </c>
      <c r="L505" s="38" t="n">
        <v>69.4584438804129</v>
      </c>
      <c r="M505" s="38" t="n">
        <v>64.1520787880521</v>
      </c>
      <c r="N505" s="38" t="n">
        <v>0</v>
      </c>
    </row>
    <row r="506" customFormat="false" ht="15" hidden="false" customHeight="false" outlineLevel="0" collapsed="false">
      <c r="A506" s="37" t="s">
        <v>600</v>
      </c>
      <c r="B506" s="37" t="s">
        <v>106</v>
      </c>
      <c r="C506" s="37" t="s">
        <v>41</v>
      </c>
      <c r="D506" s="37" t="s">
        <v>42</v>
      </c>
      <c r="E506" s="38" t="n">
        <v>208.199473670625</v>
      </c>
      <c r="F506" s="38" t="n">
        <v>60.6299265628895</v>
      </c>
      <c r="G506" s="38" t="n">
        <v>15.8897553507154</v>
      </c>
      <c r="H506" s="38" t="n">
        <v>4.92664200653699</v>
      </c>
      <c r="I506" s="38" t="n">
        <v>210.754353912789</v>
      </c>
      <c r="J506" s="38" t="n">
        <v>24.9904889372008</v>
      </c>
      <c r="K506" s="38" t="n">
        <v>97.6319243396024</v>
      </c>
      <c r="L506" s="38" t="n">
        <v>62.6546737322875</v>
      </c>
      <c r="M506" s="38" t="n">
        <v>54.4636244087638</v>
      </c>
      <c r="N506" s="38" t="n">
        <v>0</v>
      </c>
    </row>
    <row r="507" customFormat="false" ht="15" hidden="false" customHeight="false" outlineLevel="0" collapsed="false">
      <c r="A507" s="37" t="s">
        <v>600</v>
      </c>
      <c r="B507" s="37" t="s">
        <v>106</v>
      </c>
      <c r="C507" s="37" t="s">
        <v>46</v>
      </c>
      <c r="D507" s="37" t="s">
        <v>47</v>
      </c>
      <c r="E507" s="38" t="n">
        <v>235.023816288006</v>
      </c>
      <c r="F507" s="38" t="n">
        <v>39.6947010630728</v>
      </c>
      <c r="G507" s="38" t="n">
        <v>15.9221667710777</v>
      </c>
      <c r="H507" s="38" t="n">
        <v>39.2538560628545</v>
      </c>
      <c r="I507" s="38" t="n">
        <v>278.298186800663</v>
      </c>
      <c r="J507" s="38" t="n">
        <v>85.0481868006625</v>
      </c>
      <c r="K507" s="38" t="n">
        <v>148.71599494788</v>
      </c>
      <c r="L507" s="38" t="n">
        <v>80.602926298297</v>
      </c>
      <c r="M507" s="38" t="n">
        <v>73.5919819537963</v>
      </c>
      <c r="N507" s="38" t="n">
        <v>0</v>
      </c>
    </row>
    <row r="508" customFormat="false" ht="15" hidden="false" customHeight="false" outlineLevel="0" collapsed="false">
      <c r="A508" s="37" t="s">
        <v>600</v>
      </c>
      <c r="B508" s="37" t="s">
        <v>106</v>
      </c>
      <c r="C508" s="37" t="s">
        <v>51</v>
      </c>
      <c r="D508" s="37" t="s">
        <v>51</v>
      </c>
      <c r="E508" s="38" t="n">
        <v>231.693299737581</v>
      </c>
      <c r="F508" s="38" t="n">
        <v>49.2706345947182</v>
      </c>
      <c r="G508" s="38" t="n">
        <v>15.9221667710777</v>
      </c>
      <c r="H508" s="38" t="n">
        <v>24.6229816723716</v>
      </c>
      <c r="I508" s="38" t="n">
        <v>278.97418092764</v>
      </c>
      <c r="J508" s="38" t="n">
        <v>82.3004802927629</v>
      </c>
      <c r="K508" s="38" t="n">
        <v>152.654211132312</v>
      </c>
      <c r="L508" s="38" t="n">
        <v>78.6390049194088</v>
      </c>
      <c r="M508" s="38" t="n">
        <v>75.6745306209567</v>
      </c>
      <c r="N508" s="38" t="n">
        <v>0</v>
      </c>
    </row>
    <row r="509" customFormat="false" ht="15" hidden="false" customHeight="false" outlineLevel="0" collapsed="false">
      <c r="A509" s="37" t="s">
        <v>600</v>
      </c>
      <c r="B509" s="37" t="s">
        <v>106</v>
      </c>
      <c r="C509" s="37" t="s">
        <v>55</v>
      </c>
      <c r="D509" s="37" t="s">
        <v>37</v>
      </c>
      <c r="E509" s="38" t="n">
        <v>204.107797799837</v>
      </c>
      <c r="F509" s="38" t="n">
        <v>39.4595484310796</v>
      </c>
      <c r="G509" s="38" t="n">
        <v>15.9041982669908</v>
      </c>
      <c r="H509" s="38" t="n">
        <v>4.78960818182069</v>
      </c>
      <c r="I509" s="38" t="n">
        <v>257.481849038669</v>
      </c>
      <c r="J509" s="38" t="n">
        <v>56.7984912193215</v>
      </c>
      <c r="K509" s="38" t="n">
        <v>109.891409688347</v>
      </c>
      <c r="L509" s="38" t="n">
        <v>61.8860826434378</v>
      </c>
      <c r="M509" s="38" t="n">
        <v>58.5590902526763</v>
      </c>
      <c r="N509" s="38" t="n">
        <v>0</v>
      </c>
    </row>
    <row r="510" customFormat="false" ht="15" hidden="false" customHeight="false" outlineLevel="0" collapsed="false">
      <c r="A510" s="37" t="s">
        <v>600</v>
      </c>
      <c r="B510" s="37" t="s">
        <v>106</v>
      </c>
      <c r="C510" s="37" t="s">
        <v>59</v>
      </c>
      <c r="D510" s="37" t="s">
        <v>42</v>
      </c>
      <c r="E510" s="38" t="n">
        <v>206.625530911026</v>
      </c>
      <c r="F510" s="38" t="n">
        <v>65.3271541343949</v>
      </c>
      <c r="G510" s="38" t="n">
        <v>15.8887165093977</v>
      </c>
      <c r="H510" s="38" t="n">
        <v>4.71774603816191</v>
      </c>
      <c r="I510" s="38" t="n">
        <v>211.35599912963</v>
      </c>
      <c r="J510" s="38" t="n">
        <v>12.7489868487535</v>
      </c>
      <c r="K510" s="38" t="n">
        <v>95.4392806490058</v>
      </c>
      <c r="L510" s="38" t="n">
        <v>56.3968002483693</v>
      </c>
      <c r="M510" s="38" t="n">
        <v>49.8179383155354</v>
      </c>
      <c r="N510" s="38" t="n">
        <v>0</v>
      </c>
    </row>
    <row r="511" customFormat="false" ht="15" hidden="false" customHeight="false" outlineLevel="0" collapsed="false">
      <c r="A511" s="37" t="s">
        <v>600</v>
      </c>
      <c r="B511" s="37" t="s">
        <v>106</v>
      </c>
      <c r="C511" s="37" t="s">
        <v>63</v>
      </c>
      <c r="D511" s="37" t="s">
        <v>47</v>
      </c>
      <c r="E511" s="38" t="n">
        <v>221.271629436903</v>
      </c>
      <c r="F511" s="38" t="n">
        <v>40.0391233963911</v>
      </c>
      <c r="G511" s="38" t="n">
        <v>15.9081890436713</v>
      </c>
      <c r="H511" s="38" t="n">
        <v>38.7510974202793</v>
      </c>
      <c r="I511" s="38" t="n">
        <v>258.807829688362</v>
      </c>
      <c r="J511" s="38" t="n">
        <v>60.8309322052477</v>
      </c>
      <c r="K511" s="38" t="n">
        <v>127.483962819963</v>
      </c>
      <c r="L511" s="38" t="n">
        <v>69.3751775529512</v>
      </c>
      <c r="M511" s="38" t="n">
        <v>65.8960064067296</v>
      </c>
      <c r="N511" s="38" t="n">
        <v>0</v>
      </c>
    </row>
    <row r="512" customFormat="false" ht="15" hidden="false" customHeight="false" outlineLevel="0" collapsed="false">
      <c r="A512" s="37" t="s">
        <v>600</v>
      </c>
      <c r="B512" s="37" t="s">
        <v>106</v>
      </c>
      <c r="C512" s="37" t="s">
        <v>67</v>
      </c>
      <c r="D512" s="37" t="s">
        <v>68</v>
      </c>
      <c r="E512" s="38" t="n">
        <v>198.376085981064</v>
      </c>
      <c r="F512" s="38" t="n">
        <v>40.864423963967</v>
      </c>
      <c r="G512" s="38" t="n">
        <v>15.1218686076878</v>
      </c>
      <c r="H512" s="38" t="n">
        <v>4.99119857494195</v>
      </c>
      <c r="I512" s="38" t="n">
        <v>214.454538546621</v>
      </c>
      <c r="J512" s="38" t="n">
        <v>32.9545385466213</v>
      </c>
      <c r="K512" s="38" t="n">
        <v>111.239389776798</v>
      </c>
      <c r="L512" s="38" t="n">
        <v>63.7425695132779</v>
      </c>
      <c r="M512" s="38" t="n">
        <v>59.7570349199137</v>
      </c>
      <c r="N512" s="38" t="n">
        <v>0</v>
      </c>
    </row>
    <row r="513" customFormat="false" ht="15" hidden="false" customHeight="false" outlineLevel="0" collapsed="false">
      <c r="A513" s="37" t="s">
        <v>600</v>
      </c>
      <c r="B513" s="37" t="s">
        <v>106</v>
      </c>
      <c r="C513" s="37" t="s">
        <v>72</v>
      </c>
      <c r="D513" s="37" t="s">
        <v>73</v>
      </c>
      <c r="E513" s="38" t="n">
        <v>198.369827776794</v>
      </c>
      <c r="F513" s="38" t="n">
        <v>42.793711472107</v>
      </c>
      <c r="G513" s="38" t="n">
        <v>15.9221667710777</v>
      </c>
      <c r="H513" s="38" t="n">
        <v>10.6457555394483</v>
      </c>
      <c r="I513" s="38" t="n">
        <v>225.658783953988</v>
      </c>
      <c r="J513" s="38" t="n">
        <v>189.286799827004</v>
      </c>
      <c r="K513" s="38" t="n">
        <v>106.966701279765</v>
      </c>
      <c r="L513" s="38" t="n">
        <v>65.10339439646</v>
      </c>
      <c r="M513" s="38" t="n">
        <v>57.053314649032</v>
      </c>
      <c r="N513" s="38" t="n">
        <v>0</v>
      </c>
    </row>
    <row r="514" customFormat="false" ht="15" hidden="false" customHeight="false" outlineLevel="0" collapsed="false">
      <c r="A514" s="37" t="s">
        <v>600</v>
      </c>
      <c r="B514" s="37" t="s">
        <v>106</v>
      </c>
      <c r="C514" s="37" t="s">
        <v>77</v>
      </c>
      <c r="D514" s="37" t="s">
        <v>78</v>
      </c>
      <c r="E514" s="38" t="n">
        <v>238.393136766433</v>
      </c>
      <c r="F514" s="38" t="n">
        <v>56.7002845867578</v>
      </c>
      <c r="G514" s="38" t="n">
        <v>16.0402590191115</v>
      </c>
      <c r="H514" s="38" t="n">
        <v>23.6310096401959</v>
      </c>
      <c r="I514" s="38" t="n">
        <v>267.141696235047</v>
      </c>
      <c r="J514" s="38" t="n">
        <v>85.9700954638254</v>
      </c>
      <c r="K514" s="38" t="n">
        <v>156.646014751253</v>
      </c>
      <c r="L514" s="38" t="n">
        <v>81.8788377584829</v>
      </c>
      <c r="M514" s="38" t="n">
        <v>79.0806438311956</v>
      </c>
      <c r="N514" s="38" t="n">
        <v>0</v>
      </c>
    </row>
    <row r="515" customFormat="false" ht="15" hidden="false" customHeight="false" outlineLevel="0" collapsed="false">
      <c r="A515" s="37" t="s">
        <v>600</v>
      </c>
      <c r="B515" s="37" t="s">
        <v>112</v>
      </c>
      <c r="C515" s="37" t="s">
        <v>36</v>
      </c>
      <c r="D515" s="37" t="s">
        <v>37</v>
      </c>
      <c r="E515" s="38" t="n">
        <v>212.671212370038</v>
      </c>
      <c r="F515" s="38" t="n">
        <v>38.9066414219147</v>
      </c>
      <c r="G515" s="38" t="n">
        <v>15.9058723029501</v>
      </c>
      <c r="H515" s="38" t="n">
        <v>5.96872004502589</v>
      </c>
      <c r="I515" s="38" t="n">
        <v>252.504267375887</v>
      </c>
      <c r="J515" s="38" t="n">
        <v>49.2062439841792</v>
      </c>
      <c r="K515" s="38" t="n">
        <v>115.86012690844</v>
      </c>
      <c r="L515" s="38" t="n">
        <v>68.1836950470367</v>
      </c>
      <c r="M515" s="38" t="n">
        <v>64.0705853286536</v>
      </c>
      <c r="N515" s="38" t="n">
        <v>0</v>
      </c>
    </row>
    <row r="516" customFormat="false" ht="15" hidden="false" customHeight="false" outlineLevel="0" collapsed="false">
      <c r="A516" s="37" t="s">
        <v>600</v>
      </c>
      <c r="B516" s="37" t="s">
        <v>112</v>
      </c>
      <c r="C516" s="37" t="s">
        <v>41</v>
      </c>
      <c r="D516" s="37" t="s">
        <v>42</v>
      </c>
      <c r="E516" s="38" t="n">
        <v>205.755900604372</v>
      </c>
      <c r="F516" s="38" t="n">
        <v>57.286608080941</v>
      </c>
      <c r="G516" s="38" t="n">
        <v>15.8896488176605</v>
      </c>
      <c r="H516" s="38" t="n">
        <v>5.81841221282623</v>
      </c>
      <c r="I516" s="38" t="n">
        <v>210.49158911542</v>
      </c>
      <c r="J516" s="38" t="n">
        <v>24.9888445290091</v>
      </c>
      <c r="K516" s="38" t="n">
        <v>95.0784030364459</v>
      </c>
      <c r="L516" s="38" t="n">
        <v>61.7993710346433</v>
      </c>
      <c r="M516" s="38" t="n">
        <v>53.7567432379095</v>
      </c>
      <c r="N516" s="38" t="n">
        <v>0</v>
      </c>
    </row>
    <row r="517" customFormat="false" ht="15" hidden="false" customHeight="false" outlineLevel="0" collapsed="false">
      <c r="A517" s="37" t="s">
        <v>600</v>
      </c>
      <c r="B517" s="37" t="s">
        <v>112</v>
      </c>
      <c r="C517" s="37" t="s">
        <v>46</v>
      </c>
      <c r="D517" s="37" t="s">
        <v>47</v>
      </c>
      <c r="E517" s="38" t="n">
        <v>251.82001785047</v>
      </c>
      <c r="F517" s="38" t="n">
        <v>38.7392144976568</v>
      </c>
      <c r="G517" s="38" t="n">
        <v>15.9221667710777</v>
      </c>
      <c r="H517" s="38" t="n">
        <v>57.0055441907341</v>
      </c>
      <c r="I517" s="38" t="n">
        <v>328.027832457983</v>
      </c>
      <c r="J517" s="38" t="n">
        <v>134.777832457983</v>
      </c>
      <c r="K517" s="38" t="n">
        <v>162.830739919346</v>
      </c>
      <c r="L517" s="38" t="n">
        <v>85.2912644812083</v>
      </c>
      <c r="M517" s="38" t="n">
        <v>78.4767493994277</v>
      </c>
      <c r="N517" s="38" t="n">
        <v>0</v>
      </c>
    </row>
    <row r="518" customFormat="false" ht="15" hidden="false" customHeight="false" outlineLevel="0" collapsed="false">
      <c r="A518" s="37" t="s">
        <v>600</v>
      </c>
      <c r="B518" s="37" t="s">
        <v>112</v>
      </c>
      <c r="C518" s="37" t="s">
        <v>51</v>
      </c>
      <c r="D518" s="37" t="s">
        <v>51</v>
      </c>
      <c r="E518" s="38" t="n">
        <v>241.877359623955</v>
      </c>
      <c r="F518" s="38" t="n">
        <v>47.0119283975169</v>
      </c>
      <c r="G518" s="38" t="n">
        <v>15.9221667710777</v>
      </c>
      <c r="H518" s="38" t="n">
        <v>37.0657477559462</v>
      </c>
      <c r="I518" s="38" t="n">
        <v>307.264395885927</v>
      </c>
      <c r="J518" s="38" t="n">
        <v>110.59069525105</v>
      </c>
      <c r="K518" s="38" t="n">
        <v>161.914605269345</v>
      </c>
      <c r="L518" s="38" t="n">
        <v>81.5505706853612</v>
      </c>
      <c r="M518" s="38" t="n">
        <v>79.177439553638</v>
      </c>
      <c r="N518" s="38" t="n">
        <v>0</v>
      </c>
    </row>
    <row r="519" customFormat="false" ht="15" hidden="false" customHeight="false" outlineLevel="0" collapsed="false">
      <c r="A519" s="37" t="s">
        <v>600</v>
      </c>
      <c r="B519" s="37" t="s">
        <v>112</v>
      </c>
      <c r="C519" s="37" t="s">
        <v>55</v>
      </c>
      <c r="D519" s="37" t="s">
        <v>37</v>
      </c>
      <c r="E519" s="38" t="n">
        <v>204.143944167185</v>
      </c>
      <c r="F519" s="38" t="n">
        <v>38.6405250242193</v>
      </c>
      <c r="G519" s="38" t="n">
        <v>15.9042053807016</v>
      </c>
      <c r="H519" s="38" t="n">
        <v>5.64209299144803</v>
      </c>
      <c r="I519" s="38" t="n">
        <v>259.518456924063</v>
      </c>
      <c r="J519" s="38" t="n">
        <v>58.8399237552982</v>
      </c>
      <c r="K519" s="38" t="n">
        <v>109.478390575077</v>
      </c>
      <c r="L519" s="38" t="n">
        <v>61.9103072817993</v>
      </c>
      <c r="M519" s="38" t="n">
        <v>58.4528036762521</v>
      </c>
      <c r="N519" s="38" t="n">
        <v>0</v>
      </c>
    </row>
    <row r="520" customFormat="false" ht="15" hidden="false" customHeight="false" outlineLevel="0" collapsed="false">
      <c r="A520" s="37" t="s">
        <v>600</v>
      </c>
      <c r="B520" s="37" t="s">
        <v>112</v>
      </c>
      <c r="C520" s="37" t="s">
        <v>59</v>
      </c>
      <c r="D520" s="37" t="s">
        <v>42</v>
      </c>
      <c r="E520" s="38" t="n">
        <v>203.55249487556</v>
      </c>
      <c r="F520" s="38" t="n">
        <v>61.4251571549657</v>
      </c>
      <c r="G520" s="38" t="n">
        <v>15.8885962754661</v>
      </c>
      <c r="H520" s="38" t="n">
        <v>5.54833681410179</v>
      </c>
      <c r="I520" s="38" t="n">
        <v>210.324653440312</v>
      </c>
      <c r="J520" s="38" t="n">
        <v>11.7145450707064</v>
      </c>
      <c r="K520" s="38" t="n">
        <v>91.9964737955787</v>
      </c>
      <c r="L520" s="38" t="n">
        <v>55.4097326814274</v>
      </c>
      <c r="M520" s="38" t="n">
        <v>48.838641736597</v>
      </c>
      <c r="N520" s="38" t="n">
        <v>0</v>
      </c>
    </row>
    <row r="521" customFormat="false" ht="15" hidden="false" customHeight="false" outlineLevel="0" collapsed="false">
      <c r="A521" s="37" t="s">
        <v>600</v>
      </c>
      <c r="B521" s="37" t="s">
        <v>112</v>
      </c>
      <c r="C521" s="37" t="s">
        <v>63</v>
      </c>
      <c r="D521" s="37" t="s">
        <v>47</v>
      </c>
      <c r="E521" s="38" t="n">
        <v>238.69473024259</v>
      </c>
      <c r="F521" s="38" t="n">
        <v>39.1276263376199</v>
      </c>
      <c r="G521" s="38" t="n">
        <v>15.9084269317444</v>
      </c>
      <c r="H521" s="38" t="n">
        <v>57.0139594948565</v>
      </c>
      <c r="I521" s="38" t="n">
        <v>310.422909480446</v>
      </c>
      <c r="J521" s="38" t="n">
        <v>112.607332633482</v>
      </c>
      <c r="K521" s="38" t="n">
        <v>143.258750965208</v>
      </c>
      <c r="L521" s="38" t="n">
        <v>75.4324314383697</v>
      </c>
      <c r="M521" s="38" t="n">
        <v>72.1697305716296</v>
      </c>
      <c r="N521" s="38" t="n">
        <v>0</v>
      </c>
    </row>
    <row r="522" customFormat="false" ht="15" hidden="false" customHeight="false" outlineLevel="0" collapsed="false">
      <c r="A522" s="37" t="s">
        <v>600</v>
      </c>
      <c r="B522" s="37" t="s">
        <v>112</v>
      </c>
      <c r="C522" s="37" t="s">
        <v>67</v>
      </c>
      <c r="D522" s="37" t="s">
        <v>68</v>
      </c>
      <c r="E522" s="38" t="n">
        <v>198.379209506509</v>
      </c>
      <c r="F522" s="38" t="n">
        <v>39.9529274561651</v>
      </c>
      <c r="G522" s="38" t="n">
        <v>15.1223962464344</v>
      </c>
      <c r="H522" s="38" t="n">
        <v>5.90016312269727</v>
      </c>
      <c r="I522" s="38" t="n">
        <v>216.685972370646</v>
      </c>
      <c r="J522" s="38" t="n">
        <v>25.1859723706463</v>
      </c>
      <c r="K522" s="38" t="n">
        <v>104.097108135241</v>
      </c>
      <c r="L522" s="38" t="n">
        <v>66.1686750898254</v>
      </c>
      <c r="M522" s="38" t="n">
        <v>57.9453314189824</v>
      </c>
      <c r="N522" s="38" t="n">
        <v>0</v>
      </c>
    </row>
    <row r="523" customFormat="false" ht="15" hidden="false" customHeight="false" outlineLevel="0" collapsed="false">
      <c r="A523" s="37" t="s">
        <v>600</v>
      </c>
      <c r="B523" s="37" t="s">
        <v>112</v>
      </c>
      <c r="C523" s="37" t="s">
        <v>72</v>
      </c>
      <c r="D523" s="37" t="s">
        <v>73</v>
      </c>
      <c r="E523" s="38" t="n">
        <v>201.595187870645</v>
      </c>
      <c r="F523" s="38" t="n">
        <v>41.4779153314978</v>
      </c>
      <c r="G523" s="38" t="n">
        <v>15.9221667710777</v>
      </c>
      <c r="H523" s="38" t="n">
        <v>15.186911773909</v>
      </c>
      <c r="I523" s="38" t="n">
        <v>234.894595114073</v>
      </c>
      <c r="J523" s="38" t="n">
        <v>198.522610987089</v>
      </c>
      <c r="K523" s="38" t="n">
        <v>110.920262253451</v>
      </c>
      <c r="L523" s="38" t="n">
        <v>65.996270361869</v>
      </c>
      <c r="M523" s="38" t="n">
        <v>58.6118146009793</v>
      </c>
      <c r="N523" s="38" t="n">
        <v>0</v>
      </c>
    </row>
    <row r="524" customFormat="false" ht="15" hidden="false" customHeight="false" outlineLevel="0" collapsed="false">
      <c r="A524" s="37" t="s">
        <v>600</v>
      </c>
      <c r="B524" s="37" t="s">
        <v>112</v>
      </c>
      <c r="C524" s="37" t="s">
        <v>77</v>
      </c>
      <c r="D524" s="37" t="s">
        <v>78</v>
      </c>
      <c r="E524" s="38" t="n">
        <v>248.269994282737</v>
      </c>
      <c r="F524" s="38" t="n">
        <v>54.528360843499</v>
      </c>
      <c r="G524" s="38" t="n">
        <v>16.0402047502152</v>
      </c>
      <c r="H524" s="38" t="n">
        <v>35.6819713564499</v>
      </c>
      <c r="I524" s="38" t="n">
        <v>292.228619100174</v>
      </c>
      <c r="J524" s="38" t="n">
        <v>111.031992960435</v>
      </c>
      <c r="K524" s="38" t="n">
        <v>165.04024684353</v>
      </c>
      <c r="L524" s="38" t="n">
        <v>83.8973877245803</v>
      </c>
      <c r="M524" s="38" t="n">
        <v>82.0248406048245</v>
      </c>
      <c r="N524" s="38" t="n">
        <v>0</v>
      </c>
    </row>
    <row r="525" customFormat="false" ht="15" hidden="false" customHeight="false" outlineLevel="0" collapsed="false">
      <c r="A525" s="37" t="s">
        <v>600</v>
      </c>
      <c r="B525" s="37" t="s">
        <v>118</v>
      </c>
      <c r="C525" s="37" t="s">
        <v>36</v>
      </c>
      <c r="D525" s="37" t="s">
        <v>37</v>
      </c>
      <c r="E525" s="38" t="n">
        <v>228.059938299976</v>
      </c>
      <c r="F525" s="38" t="n">
        <v>38.9433386839942</v>
      </c>
      <c r="G525" s="38" t="n">
        <v>15.9058489251118</v>
      </c>
      <c r="H525" s="38" t="n">
        <v>4.11995796165717</v>
      </c>
      <c r="I525" s="38" t="n">
        <v>286.760867455335</v>
      </c>
      <c r="J525" s="38" t="n">
        <v>83.4469895530261</v>
      </c>
      <c r="K525" s="38" t="n">
        <v>131.062119199244</v>
      </c>
      <c r="L525" s="38" t="n">
        <v>73.6775969829247</v>
      </c>
      <c r="M525" s="38" t="n">
        <v>70.3890447960805</v>
      </c>
      <c r="N525" s="38" t="n">
        <v>0</v>
      </c>
    </row>
    <row r="526" customFormat="false" ht="15" hidden="false" customHeight="false" outlineLevel="0" collapsed="false">
      <c r="A526" s="37" t="s">
        <v>600</v>
      </c>
      <c r="B526" s="37" t="s">
        <v>118</v>
      </c>
      <c r="C526" s="37" t="s">
        <v>41</v>
      </c>
      <c r="D526" s="37" t="s">
        <v>42</v>
      </c>
      <c r="E526" s="38" t="n">
        <v>223.964778443636</v>
      </c>
      <c r="F526" s="38" t="n">
        <v>63.3096692684681</v>
      </c>
      <c r="G526" s="38" t="n">
        <v>15.9050641159899</v>
      </c>
      <c r="H526" s="38" t="n">
        <v>4.13135552505812</v>
      </c>
      <c r="I526" s="38" t="n">
        <v>229.349022524697</v>
      </c>
      <c r="J526" s="38" t="n">
        <v>68.7731784445475</v>
      </c>
      <c r="K526" s="38" t="n">
        <v>122.062690972266</v>
      </c>
      <c r="L526" s="38" t="n">
        <v>71.2130393264099</v>
      </c>
      <c r="M526" s="38" t="n">
        <v>65.7386918606402</v>
      </c>
      <c r="N526" s="38" t="n">
        <v>0</v>
      </c>
    </row>
    <row r="527" customFormat="false" ht="15" hidden="false" customHeight="false" outlineLevel="0" collapsed="false">
      <c r="A527" s="37" t="s">
        <v>600</v>
      </c>
      <c r="B527" s="37" t="s">
        <v>118</v>
      </c>
      <c r="C527" s="37" t="s">
        <v>46</v>
      </c>
      <c r="D527" s="37" t="s">
        <v>47</v>
      </c>
      <c r="E527" s="38" t="n">
        <v>228.702471013392</v>
      </c>
      <c r="F527" s="38" t="n">
        <v>38.5196077629485</v>
      </c>
      <c r="G527" s="38" t="n">
        <v>15.9221667710777</v>
      </c>
      <c r="H527" s="38" t="n">
        <v>23.3494886150677</v>
      </c>
      <c r="I527" s="38" t="n">
        <v>261.613227218557</v>
      </c>
      <c r="J527" s="38" t="n">
        <v>68.3632272185574</v>
      </c>
      <c r="K527" s="38" t="n">
        <v>140.757131755149</v>
      </c>
      <c r="L527" s="38" t="n">
        <v>77.4254147766429</v>
      </c>
      <c r="M527" s="38" t="n">
        <v>72.0413949776115</v>
      </c>
      <c r="N527" s="38" t="n">
        <v>0</v>
      </c>
    </row>
    <row r="528" customFormat="false" ht="15" hidden="false" customHeight="false" outlineLevel="0" collapsed="false">
      <c r="A528" s="37" t="s">
        <v>600</v>
      </c>
      <c r="B528" s="37" t="s">
        <v>118</v>
      </c>
      <c r="C528" s="37" t="s">
        <v>51</v>
      </c>
      <c r="D528" s="37" t="s">
        <v>51</v>
      </c>
      <c r="E528" s="38" t="n">
        <v>232.75107647272</v>
      </c>
      <c r="F528" s="38" t="n">
        <v>46.8336212115159</v>
      </c>
      <c r="G528" s="38" t="n">
        <v>15.9221667710777</v>
      </c>
      <c r="H528" s="38" t="n">
        <v>15.0139538974469</v>
      </c>
      <c r="I528" s="38" t="n">
        <v>286.00276653574</v>
      </c>
      <c r="J528" s="38" t="n">
        <v>89.3290659008633</v>
      </c>
      <c r="K528" s="38" t="n">
        <v>150.869142864013</v>
      </c>
      <c r="L528" s="38" t="n">
        <v>78.013938806726</v>
      </c>
      <c r="M528" s="38" t="n">
        <v>76.2373664200405</v>
      </c>
      <c r="N528" s="38" t="n">
        <v>0</v>
      </c>
    </row>
    <row r="529" customFormat="false" ht="15" hidden="false" customHeight="false" outlineLevel="0" collapsed="false">
      <c r="A529" s="37" t="s">
        <v>600</v>
      </c>
      <c r="B529" s="37" t="s">
        <v>118</v>
      </c>
      <c r="C529" s="37" t="s">
        <v>55</v>
      </c>
      <c r="D529" s="37" t="s">
        <v>37</v>
      </c>
      <c r="E529" s="38" t="n">
        <v>219.004661973591</v>
      </c>
      <c r="F529" s="38" t="n">
        <v>38.6805136980161</v>
      </c>
      <c r="G529" s="38" t="n">
        <v>15.9045527036865</v>
      </c>
      <c r="H529" s="38" t="n">
        <v>3.94328429515778</v>
      </c>
      <c r="I529" s="38" t="n">
        <v>294.148055330613</v>
      </c>
      <c r="J529" s="38" t="n">
        <v>93.7050818255713</v>
      </c>
      <c r="K529" s="38" t="n">
        <v>124.72270481457</v>
      </c>
      <c r="L529" s="38" t="n">
        <v>67.2918589215632</v>
      </c>
      <c r="M529" s="38" t="n">
        <v>65.1624475833134</v>
      </c>
      <c r="N529" s="38" t="n">
        <v>0</v>
      </c>
    </row>
    <row r="530" customFormat="false" ht="15" hidden="false" customHeight="false" outlineLevel="0" collapsed="false">
      <c r="A530" s="37" t="s">
        <v>600</v>
      </c>
      <c r="B530" s="37" t="s">
        <v>118</v>
      </c>
      <c r="C530" s="37" t="s">
        <v>59</v>
      </c>
      <c r="D530" s="37" t="s">
        <v>42</v>
      </c>
      <c r="E530" s="38" t="n">
        <v>219.228836378679</v>
      </c>
      <c r="F530" s="38" t="n">
        <v>66.3273126484129</v>
      </c>
      <c r="G530" s="38" t="n">
        <v>15.9014157262441</v>
      </c>
      <c r="H530" s="38" t="n">
        <v>3.89170102068047</v>
      </c>
      <c r="I530" s="38" t="n">
        <v>244.453633404825</v>
      </c>
      <c r="J530" s="38" t="n">
        <v>80.2382447637313</v>
      </c>
      <c r="K530" s="38" t="n">
        <v>122.053890915302</v>
      </c>
      <c r="L530" s="38" t="n">
        <v>63.4290584036133</v>
      </c>
      <c r="M530" s="38" t="n">
        <v>60.7727316147034</v>
      </c>
      <c r="N530" s="38" t="n">
        <v>0</v>
      </c>
    </row>
    <row r="531" customFormat="false" ht="15" hidden="false" customHeight="false" outlineLevel="0" collapsed="false">
      <c r="A531" s="37" t="s">
        <v>600</v>
      </c>
      <c r="B531" s="37" t="s">
        <v>118</v>
      </c>
      <c r="C531" s="37" t="s">
        <v>63</v>
      </c>
      <c r="D531" s="37" t="s">
        <v>47</v>
      </c>
      <c r="E531" s="38" t="n">
        <v>214.706708216527</v>
      </c>
      <c r="F531" s="38" t="n">
        <v>38.9040293391117</v>
      </c>
      <c r="G531" s="38" t="n">
        <v>15.908193496026</v>
      </c>
      <c r="H531" s="38" t="n">
        <v>22.7881179248509</v>
      </c>
      <c r="I531" s="38" t="n">
        <v>241.393431879601</v>
      </c>
      <c r="J531" s="38" t="n">
        <v>43.4195537120715</v>
      </c>
      <c r="K531" s="38" t="n">
        <v>119.187420478562</v>
      </c>
      <c r="L531" s="38" t="n">
        <v>66.1735652038418</v>
      </c>
      <c r="M531" s="38" t="n">
        <v>63.4523012840895</v>
      </c>
      <c r="N531" s="38" t="n">
        <v>0</v>
      </c>
    </row>
    <row r="532" customFormat="false" ht="15" hidden="false" customHeight="false" outlineLevel="0" collapsed="false">
      <c r="A532" s="37" t="s">
        <v>600</v>
      </c>
      <c r="B532" s="37" t="s">
        <v>118</v>
      </c>
      <c r="C532" s="37" t="s">
        <v>67</v>
      </c>
      <c r="D532" s="37" t="s">
        <v>68</v>
      </c>
      <c r="E532" s="38" t="n">
        <v>210.118310650161</v>
      </c>
      <c r="F532" s="38" t="n">
        <v>39.990155428894</v>
      </c>
      <c r="G532" s="38" t="n">
        <v>15.130961052378</v>
      </c>
      <c r="H532" s="38" t="n">
        <v>4.09069122026735</v>
      </c>
      <c r="I532" s="38" t="n">
        <v>244.89560983761</v>
      </c>
      <c r="J532" s="38" t="n">
        <v>53.39560983761</v>
      </c>
      <c r="K532" s="38" t="n">
        <v>129.712625572072</v>
      </c>
      <c r="L532" s="38" t="n">
        <v>69.3358781628905</v>
      </c>
      <c r="M532" s="38" t="n">
        <v>66.5380046778383</v>
      </c>
      <c r="N532" s="38" t="n">
        <v>0</v>
      </c>
    </row>
    <row r="533" customFormat="false" ht="15" hidden="false" customHeight="false" outlineLevel="0" collapsed="false">
      <c r="A533" s="37" t="s">
        <v>600</v>
      </c>
      <c r="B533" s="37" t="s">
        <v>118</v>
      </c>
      <c r="C533" s="37" t="s">
        <v>72</v>
      </c>
      <c r="D533" s="37" t="s">
        <v>73</v>
      </c>
      <c r="E533" s="38" t="n">
        <v>206.608141483411</v>
      </c>
      <c r="F533" s="38" t="n">
        <v>41.5068819540246</v>
      </c>
      <c r="G533" s="38" t="n">
        <v>15.9221667710777</v>
      </c>
      <c r="H533" s="38" t="n">
        <v>7.19915351066677</v>
      </c>
      <c r="I533" s="38" t="n">
        <v>251.147831740895</v>
      </c>
      <c r="J533" s="38" t="n">
        <v>214.775847613911</v>
      </c>
      <c r="K533" s="38" t="n">
        <v>114.137827315034</v>
      </c>
      <c r="L533" s="38" t="n">
        <v>66.4395730626241</v>
      </c>
      <c r="M533" s="38" t="n">
        <v>60.6513153951217</v>
      </c>
      <c r="N533" s="38" t="n">
        <v>0</v>
      </c>
    </row>
    <row r="534" customFormat="false" ht="15" hidden="false" customHeight="false" outlineLevel="0" collapsed="false">
      <c r="A534" s="37" t="s">
        <v>600</v>
      </c>
      <c r="B534" s="37" t="s">
        <v>118</v>
      </c>
      <c r="C534" s="37" t="s">
        <v>77</v>
      </c>
      <c r="D534" s="37" t="s">
        <v>78</v>
      </c>
      <c r="E534" s="38" t="n">
        <v>239.701568594888</v>
      </c>
      <c r="F534" s="38" t="n">
        <v>54.3995859237221</v>
      </c>
      <c r="G534" s="38" t="n">
        <v>16.0402031553492</v>
      </c>
      <c r="H534" s="38" t="n">
        <v>14.4925927492181</v>
      </c>
      <c r="I534" s="38" t="n">
        <v>276.168723132396</v>
      </c>
      <c r="J534" s="38" t="n">
        <v>94.9713621749412</v>
      </c>
      <c r="K534" s="38" t="n">
        <v>155.422597482496</v>
      </c>
      <c r="L534" s="38" t="n">
        <v>81.9739219540872</v>
      </c>
      <c r="M534" s="38" t="n">
        <v>78.9878896363608</v>
      </c>
      <c r="N534" s="38" t="n">
        <v>0</v>
      </c>
    </row>
    <row r="535" customFormat="false" ht="15" hidden="false" customHeight="false" outlineLevel="0" collapsed="false">
      <c r="A535" s="37" t="s">
        <v>600</v>
      </c>
      <c r="B535" s="37" t="s">
        <v>121</v>
      </c>
      <c r="C535" s="37" t="s">
        <v>36</v>
      </c>
      <c r="D535" s="37" t="s">
        <v>37</v>
      </c>
      <c r="E535" s="38" t="n">
        <v>207.853813924371</v>
      </c>
      <c r="F535" s="38" t="n">
        <v>38.5830817548347</v>
      </c>
      <c r="G535" s="38" t="n">
        <v>15.869382602601</v>
      </c>
      <c r="H535" s="38" t="n">
        <v>4.88725928327094</v>
      </c>
      <c r="I535" s="38" t="n">
        <v>244.4469258393</v>
      </c>
      <c r="J535" s="38" t="n">
        <v>41.0403199573712</v>
      </c>
      <c r="K535" s="38" t="n">
        <v>109.141357325652</v>
      </c>
      <c r="L535" s="38" t="n">
        <v>66.7243962210159</v>
      </c>
      <c r="M535" s="38" t="n">
        <v>61.3366862529538</v>
      </c>
      <c r="N535" s="38" t="n">
        <v>0</v>
      </c>
    </row>
    <row r="536" customFormat="false" ht="15" hidden="false" customHeight="false" outlineLevel="0" collapsed="false">
      <c r="A536" s="37" t="s">
        <v>600</v>
      </c>
      <c r="B536" s="37" t="s">
        <v>121</v>
      </c>
      <c r="C536" s="37" t="s">
        <v>41</v>
      </c>
      <c r="D536" s="37" t="s">
        <v>42</v>
      </c>
      <c r="E536" s="38" t="n">
        <v>201.488915940368</v>
      </c>
      <c r="F536" s="38" t="n">
        <v>56.8282922707572</v>
      </c>
      <c r="G536" s="38" t="n">
        <v>15.8533090925579</v>
      </c>
      <c r="H536" s="38" t="n">
        <v>4.78035420081367</v>
      </c>
      <c r="I536" s="38" t="n">
        <v>203.332386410006</v>
      </c>
      <c r="J536" s="38" t="n">
        <v>24.9559945029595</v>
      </c>
      <c r="K536" s="38" t="n">
        <v>88.8919939950162</v>
      </c>
      <c r="L536" s="38" t="n">
        <v>60.408764031871</v>
      </c>
      <c r="M536" s="38" t="n">
        <v>51.2260174334534</v>
      </c>
      <c r="N536" s="38" t="n">
        <v>0</v>
      </c>
    </row>
    <row r="537" customFormat="false" ht="15" hidden="false" customHeight="false" outlineLevel="0" collapsed="false">
      <c r="A537" s="37" t="s">
        <v>600</v>
      </c>
      <c r="B537" s="37" t="s">
        <v>121</v>
      </c>
      <c r="C537" s="37" t="s">
        <v>46</v>
      </c>
      <c r="D537" s="37" t="s">
        <v>47</v>
      </c>
      <c r="E537" s="38" t="n">
        <v>227.98767979665</v>
      </c>
      <c r="F537" s="38" t="n">
        <v>38.3538288276992</v>
      </c>
      <c r="G537" s="38" t="n">
        <v>15.8858144937776</v>
      </c>
      <c r="H537" s="38" t="n">
        <v>36.4809098596098</v>
      </c>
      <c r="I537" s="38" t="n">
        <v>268.214318987264</v>
      </c>
      <c r="J537" s="38" t="n">
        <v>74.9643189872643</v>
      </c>
      <c r="K537" s="38" t="n">
        <v>139.681697253665</v>
      </c>
      <c r="L537" s="38" t="n">
        <v>78.3105482702942</v>
      </c>
      <c r="M537" s="38" t="n">
        <v>70.1701173569386</v>
      </c>
      <c r="N537" s="38" t="n">
        <v>0</v>
      </c>
    </row>
    <row r="538" customFormat="false" ht="15" hidden="false" customHeight="false" outlineLevel="0" collapsed="false">
      <c r="A538" s="37" t="s">
        <v>600</v>
      </c>
      <c r="B538" s="37" t="s">
        <v>121</v>
      </c>
      <c r="C538" s="37" t="s">
        <v>51</v>
      </c>
      <c r="D538" s="37" t="s">
        <v>51</v>
      </c>
      <c r="E538" s="38" t="n">
        <v>224.105332519537</v>
      </c>
      <c r="F538" s="38" t="n">
        <v>46.5354167024768</v>
      </c>
      <c r="G538" s="38" t="n">
        <v>15.8858144937776</v>
      </c>
      <c r="H538" s="38" t="n">
        <v>22.7425755917193</v>
      </c>
      <c r="I538" s="38" t="n">
        <v>269.194078580534</v>
      </c>
      <c r="J538" s="38" t="n">
        <v>72.5203779456571</v>
      </c>
      <c r="K538" s="38" t="n">
        <v>142.315412842883</v>
      </c>
      <c r="L538" s="38" t="n">
        <v>76.1827935603542</v>
      </c>
      <c r="M538" s="38" t="n">
        <v>71.9353065857787</v>
      </c>
      <c r="N538" s="38" t="n">
        <v>0</v>
      </c>
    </row>
    <row r="539" customFormat="false" ht="15" hidden="false" customHeight="false" outlineLevel="0" collapsed="false">
      <c r="A539" s="37" t="s">
        <v>600</v>
      </c>
      <c r="B539" s="37" t="s">
        <v>121</v>
      </c>
      <c r="C539" s="37" t="s">
        <v>55</v>
      </c>
      <c r="D539" s="37" t="s">
        <v>37</v>
      </c>
      <c r="E539" s="38" t="n">
        <v>199.636376541955</v>
      </c>
      <c r="F539" s="38" t="n">
        <v>38.3191759010498</v>
      </c>
      <c r="G539" s="38" t="n">
        <v>15.8677186562058</v>
      </c>
      <c r="H539" s="38" t="n">
        <v>4.65397394027493</v>
      </c>
      <c r="I539" s="38" t="n">
        <v>251.81152089429</v>
      </c>
      <c r="J539" s="38" t="n">
        <v>51.0248600107415</v>
      </c>
      <c r="K539" s="38" t="n">
        <v>102.908477920352</v>
      </c>
      <c r="L539" s="38" t="n">
        <v>60.5360037177021</v>
      </c>
      <c r="M539" s="38" t="n">
        <v>55.7967004093728</v>
      </c>
      <c r="N539" s="38" t="n">
        <v>0</v>
      </c>
    </row>
    <row r="540" customFormat="false" ht="15" hidden="false" customHeight="false" outlineLevel="0" collapsed="false">
      <c r="A540" s="37" t="s">
        <v>600</v>
      </c>
      <c r="B540" s="37" t="s">
        <v>121</v>
      </c>
      <c r="C540" s="37" t="s">
        <v>59</v>
      </c>
      <c r="D540" s="37" t="s">
        <v>42</v>
      </c>
      <c r="E540" s="38" t="n">
        <v>199.565631474125</v>
      </c>
      <c r="F540" s="38" t="n">
        <v>60.9587981611008</v>
      </c>
      <c r="G540" s="38" t="n">
        <v>15.8522829478721</v>
      </c>
      <c r="H540" s="38" t="n">
        <v>4.58873400190192</v>
      </c>
      <c r="I540" s="38" t="n">
        <v>203.165454408658</v>
      </c>
      <c r="J540" s="38" t="n">
        <v>4.55515929790049</v>
      </c>
      <c r="K540" s="38" t="n">
        <v>85.1893014286828</v>
      </c>
      <c r="L540" s="38" t="n">
        <v>54.1750716293282</v>
      </c>
      <c r="M540" s="38" t="n">
        <v>46.5171736575988</v>
      </c>
      <c r="N540" s="38" t="n">
        <v>0</v>
      </c>
    </row>
    <row r="541" customFormat="false" ht="15" hidden="false" customHeight="false" outlineLevel="0" collapsed="false">
      <c r="A541" s="37" t="s">
        <v>600</v>
      </c>
      <c r="B541" s="37" t="s">
        <v>121</v>
      </c>
      <c r="C541" s="37" t="s">
        <v>63</v>
      </c>
      <c r="D541" s="37" t="s">
        <v>47</v>
      </c>
      <c r="E541" s="38" t="n">
        <v>214.497499583328</v>
      </c>
      <c r="F541" s="38" t="n">
        <v>38.7362421777311</v>
      </c>
      <c r="G541" s="38" t="n">
        <v>15.8716856773725</v>
      </c>
      <c r="H541" s="38" t="n">
        <v>35.9859454421551</v>
      </c>
      <c r="I541" s="38" t="n">
        <v>249.079695257924</v>
      </c>
      <c r="J541" s="38" t="n">
        <v>50.9871115809134</v>
      </c>
      <c r="K541" s="38" t="n">
        <v>118.318186110442</v>
      </c>
      <c r="L541" s="38" t="n">
        <v>67.2112304062846</v>
      </c>
      <c r="M541" s="38" t="n">
        <v>62.2513265964314</v>
      </c>
      <c r="N541" s="38" t="n">
        <v>0</v>
      </c>
    </row>
    <row r="542" customFormat="false" ht="15" hidden="false" customHeight="false" outlineLevel="0" collapsed="false">
      <c r="A542" s="37" t="s">
        <v>600</v>
      </c>
      <c r="B542" s="37" t="s">
        <v>121</v>
      </c>
      <c r="C542" s="37" t="s">
        <v>67</v>
      </c>
      <c r="D542" s="37" t="s">
        <v>68</v>
      </c>
      <c r="E542" s="38" t="n">
        <v>194.05139276882</v>
      </c>
      <c r="F542" s="38" t="n">
        <v>39.6179925417196</v>
      </c>
      <c r="G542" s="38" t="n">
        <v>15.0863812560634</v>
      </c>
      <c r="H542" s="38" t="n">
        <v>4.84400508234978</v>
      </c>
      <c r="I542" s="38" t="n">
        <v>208.902842601357</v>
      </c>
      <c r="J542" s="38" t="n">
        <v>27.4028426013573</v>
      </c>
      <c r="K542" s="38" t="n">
        <v>98.9933531861589</v>
      </c>
      <c r="L542" s="38" t="n">
        <v>62.3949338325005</v>
      </c>
      <c r="M542" s="38" t="n">
        <v>55.5075158307644</v>
      </c>
      <c r="N542" s="38" t="n">
        <v>0</v>
      </c>
    </row>
    <row r="543" customFormat="false" ht="15" hidden="false" customHeight="false" outlineLevel="0" collapsed="false">
      <c r="A543" s="37" t="s">
        <v>600</v>
      </c>
      <c r="B543" s="37" t="s">
        <v>121</v>
      </c>
      <c r="C543" s="37" t="s">
        <v>72</v>
      </c>
      <c r="D543" s="37" t="s">
        <v>73</v>
      </c>
      <c r="E543" s="38" t="n">
        <v>193.213014027195</v>
      </c>
      <c r="F543" s="38" t="n">
        <v>41.1157632313765</v>
      </c>
      <c r="G543" s="38" t="n">
        <v>15.8858144937776</v>
      </c>
      <c r="H543" s="38" t="n">
        <v>9.90557949042705</v>
      </c>
      <c r="I543" s="38" t="n">
        <v>218.871465631962</v>
      </c>
      <c r="J543" s="38" t="n">
        <v>182.499481504978</v>
      </c>
      <c r="K543" s="38" t="n">
        <v>98.0582724641268</v>
      </c>
      <c r="L543" s="38" t="n">
        <v>63.6468441628204</v>
      </c>
      <c r="M543" s="38" t="n">
        <v>53.471141082389</v>
      </c>
      <c r="N543" s="38" t="n">
        <v>0</v>
      </c>
    </row>
    <row r="544" customFormat="false" ht="15" hidden="false" customHeight="false" outlineLevel="0" collapsed="false">
      <c r="A544" s="37" t="s">
        <v>600</v>
      </c>
      <c r="B544" s="37" t="s">
        <v>121</v>
      </c>
      <c r="C544" s="37" t="s">
        <v>77</v>
      </c>
      <c r="D544" s="37" t="s">
        <v>78</v>
      </c>
      <c r="E544" s="38" t="n">
        <v>230.843696321801</v>
      </c>
      <c r="F544" s="38" t="n">
        <v>54.0538339128249</v>
      </c>
      <c r="G544" s="38" t="n">
        <v>16.0036642760066</v>
      </c>
      <c r="H544" s="38" t="n">
        <v>21.6998924272503</v>
      </c>
      <c r="I544" s="38" t="n">
        <v>257.560062531338</v>
      </c>
      <c r="J544" s="38" t="n">
        <v>76.3602604327836</v>
      </c>
      <c r="K544" s="38" t="n">
        <v>147.549409421395</v>
      </c>
      <c r="L544" s="38" t="n">
        <v>79.6866887799557</v>
      </c>
      <c r="M544" s="38" t="n">
        <v>75.8701667157446</v>
      </c>
      <c r="N544" s="38" t="n">
        <v>0</v>
      </c>
    </row>
    <row r="545" customFormat="false" ht="15" hidden="false" customHeight="false" outlineLevel="0" collapsed="false">
      <c r="A545" s="37" t="s">
        <v>601</v>
      </c>
      <c r="B545" s="37" t="s">
        <v>97</v>
      </c>
      <c r="C545" s="37" t="s">
        <v>36</v>
      </c>
      <c r="D545" s="37" t="s">
        <v>37</v>
      </c>
      <c r="E545" s="38" t="n">
        <v>212.288014368187</v>
      </c>
      <c r="F545" s="38" t="n">
        <v>39.4589112784461</v>
      </c>
      <c r="G545" s="38" t="n">
        <v>15.9058619707829</v>
      </c>
      <c r="H545" s="38" t="n">
        <v>5.03770740845352</v>
      </c>
      <c r="I545" s="38" t="n">
        <v>250.02738511172</v>
      </c>
      <c r="J545" s="38" t="n">
        <v>46.7223545954961</v>
      </c>
      <c r="K545" s="38" t="n">
        <v>116.11173890473</v>
      </c>
      <c r="L545" s="38" t="n">
        <v>68.0426501453738</v>
      </c>
      <c r="M545" s="38" t="n">
        <v>64.1352298331649</v>
      </c>
      <c r="N545" s="38" t="n">
        <v>0</v>
      </c>
    </row>
    <row r="546" customFormat="false" ht="15" hidden="false" customHeight="false" outlineLevel="0" collapsed="false">
      <c r="A546" s="37" t="s">
        <v>601</v>
      </c>
      <c r="B546" s="37" t="s">
        <v>97</v>
      </c>
      <c r="C546" s="37" t="s">
        <v>41</v>
      </c>
      <c r="D546" s="37" t="s">
        <v>42</v>
      </c>
      <c r="E546" s="38" t="n">
        <v>198.779542458599</v>
      </c>
      <c r="F546" s="38" t="n">
        <v>51.2753939384983</v>
      </c>
      <c r="G546" s="38" t="n">
        <v>15.8894868619018</v>
      </c>
      <c r="H546" s="38" t="n">
        <v>4.92281935554995</v>
      </c>
      <c r="I546" s="38" t="n">
        <v>205.058312507333</v>
      </c>
      <c r="J546" s="38" t="n">
        <v>24.9602960029111</v>
      </c>
      <c r="K546" s="38" t="n">
        <v>82.5877400261663</v>
      </c>
      <c r="L546" s="38" t="n">
        <v>59.4648453012142</v>
      </c>
      <c r="M546" s="38" t="n">
        <v>49.6236464446075</v>
      </c>
      <c r="N546" s="38" t="n">
        <v>0</v>
      </c>
    </row>
    <row r="547" customFormat="false" ht="15" hidden="false" customHeight="false" outlineLevel="0" collapsed="false">
      <c r="A547" s="37" t="s">
        <v>601</v>
      </c>
      <c r="B547" s="37" t="s">
        <v>97</v>
      </c>
      <c r="C547" s="37" t="s">
        <v>46</v>
      </c>
      <c r="D547" s="37" t="s">
        <v>47</v>
      </c>
      <c r="E547" s="38" t="n">
        <v>234.719816040967</v>
      </c>
      <c r="F547" s="38" t="n">
        <v>39.390700816034</v>
      </c>
      <c r="G547" s="38" t="n">
        <v>15.9221667710777</v>
      </c>
      <c r="H547" s="38" t="n">
        <v>39.2538560628545</v>
      </c>
      <c r="I547" s="38" t="n">
        <v>278.024795024663</v>
      </c>
      <c r="J547" s="38" t="n">
        <v>84.7747950246628</v>
      </c>
      <c r="K547" s="38" t="n">
        <v>148.497722116044</v>
      </c>
      <c r="L547" s="38" t="n">
        <v>80.5077656935446</v>
      </c>
      <c r="M547" s="38" t="n">
        <v>73.5165676939029</v>
      </c>
      <c r="N547" s="38" t="n">
        <v>0</v>
      </c>
    </row>
    <row r="548" customFormat="false" ht="15" hidden="false" customHeight="false" outlineLevel="0" collapsed="false">
      <c r="A548" s="37" t="s">
        <v>601</v>
      </c>
      <c r="B548" s="37" t="s">
        <v>97</v>
      </c>
      <c r="C548" s="37" t="s">
        <v>51</v>
      </c>
      <c r="D548" s="37" t="s">
        <v>51</v>
      </c>
      <c r="E548" s="38" t="n">
        <v>226.620525252695</v>
      </c>
      <c r="F548" s="38" t="n">
        <v>44.1978601098316</v>
      </c>
      <c r="G548" s="38" t="n">
        <v>15.9221667710777</v>
      </c>
      <c r="H548" s="38" t="n">
        <v>24.6229816723716</v>
      </c>
      <c r="I548" s="38" t="n">
        <v>273.988735351282</v>
      </c>
      <c r="J548" s="38" t="n">
        <v>77.3150347164049</v>
      </c>
      <c r="K548" s="38" t="n">
        <v>144.057972027984</v>
      </c>
      <c r="L548" s="38" t="n">
        <v>76.8801567852581</v>
      </c>
      <c r="M548" s="38" t="n">
        <v>72.4534831833878</v>
      </c>
      <c r="N548" s="38" t="n">
        <v>0</v>
      </c>
    </row>
    <row r="549" customFormat="false" ht="15" hidden="false" customHeight="false" outlineLevel="0" collapsed="false">
      <c r="A549" s="37" t="s">
        <v>601</v>
      </c>
      <c r="B549" s="37" t="s">
        <v>97</v>
      </c>
      <c r="C549" s="37" t="s">
        <v>55</v>
      </c>
      <c r="D549" s="37" t="s">
        <v>37</v>
      </c>
      <c r="E549" s="38" t="n">
        <v>203.762233146626</v>
      </c>
      <c r="F549" s="38" t="n">
        <v>39.1152541239374</v>
      </c>
      <c r="G549" s="38" t="n">
        <v>15.9041949012577</v>
      </c>
      <c r="H549" s="38" t="n">
        <v>4.78960818182069</v>
      </c>
      <c r="I549" s="38" t="n">
        <v>257.056633169641</v>
      </c>
      <c r="J549" s="38" t="n">
        <v>56.3709926473112</v>
      </c>
      <c r="K549" s="38" t="n">
        <v>109.733365332047</v>
      </c>
      <c r="L549" s="38" t="n">
        <v>61.7656168145087</v>
      </c>
      <c r="M549" s="38" t="n">
        <v>58.523705699324</v>
      </c>
      <c r="N549" s="38" t="n">
        <v>0</v>
      </c>
    </row>
    <row r="550" customFormat="false" ht="15" hidden="false" customHeight="false" outlineLevel="0" collapsed="false">
      <c r="A550" s="37" t="s">
        <v>601</v>
      </c>
      <c r="B550" s="37" t="s">
        <v>97</v>
      </c>
      <c r="C550" s="37" t="s">
        <v>59</v>
      </c>
      <c r="D550" s="37" t="s">
        <v>42</v>
      </c>
      <c r="E550" s="38" t="n">
        <v>194.58656394344</v>
      </c>
      <c r="F550" s="38" t="n">
        <v>53.2924711842577</v>
      </c>
      <c r="G550" s="38" t="n">
        <v>15.8884004859524</v>
      </c>
      <c r="H550" s="38" t="n">
        <v>4.71774603816191</v>
      </c>
      <c r="I550" s="38" t="n">
        <v>202.764093205867</v>
      </c>
      <c r="J550" s="38" t="n">
        <v>3.58997735004504</v>
      </c>
      <c r="K550" s="38" t="n">
        <v>76.4721730488301</v>
      </c>
      <c r="L550" s="38" t="n">
        <v>52.4988081445636</v>
      </c>
      <c r="M550" s="38" t="n">
        <v>43.9664748246929</v>
      </c>
      <c r="N550" s="38" t="n">
        <v>0</v>
      </c>
    </row>
    <row r="551" customFormat="false" ht="15" hidden="false" customHeight="false" outlineLevel="0" collapsed="false">
      <c r="A551" s="37" t="s">
        <v>601</v>
      </c>
      <c r="B551" s="37" t="s">
        <v>97</v>
      </c>
      <c r="C551" s="37" t="s">
        <v>63</v>
      </c>
      <c r="D551" s="37" t="s">
        <v>47</v>
      </c>
      <c r="E551" s="38" t="n">
        <v>220.878639884241</v>
      </c>
      <c r="F551" s="38" t="n">
        <v>39.6469440322694</v>
      </c>
      <c r="G551" s="38" t="n">
        <v>15.908186357291</v>
      </c>
      <c r="H551" s="38" t="n">
        <v>38.7510974202793</v>
      </c>
      <c r="I551" s="38" t="n">
        <v>258.383167788153</v>
      </c>
      <c r="J551" s="38" t="n">
        <v>60.4044485654959</v>
      </c>
      <c r="K551" s="38" t="n">
        <v>127.171288126056</v>
      </c>
      <c r="L551" s="38" t="n">
        <v>69.2499653963849</v>
      </c>
      <c r="M551" s="38" t="n">
        <v>65.7868962775175</v>
      </c>
      <c r="N551" s="38" t="n">
        <v>0</v>
      </c>
    </row>
    <row r="552" customFormat="false" ht="15" hidden="false" customHeight="false" outlineLevel="0" collapsed="false">
      <c r="A552" s="37" t="s">
        <v>601</v>
      </c>
      <c r="B552" s="37" t="s">
        <v>97</v>
      </c>
      <c r="C552" s="37" t="s">
        <v>67</v>
      </c>
      <c r="D552" s="37" t="s">
        <v>68</v>
      </c>
      <c r="E552" s="38" t="n">
        <v>198.18852901401</v>
      </c>
      <c r="F552" s="38" t="n">
        <v>40.677009821252</v>
      </c>
      <c r="G552" s="38" t="n">
        <v>15.1217909245446</v>
      </c>
      <c r="H552" s="38" t="n">
        <v>4.99119857494195</v>
      </c>
      <c r="I552" s="38" t="n">
        <v>214.238187268268</v>
      </c>
      <c r="J552" s="38" t="n">
        <v>32.7381872682684</v>
      </c>
      <c r="K552" s="38" t="n">
        <v>111.10706756099</v>
      </c>
      <c r="L552" s="38" t="n">
        <v>63.6733666433016</v>
      </c>
      <c r="M552" s="38" t="n">
        <v>59.7550260699388</v>
      </c>
      <c r="N552" s="38" t="n">
        <v>0</v>
      </c>
    </row>
    <row r="553" customFormat="false" ht="15" hidden="false" customHeight="false" outlineLevel="0" collapsed="false">
      <c r="A553" s="37" t="s">
        <v>601</v>
      </c>
      <c r="B553" s="37" t="s">
        <v>97</v>
      </c>
      <c r="C553" s="37" t="s">
        <v>72</v>
      </c>
      <c r="D553" s="37" t="s">
        <v>73</v>
      </c>
      <c r="E553" s="38" t="n">
        <v>196.387935211746</v>
      </c>
      <c r="F553" s="38" t="n">
        <v>40.8118189070592</v>
      </c>
      <c r="G553" s="38" t="n">
        <v>15.9221667710777</v>
      </c>
      <c r="H553" s="38" t="n">
        <v>10.6457555394483</v>
      </c>
      <c r="I553" s="38" t="n">
        <v>223.463623749599</v>
      </c>
      <c r="J553" s="38" t="n">
        <v>187.091639622614</v>
      </c>
      <c r="K553" s="38" t="n">
        <v>102.828851448689</v>
      </c>
      <c r="L553" s="38" t="n">
        <v>64.4527439915699</v>
      </c>
      <c r="M553" s="38" t="n">
        <v>55.2959338186301</v>
      </c>
      <c r="N553" s="38" t="n">
        <v>0</v>
      </c>
    </row>
    <row r="554" customFormat="false" ht="15" hidden="false" customHeight="false" outlineLevel="0" collapsed="false">
      <c r="A554" s="37" t="s">
        <v>601</v>
      </c>
      <c r="B554" s="37" t="s">
        <v>97</v>
      </c>
      <c r="C554" s="37" t="s">
        <v>77</v>
      </c>
      <c r="D554" s="37" t="s">
        <v>78</v>
      </c>
      <c r="E554" s="38" t="n">
        <v>234.076233300159</v>
      </c>
      <c r="F554" s="38" t="n">
        <v>52.3865646633691</v>
      </c>
      <c r="G554" s="38" t="n">
        <v>16.0401798003439</v>
      </c>
      <c r="H554" s="38" t="n">
        <v>23.6310096401959</v>
      </c>
      <c r="I554" s="38" t="n">
        <v>266.918325664523</v>
      </c>
      <c r="J554" s="38" t="n">
        <v>85.5053205496448</v>
      </c>
      <c r="K554" s="38" t="n">
        <v>148.721224093705</v>
      </c>
      <c r="L554" s="38" t="n">
        <v>80.6821414790387</v>
      </c>
      <c r="M554" s="38" t="n">
        <v>76.5428295733854</v>
      </c>
      <c r="N554" s="38" t="n">
        <v>0</v>
      </c>
    </row>
    <row r="555" customFormat="false" ht="15" hidden="false" customHeight="false" outlineLevel="0" collapsed="false">
      <c r="A555" s="37" t="s">
        <v>601</v>
      </c>
      <c r="B555" s="37" t="s">
        <v>100</v>
      </c>
      <c r="C555" s="37" t="s">
        <v>36</v>
      </c>
      <c r="D555" s="37" t="s">
        <v>37</v>
      </c>
      <c r="E555" s="38" t="n">
        <v>202.865290822182</v>
      </c>
      <c r="F555" s="38" t="n">
        <v>39.4395594422093</v>
      </c>
      <c r="G555" s="38" t="n">
        <v>15.9056173760203</v>
      </c>
      <c r="H555" s="38" t="n">
        <v>5.01869644449263</v>
      </c>
      <c r="I555" s="38" t="n">
        <v>229.581816099641</v>
      </c>
      <c r="J555" s="38" t="n">
        <v>37.360904376062</v>
      </c>
      <c r="K555" s="38" t="n">
        <v>103.882614746343</v>
      </c>
      <c r="L555" s="38" t="n">
        <v>63.0772328318836</v>
      </c>
      <c r="M555" s="38" t="n">
        <v>59.020539392064</v>
      </c>
      <c r="N555" s="38" t="n">
        <v>0</v>
      </c>
    </row>
    <row r="556" customFormat="false" ht="15" hidden="false" customHeight="false" outlineLevel="0" collapsed="false">
      <c r="A556" s="37" t="s">
        <v>601</v>
      </c>
      <c r="B556" s="37" t="s">
        <v>100</v>
      </c>
      <c r="C556" s="37" t="s">
        <v>41</v>
      </c>
      <c r="D556" s="37" t="s">
        <v>42</v>
      </c>
      <c r="E556" s="38" t="n">
        <v>191.247850034707</v>
      </c>
      <c r="F556" s="38" t="n">
        <v>51.2424786259658</v>
      </c>
      <c r="G556" s="38" t="n">
        <v>15.8894352364129</v>
      </c>
      <c r="H556" s="38" t="n">
        <v>4.91105759022253</v>
      </c>
      <c r="I556" s="38" t="n">
        <v>187.140733212027</v>
      </c>
      <c r="J556" s="38" t="n">
        <v>18.8530094590807</v>
      </c>
      <c r="K556" s="38" t="n">
        <v>73.1555097495398</v>
      </c>
      <c r="L556" s="38" t="n">
        <v>57.1055841442823</v>
      </c>
      <c r="M556" s="38" t="n">
        <v>45.475810735121</v>
      </c>
      <c r="N556" s="38" t="n">
        <v>0</v>
      </c>
    </row>
    <row r="557" customFormat="false" ht="15" hidden="false" customHeight="false" outlineLevel="0" collapsed="false">
      <c r="A557" s="37" t="s">
        <v>601</v>
      </c>
      <c r="B557" s="37" t="s">
        <v>100</v>
      </c>
      <c r="C557" s="37" t="s">
        <v>46</v>
      </c>
      <c r="D557" s="37" t="s">
        <v>47</v>
      </c>
      <c r="E557" s="38" t="n">
        <v>227.886763552373</v>
      </c>
      <c r="F557" s="38" t="n">
        <v>39.3734824928725</v>
      </c>
      <c r="G557" s="38" t="n">
        <v>15.9221667710777</v>
      </c>
      <c r="H557" s="38" t="n">
        <v>39.2538560628545</v>
      </c>
      <c r="I557" s="38" t="n">
        <v>263.301003986327</v>
      </c>
      <c r="J557" s="38" t="n">
        <v>70.0510039863274</v>
      </c>
      <c r="K557" s="38" t="n">
        <v>142.50550129095</v>
      </c>
      <c r="L557" s="38" t="n">
        <v>78.5506549724543</v>
      </c>
      <c r="M557" s="38" t="n">
        <v>70.8536933904052</v>
      </c>
      <c r="N557" s="38" t="n">
        <v>0</v>
      </c>
    </row>
    <row r="558" customFormat="false" ht="15" hidden="false" customHeight="false" outlineLevel="0" collapsed="false">
      <c r="A558" s="37" t="s">
        <v>601</v>
      </c>
      <c r="B558" s="37" t="s">
        <v>100</v>
      </c>
      <c r="C558" s="37" t="s">
        <v>51</v>
      </c>
      <c r="D558" s="37" t="s">
        <v>51</v>
      </c>
      <c r="E558" s="38" t="n">
        <v>218.871223440926</v>
      </c>
      <c r="F558" s="38" t="n">
        <v>44.1696309609013</v>
      </c>
      <c r="G558" s="38" t="n">
        <v>15.9221667710777</v>
      </c>
      <c r="H558" s="38" t="n">
        <v>24.6229816723716</v>
      </c>
      <c r="I558" s="38" t="n">
        <v>256.350807612544</v>
      </c>
      <c r="J558" s="38" t="n">
        <v>59.6771069776669</v>
      </c>
      <c r="K558" s="38" t="n">
        <v>136.842896881772</v>
      </c>
      <c r="L558" s="38" t="n">
        <v>74.8096744195931</v>
      </c>
      <c r="M558" s="38" t="n">
        <v>69.2177489850029</v>
      </c>
      <c r="N558" s="38" t="n">
        <v>0</v>
      </c>
    </row>
    <row r="559" customFormat="false" ht="15" hidden="false" customHeight="false" outlineLevel="0" collapsed="false">
      <c r="A559" s="37" t="s">
        <v>601</v>
      </c>
      <c r="B559" s="37" t="s">
        <v>100</v>
      </c>
      <c r="C559" s="37" t="s">
        <v>55</v>
      </c>
      <c r="D559" s="37" t="s">
        <v>37</v>
      </c>
      <c r="E559" s="38" t="n">
        <v>194.734733264902</v>
      </c>
      <c r="F559" s="38" t="n">
        <v>39.0951961874359</v>
      </c>
      <c r="G559" s="38" t="n">
        <v>15.9039324108002</v>
      </c>
      <c r="H559" s="38" t="n">
        <v>4.78960818182069</v>
      </c>
      <c r="I559" s="38" t="n">
        <v>235.849156257776</v>
      </c>
      <c r="J559" s="38" t="n">
        <v>34.9854891154751</v>
      </c>
      <c r="K559" s="38" t="n">
        <v>95.3797985931238</v>
      </c>
      <c r="L559" s="38" t="n">
        <v>59.2286418747064</v>
      </c>
      <c r="M559" s="38" t="n">
        <v>53.0707185458459</v>
      </c>
      <c r="N559" s="38" t="n">
        <v>0</v>
      </c>
    </row>
    <row r="560" customFormat="false" ht="15" hidden="false" customHeight="false" outlineLevel="0" collapsed="false">
      <c r="A560" s="37" t="s">
        <v>601</v>
      </c>
      <c r="B560" s="37" t="s">
        <v>100</v>
      </c>
      <c r="C560" s="37" t="s">
        <v>59</v>
      </c>
      <c r="D560" s="37" t="s">
        <v>42</v>
      </c>
      <c r="E560" s="38" t="n">
        <v>187.433392836592</v>
      </c>
      <c r="F560" s="38" t="n">
        <v>53.2559134061135</v>
      </c>
      <c r="G560" s="38" t="n">
        <v>15.8883988118414</v>
      </c>
      <c r="H560" s="38" t="n">
        <v>4.71774603816191</v>
      </c>
      <c r="I560" s="38" t="n">
        <v>184.436399307236</v>
      </c>
      <c r="J560" s="38" t="n">
        <v>-14.7377755535315</v>
      </c>
      <c r="K560" s="38" t="n">
        <v>65.496441360886</v>
      </c>
      <c r="L560" s="38" t="n">
        <v>50.51816636521</v>
      </c>
      <c r="M560" s="38" t="n">
        <v>39.918658532483</v>
      </c>
      <c r="N560" s="38" t="n">
        <v>0</v>
      </c>
    </row>
    <row r="561" customFormat="false" ht="15" hidden="false" customHeight="false" outlineLevel="0" collapsed="false">
      <c r="A561" s="37" t="s">
        <v>601</v>
      </c>
      <c r="B561" s="37" t="s">
        <v>100</v>
      </c>
      <c r="C561" s="37" t="s">
        <v>63</v>
      </c>
      <c r="D561" s="37" t="s">
        <v>47</v>
      </c>
      <c r="E561" s="38" t="n">
        <v>214.250204455954</v>
      </c>
      <c r="F561" s="38" t="n">
        <v>39.6268451038135</v>
      </c>
      <c r="G561" s="38" t="n">
        <v>15.9080150227805</v>
      </c>
      <c r="H561" s="38" t="n">
        <v>38.7510974202793</v>
      </c>
      <c r="I561" s="38" t="n">
        <v>243.496831016597</v>
      </c>
      <c r="J561" s="38" t="n">
        <v>45.4019228643942</v>
      </c>
      <c r="K561" s="38" t="n">
        <v>120.827486850586</v>
      </c>
      <c r="L561" s="38" t="n">
        <v>67.3869630986989</v>
      </c>
      <c r="M561" s="38" t="n">
        <v>62.9230333202178</v>
      </c>
      <c r="N561" s="38" t="n">
        <v>0</v>
      </c>
    </row>
    <row r="562" customFormat="false" ht="15" hidden="false" customHeight="false" outlineLevel="0" collapsed="false">
      <c r="A562" s="37" t="s">
        <v>601</v>
      </c>
      <c r="B562" s="37" t="s">
        <v>100</v>
      </c>
      <c r="C562" s="37" t="s">
        <v>67</v>
      </c>
      <c r="D562" s="37" t="s">
        <v>68</v>
      </c>
      <c r="E562" s="38" t="n">
        <v>190.252570589777</v>
      </c>
      <c r="F562" s="38" t="n">
        <v>40.658748256098</v>
      </c>
      <c r="G562" s="38" t="n">
        <v>15.1155195936477</v>
      </c>
      <c r="H562" s="38" t="n">
        <v>4.98557020448501</v>
      </c>
      <c r="I562" s="38" t="n">
        <v>195.319396158318</v>
      </c>
      <c r="J562" s="38" t="n">
        <v>24.4861726060229</v>
      </c>
      <c r="K562" s="38" t="n">
        <v>94.9818447592848</v>
      </c>
      <c r="L562" s="38" t="n">
        <v>61.7488542313544</v>
      </c>
      <c r="M562" s="38" t="n">
        <v>53.6558302531673</v>
      </c>
      <c r="N562" s="38" t="n">
        <v>0</v>
      </c>
    </row>
    <row r="563" customFormat="false" ht="15" hidden="false" customHeight="false" outlineLevel="0" collapsed="false">
      <c r="A563" s="37" t="s">
        <v>601</v>
      </c>
      <c r="B563" s="37" t="s">
        <v>100</v>
      </c>
      <c r="C563" s="37" t="s">
        <v>72</v>
      </c>
      <c r="D563" s="37" t="s">
        <v>73</v>
      </c>
      <c r="E563" s="38" t="n">
        <v>188.848852520849</v>
      </c>
      <c r="F563" s="38" t="n">
        <v>40.7899527826715</v>
      </c>
      <c r="G563" s="38" t="n">
        <v>15.9221667710777</v>
      </c>
      <c r="H563" s="38" t="n">
        <v>10.6457555394483</v>
      </c>
      <c r="I563" s="38" t="n">
        <v>204.870221129191</v>
      </c>
      <c r="J563" s="38" t="n">
        <v>168.498237002207</v>
      </c>
      <c r="K563" s="38" t="n">
        <v>94.1189960144216</v>
      </c>
      <c r="L563" s="38" t="n">
        <v>62.8727545164949</v>
      </c>
      <c r="M563" s="38" t="n">
        <v>51.5813369733851</v>
      </c>
      <c r="N563" s="38" t="n">
        <v>0</v>
      </c>
    </row>
    <row r="564" customFormat="false" ht="15" hidden="false" customHeight="false" outlineLevel="0" collapsed="false">
      <c r="A564" s="37" t="s">
        <v>601</v>
      </c>
      <c r="B564" s="37" t="s">
        <v>100</v>
      </c>
      <c r="C564" s="37" t="s">
        <v>77</v>
      </c>
      <c r="D564" s="37" t="s">
        <v>78</v>
      </c>
      <c r="E564" s="38" t="n">
        <v>226.447496838805</v>
      </c>
      <c r="F564" s="38" t="n">
        <v>52.3599516744695</v>
      </c>
      <c r="G564" s="38" t="n">
        <v>16.0401788689852</v>
      </c>
      <c r="H564" s="38" t="n">
        <v>23.6310096401959</v>
      </c>
      <c r="I564" s="38" t="n">
        <v>249.817431464674</v>
      </c>
      <c r="J564" s="38" t="n">
        <v>68.4039593708003</v>
      </c>
      <c r="K564" s="38" t="n">
        <v>141.842803730085</v>
      </c>
      <c r="L564" s="38" t="n">
        <v>78.5318736903715</v>
      </c>
      <c r="M564" s="38" t="n">
        <v>73.5087950371097</v>
      </c>
      <c r="N564" s="38" t="n">
        <v>0</v>
      </c>
    </row>
    <row r="565" customFormat="false" ht="15" hidden="false" customHeight="false" outlineLevel="0" collapsed="false">
      <c r="A565" s="37" t="s">
        <v>601</v>
      </c>
      <c r="B565" s="37" t="s">
        <v>106</v>
      </c>
      <c r="C565" s="37" t="s">
        <v>36</v>
      </c>
      <c r="D565" s="37" t="s">
        <v>37</v>
      </c>
      <c r="E565" s="38" t="n">
        <v>213.405146675717</v>
      </c>
      <c r="F565" s="38" t="n">
        <v>40.5701075410764</v>
      </c>
      <c r="G565" s="38" t="n">
        <v>15.9058757372283</v>
      </c>
      <c r="H565" s="38" t="n">
        <v>5.03770740845352</v>
      </c>
      <c r="I565" s="38" t="n">
        <v>251.675141555068</v>
      </c>
      <c r="J565" s="38" t="n">
        <v>48.3794472400267</v>
      </c>
      <c r="K565" s="38" t="n">
        <v>117.732114840429</v>
      </c>
      <c r="L565" s="38" t="n">
        <v>69.7551766011422</v>
      </c>
      <c r="M565" s="38" t="n">
        <v>64.8083825727779</v>
      </c>
      <c r="N565" s="38" t="n">
        <v>0</v>
      </c>
    </row>
    <row r="566" customFormat="false" ht="15" hidden="false" customHeight="false" outlineLevel="0" collapsed="false">
      <c r="A566" s="37" t="s">
        <v>601</v>
      </c>
      <c r="B566" s="37" t="s">
        <v>106</v>
      </c>
      <c r="C566" s="37" t="s">
        <v>41</v>
      </c>
      <c r="D566" s="37" t="s">
        <v>42</v>
      </c>
      <c r="E566" s="38" t="n">
        <v>200.939018983476</v>
      </c>
      <c r="F566" s="38" t="n">
        <v>53.3944514401862</v>
      </c>
      <c r="G566" s="38" t="n">
        <v>15.8896000792935</v>
      </c>
      <c r="H566" s="38" t="n">
        <v>4.92511962664907</v>
      </c>
      <c r="I566" s="38" t="n">
        <v>207.925521318028</v>
      </c>
      <c r="J566" s="38" t="n">
        <v>24.974601482136</v>
      </c>
      <c r="K566" s="38" t="n">
        <v>85.9298390327627</v>
      </c>
      <c r="L566" s="38" t="n">
        <v>60.3382462058129</v>
      </c>
      <c r="M566" s="38" t="n">
        <v>51.0531395489795</v>
      </c>
      <c r="N566" s="38" t="n">
        <v>0</v>
      </c>
    </row>
    <row r="567" customFormat="false" ht="15" hidden="false" customHeight="false" outlineLevel="0" collapsed="false">
      <c r="A567" s="37" t="s">
        <v>601</v>
      </c>
      <c r="B567" s="37" t="s">
        <v>106</v>
      </c>
      <c r="C567" s="37" t="s">
        <v>46</v>
      </c>
      <c r="D567" s="37" t="s">
        <v>47</v>
      </c>
      <c r="E567" s="38" t="n">
        <v>236.057089860293</v>
      </c>
      <c r="F567" s="38" t="n">
        <v>40.7279746353601</v>
      </c>
      <c r="G567" s="38" t="n">
        <v>15.9221667710777</v>
      </c>
      <c r="H567" s="38" t="n">
        <v>39.2538560628545</v>
      </c>
      <c r="I567" s="38" t="n">
        <v>279.936536379096</v>
      </c>
      <c r="J567" s="38" t="n">
        <v>86.6865363790958</v>
      </c>
      <c r="K567" s="38" t="n">
        <v>150.347636318762</v>
      </c>
      <c r="L567" s="38" t="n">
        <v>80.9485053907009</v>
      </c>
      <c r="M567" s="38" t="n">
        <v>74.3339448196347</v>
      </c>
      <c r="N567" s="38" t="n">
        <v>0</v>
      </c>
    </row>
    <row r="568" customFormat="false" ht="15" hidden="false" customHeight="false" outlineLevel="0" collapsed="false">
      <c r="A568" s="37" t="s">
        <v>601</v>
      </c>
      <c r="B568" s="37" t="s">
        <v>106</v>
      </c>
      <c r="C568" s="37" t="s">
        <v>51</v>
      </c>
      <c r="D568" s="37" t="s">
        <v>51</v>
      </c>
      <c r="E568" s="38" t="n">
        <v>228.482961779507</v>
      </c>
      <c r="F568" s="38" t="n">
        <v>46.0602966366439</v>
      </c>
      <c r="G568" s="38" t="n">
        <v>15.9221667710777</v>
      </c>
      <c r="H568" s="38" t="n">
        <v>24.6229816723716</v>
      </c>
      <c r="I568" s="38" t="n">
        <v>276.49508432753</v>
      </c>
      <c r="J568" s="38" t="n">
        <v>79.8213836926533</v>
      </c>
      <c r="K568" s="38" t="n">
        <v>146.726151987535</v>
      </c>
      <c r="L568" s="38" t="n">
        <v>77.557803765701</v>
      </c>
      <c r="M568" s="38" t="n">
        <v>73.6109580364363</v>
      </c>
      <c r="N568" s="38" t="n">
        <v>0</v>
      </c>
    </row>
    <row r="569" customFormat="false" ht="15" hidden="false" customHeight="false" outlineLevel="0" collapsed="false">
      <c r="A569" s="37" t="s">
        <v>601</v>
      </c>
      <c r="B569" s="37" t="s">
        <v>106</v>
      </c>
      <c r="C569" s="37" t="s">
        <v>55</v>
      </c>
      <c r="D569" s="37" t="s">
        <v>37</v>
      </c>
      <c r="E569" s="38" t="n">
        <v>204.833154569876</v>
      </c>
      <c r="F569" s="38" t="n">
        <v>40.1810523437148</v>
      </c>
      <c r="G569" s="38" t="n">
        <v>15.9042084749889</v>
      </c>
      <c r="H569" s="38" t="n">
        <v>4.78960818182069</v>
      </c>
      <c r="I569" s="38" t="n">
        <v>258.68565223032</v>
      </c>
      <c r="J569" s="38" t="n">
        <v>58.0092176643035</v>
      </c>
      <c r="K569" s="38" t="n">
        <v>111.33377338122</v>
      </c>
      <c r="L569" s="38" t="n">
        <v>62.1514593342058</v>
      </c>
      <c r="M569" s="38" t="n">
        <v>59.2116898136805</v>
      </c>
      <c r="N569" s="38" t="n">
        <v>0</v>
      </c>
    </row>
    <row r="570" customFormat="false" ht="15" hidden="false" customHeight="false" outlineLevel="0" collapsed="false">
      <c r="A570" s="37" t="s">
        <v>601</v>
      </c>
      <c r="B570" s="37" t="s">
        <v>106</v>
      </c>
      <c r="C570" s="37" t="s">
        <v>59</v>
      </c>
      <c r="D570" s="37" t="s">
        <v>42</v>
      </c>
      <c r="E570" s="38" t="n">
        <v>196.856200699213</v>
      </c>
      <c r="F570" s="38" t="n">
        <v>55.560670143318</v>
      </c>
      <c r="G570" s="38" t="n">
        <v>15.8885065451238</v>
      </c>
      <c r="H570" s="38" t="n">
        <v>4.71774603816191</v>
      </c>
      <c r="I570" s="38" t="n">
        <v>206.030270366564</v>
      </c>
      <c r="J570" s="38" t="n">
        <v>6.85990469846434</v>
      </c>
      <c r="K570" s="38" t="n">
        <v>80.5249960363446</v>
      </c>
      <c r="L570" s="38" t="n">
        <v>53.3831097493693</v>
      </c>
      <c r="M570" s="38" t="n">
        <v>45.4670830878106</v>
      </c>
      <c r="N570" s="38" t="n">
        <v>0</v>
      </c>
    </row>
    <row r="571" customFormat="false" ht="15" hidden="false" customHeight="false" outlineLevel="0" collapsed="false">
      <c r="A571" s="37" t="s">
        <v>601</v>
      </c>
      <c r="B571" s="37" t="s">
        <v>106</v>
      </c>
      <c r="C571" s="37" t="s">
        <v>63</v>
      </c>
      <c r="D571" s="37" t="s">
        <v>47</v>
      </c>
      <c r="E571" s="38" t="n">
        <v>222.156549005707</v>
      </c>
      <c r="F571" s="38" t="n">
        <v>40.9208263151098</v>
      </c>
      <c r="G571" s="38" t="n">
        <v>15.9081997093468</v>
      </c>
      <c r="H571" s="38" t="n">
        <v>38.7510974202793</v>
      </c>
      <c r="I571" s="38" t="n">
        <v>260.28750743699</v>
      </c>
      <c r="J571" s="38" t="n">
        <v>62.3178427641883</v>
      </c>
      <c r="K571" s="38" t="n">
        <v>129.030931183257</v>
      </c>
      <c r="L571" s="38" t="n">
        <v>69.6761639375378</v>
      </c>
      <c r="M571" s="38" t="n">
        <v>66.5508457587746</v>
      </c>
      <c r="N571" s="38" t="n">
        <v>0</v>
      </c>
    </row>
    <row r="572" customFormat="false" ht="15" hidden="false" customHeight="false" outlineLevel="0" collapsed="false">
      <c r="A572" s="37" t="s">
        <v>601</v>
      </c>
      <c r="B572" s="37" t="s">
        <v>106</v>
      </c>
      <c r="C572" s="37" t="s">
        <v>67</v>
      </c>
      <c r="D572" s="37" t="s">
        <v>68</v>
      </c>
      <c r="E572" s="38" t="n">
        <v>199.401769603373</v>
      </c>
      <c r="F572" s="38" t="n">
        <v>41.8890623292724</v>
      </c>
      <c r="G572" s="38" t="n">
        <v>15.1224371607912</v>
      </c>
      <c r="H572" s="38" t="n">
        <v>4.99119857494195</v>
      </c>
      <c r="I572" s="38" t="n">
        <v>216.117173498205</v>
      </c>
      <c r="J572" s="38" t="n">
        <v>34.6171734982046</v>
      </c>
      <c r="K572" s="38" t="n">
        <v>114.675087372386</v>
      </c>
      <c r="L572" s="38" t="n">
        <v>64.1394917406627</v>
      </c>
      <c r="M572" s="38" t="n">
        <v>61.0297221969028</v>
      </c>
      <c r="N572" s="38" t="n">
        <v>0</v>
      </c>
    </row>
    <row r="573" customFormat="false" ht="15" hidden="false" customHeight="false" outlineLevel="0" collapsed="false">
      <c r="A573" s="37" t="s">
        <v>601</v>
      </c>
      <c r="B573" s="37" t="s">
        <v>106</v>
      </c>
      <c r="C573" s="37" t="s">
        <v>72</v>
      </c>
      <c r="D573" s="37" t="s">
        <v>73</v>
      </c>
      <c r="E573" s="38" t="n">
        <v>197.708143529785</v>
      </c>
      <c r="F573" s="38" t="n">
        <v>42.1320272250981</v>
      </c>
      <c r="G573" s="38" t="n">
        <v>15.9221667710777</v>
      </c>
      <c r="H573" s="38" t="n">
        <v>10.6457555394483</v>
      </c>
      <c r="I573" s="38" t="n">
        <v>225.491166216908</v>
      </c>
      <c r="J573" s="38" t="n">
        <v>189.119182089924</v>
      </c>
      <c r="K573" s="38" t="n">
        <v>104.999700549615</v>
      </c>
      <c r="L573" s="38" t="n">
        <v>64.8987941821493</v>
      </c>
      <c r="M573" s="38" t="n">
        <v>56.2203470056744</v>
      </c>
      <c r="N573" s="38" t="n">
        <v>0</v>
      </c>
    </row>
    <row r="574" customFormat="false" ht="15" hidden="false" customHeight="false" outlineLevel="0" collapsed="false">
      <c r="A574" s="37" t="s">
        <v>601</v>
      </c>
      <c r="B574" s="37" t="s">
        <v>106</v>
      </c>
      <c r="C574" s="37" t="s">
        <v>77</v>
      </c>
      <c r="D574" s="37" t="s">
        <v>78</v>
      </c>
      <c r="E574" s="38" t="n">
        <v>235.907304923002</v>
      </c>
      <c r="F574" s="38" t="n">
        <v>54.2151918941008</v>
      </c>
      <c r="G574" s="38" t="n">
        <v>16.0402406173143</v>
      </c>
      <c r="H574" s="38" t="n">
        <v>23.6310096401959</v>
      </c>
      <c r="I574" s="38" t="n">
        <v>269.312986714285</v>
      </c>
      <c r="J574" s="38" t="n">
        <v>87.930492733404</v>
      </c>
      <c r="K574" s="38" t="n">
        <v>151.405285848445</v>
      </c>
      <c r="L574" s="38" t="n">
        <v>81.3779460688478</v>
      </c>
      <c r="M574" s="38" t="n">
        <v>77.7109412956246</v>
      </c>
      <c r="N574" s="38" t="n">
        <v>0</v>
      </c>
    </row>
    <row r="575" customFormat="false" ht="15" hidden="false" customHeight="false" outlineLevel="0" collapsed="false">
      <c r="A575" s="37" t="s">
        <v>601</v>
      </c>
      <c r="B575" s="37" t="s">
        <v>112</v>
      </c>
      <c r="C575" s="37" t="s">
        <v>36</v>
      </c>
      <c r="D575" s="37" t="s">
        <v>37</v>
      </c>
      <c r="E575" s="38" t="n">
        <v>213.226597759752</v>
      </c>
      <c r="F575" s="38" t="n">
        <v>39.4590188323799</v>
      </c>
      <c r="G575" s="38" t="n">
        <v>15.9058792790026</v>
      </c>
      <c r="H575" s="38" t="n">
        <v>5.96872004502589</v>
      </c>
      <c r="I575" s="38" t="n">
        <v>253.342443328778</v>
      </c>
      <c r="J575" s="38" t="n">
        <v>50.0491509925158</v>
      </c>
      <c r="K575" s="38" t="n">
        <v>117.041210698459</v>
      </c>
      <c r="L575" s="38" t="n">
        <v>69.696190072091</v>
      </c>
      <c r="M575" s="38" t="n">
        <v>64.6172522477058</v>
      </c>
      <c r="N575" s="38" t="n">
        <v>0</v>
      </c>
    </row>
    <row r="576" customFormat="false" ht="15" hidden="false" customHeight="false" outlineLevel="0" collapsed="false">
      <c r="A576" s="37" t="s">
        <v>601</v>
      </c>
      <c r="B576" s="37" t="s">
        <v>112</v>
      </c>
      <c r="C576" s="37" t="s">
        <v>41</v>
      </c>
      <c r="D576" s="37" t="s">
        <v>42</v>
      </c>
      <c r="E576" s="38" t="n">
        <v>199.726108886517</v>
      </c>
      <c r="F576" s="38" t="n">
        <v>51.275415492311</v>
      </c>
      <c r="G576" s="38" t="n">
        <v>15.8895022215457</v>
      </c>
      <c r="H576" s="38" t="n">
        <v>5.81697934095924</v>
      </c>
      <c r="I576" s="38" t="n">
        <v>208.391912941077</v>
      </c>
      <c r="J576" s="38" t="n">
        <v>24.976168343442</v>
      </c>
      <c r="K576" s="38" t="n">
        <v>83.5527907197601</v>
      </c>
      <c r="L576" s="38" t="n">
        <v>59.8990772197537</v>
      </c>
      <c r="M576" s="38" t="n">
        <v>50.1596479944224</v>
      </c>
      <c r="N576" s="38" t="n">
        <v>0</v>
      </c>
    </row>
    <row r="577" customFormat="false" ht="15" hidden="false" customHeight="false" outlineLevel="0" collapsed="false">
      <c r="A577" s="37" t="s">
        <v>601</v>
      </c>
      <c r="B577" s="37" t="s">
        <v>112</v>
      </c>
      <c r="C577" s="37" t="s">
        <v>46</v>
      </c>
      <c r="D577" s="37" t="s">
        <v>47</v>
      </c>
      <c r="E577" s="38" t="n">
        <v>252.552542600814</v>
      </c>
      <c r="F577" s="38" t="n">
        <v>39.471739248001</v>
      </c>
      <c r="G577" s="38" t="n">
        <v>15.9221667710777</v>
      </c>
      <c r="H577" s="38" t="n">
        <v>57.0055441907341</v>
      </c>
      <c r="I577" s="38" t="n">
        <v>329.134806639927</v>
      </c>
      <c r="J577" s="38" t="n">
        <v>135.884806639928</v>
      </c>
      <c r="K577" s="38" t="n">
        <v>164.080801427899</v>
      </c>
      <c r="L577" s="38" t="n">
        <v>85.4475455146344</v>
      </c>
      <c r="M577" s="38" t="n">
        <v>79.0572595354587</v>
      </c>
      <c r="N577" s="38" t="n">
        <v>0</v>
      </c>
    </row>
    <row r="578" customFormat="false" ht="15" hidden="false" customHeight="false" outlineLevel="0" collapsed="false">
      <c r="A578" s="37" t="s">
        <v>601</v>
      </c>
      <c r="B578" s="37" t="s">
        <v>112</v>
      </c>
      <c r="C578" s="37" t="s">
        <v>51</v>
      </c>
      <c r="D578" s="37" t="s">
        <v>51</v>
      </c>
      <c r="E578" s="38" t="n">
        <v>239.126983842538</v>
      </c>
      <c r="F578" s="38" t="n">
        <v>44.2615526161002</v>
      </c>
      <c r="G578" s="38" t="n">
        <v>15.9221667710777</v>
      </c>
      <c r="H578" s="38" t="n">
        <v>37.0657477559462</v>
      </c>
      <c r="I578" s="38" t="n">
        <v>304.92768603738</v>
      </c>
      <c r="J578" s="38" t="n">
        <v>108.253985402503</v>
      </c>
      <c r="K578" s="38" t="n">
        <v>156.341095349511</v>
      </c>
      <c r="L578" s="38" t="n">
        <v>81.0264325776608</v>
      </c>
      <c r="M578" s="38" t="n">
        <v>77.0494966088177</v>
      </c>
      <c r="N578" s="38" t="n">
        <v>0</v>
      </c>
    </row>
    <row r="579" customFormat="false" ht="15" hidden="false" customHeight="false" outlineLevel="0" collapsed="false">
      <c r="A579" s="37" t="s">
        <v>601</v>
      </c>
      <c r="B579" s="37" t="s">
        <v>112</v>
      </c>
      <c r="C579" s="37" t="s">
        <v>55</v>
      </c>
      <c r="D579" s="37" t="s">
        <v>37</v>
      </c>
      <c r="E579" s="38" t="n">
        <v>204.621066928516</v>
      </c>
      <c r="F579" s="38" t="n">
        <v>39.1153527523078</v>
      </c>
      <c r="G579" s="38" t="n">
        <v>15.9042114613043</v>
      </c>
      <c r="H579" s="38" t="n">
        <v>5.64209299144803</v>
      </c>
      <c r="I579" s="38" t="n">
        <v>260.247735848866</v>
      </c>
      <c r="J579" s="38" t="n">
        <v>59.5733266568717</v>
      </c>
      <c r="K579" s="38" t="n">
        <v>110.597952552311</v>
      </c>
      <c r="L579" s="38" t="n">
        <v>62.0831405530537</v>
      </c>
      <c r="M579" s="38" t="n">
        <v>58.9754217439245</v>
      </c>
      <c r="N579" s="38" t="n">
        <v>0</v>
      </c>
    </row>
    <row r="580" customFormat="false" ht="15" hidden="false" customHeight="false" outlineLevel="0" collapsed="false">
      <c r="A580" s="37" t="s">
        <v>601</v>
      </c>
      <c r="B580" s="37" t="s">
        <v>112</v>
      </c>
      <c r="C580" s="37" t="s">
        <v>59</v>
      </c>
      <c r="D580" s="37" t="s">
        <v>42</v>
      </c>
      <c r="E580" s="38" t="n">
        <v>195.41715471938</v>
      </c>
      <c r="F580" s="38" t="n">
        <v>53.2924711842577</v>
      </c>
      <c r="G580" s="38" t="n">
        <v>15.8884004859524</v>
      </c>
      <c r="H580" s="38" t="n">
        <v>5.54833681410179</v>
      </c>
      <c r="I580" s="38" t="n">
        <v>206.184460412519</v>
      </c>
      <c r="J580" s="38" t="n">
        <v>7.01034455669712</v>
      </c>
      <c r="K580" s="38" t="n">
        <v>77.8845930766978</v>
      </c>
      <c r="L580" s="38" t="n">
        <v>52.8390233283263</v>
      </c>
      <c r="M580" s="38" t="n">
        <v>44.5756908272425</v>
      </c>
      <c r="N580" s="38" t="n">
        <v>0</v>
      </c>
    </row>
    <row r="581" customFormat="false" ht="15" hidden="false" customHeight="false" outlineLevel="0" collapsed="false">
      <c r="A581" s="37" t="s">
        <v>601</v>
      </c>
      <c r="B581" s="37" t="s">
        <v>112</v>
      </c>
      <c r="C581" s="37" t="s">
        <v>63</v>
      </c>
      <c r="D581" s="37" t="s">
        <v>47</v>
      </c>
      <c r="E581" s="38" t="n">
        <v>239.299492848322</v>
      </c>
      <c r="F581" s="38" t="n">
        <v>39.730546054415</v>
      </c>
      <c r="G581" s="38" t="n">
        <v>15.9084330438465</v>
      </c>
      <c r="H581" s="38" t="n">
        <v>57.0139594948565</v>
      </c>
      <c r="I581" s="38" t="n">
        <v>311.379215139635</v>
      </c>
      <c r="J581" s="38" t="n">
        <v>113.567783118639</v>
      </c>
      <c r="K581" s="38" t="n">
        <v>144.426986683123</v>
      </c>
      <c r="L581" s="38" t="n">
        <v>75.6335878802322</v>
      </c>
      <c r="M581" s="38" t="n">
        <v>72.6805946615354</v>
      </c>
      <c r="N581" s="38" t="n">
        <v>0</v>
      </c>
    </row>
    <row r="582" customFormat="false" ht="15" hidden="false" customHeight="false" outlineLevel="0" collapsed="false">
      <c r="A582" s="37" t="s">
        <v>601</v>
      </c>
      <c r="B582" s="37" t="s">
        <v>112</v>
      </c>
      <c r="C582" s="37" t="s">
        <v>67</v>
      </c>
      <c r="D582" s="37" t="s">
        <v>68</v>
      </c>
      <c r="E582" s="38" t="n">
        <v>199.105536346891</v>
      </c>
      <c r="F582" s="38" t="n">
        <v>40.6785794468128</v>
      </c>
      <c r="G582" s="38" t="n">
        <v>15.1227633663472</v>
      </c>
      <c r="H582" s="38" t="n">
        <v>5.90016312269727</v>
      </c>
      <c r="I582" s="38" t="n">
        <v>217.784158408647</v>
      </c>
      <c r="J582" s="38" t="n">
        <v>26.2841584086468</v>
      </c>
      <c r="K582" s="38" t="n">
        <v>106.612441996978</v>
      </c>
      <c r="L582" s="38" t="n">
        <v>66.4468160328516</v>
      </c>
      <c r="M582" s="38" t="n">
        <v>58.9065115702248</v>
      </c>
      <c r="N582" s="38" t="n">
        <v>0</v>
      </c>
    </row>
    <row r="583" customFormat="false" ht="15" hidden="false" customHeight="false" outlineLevel="0" collapsed="false">
      <c r="A583" s="37" t="s">
        <v>601</v>
      </c>
      <c r="B583" s="37" t="s">
        <v>112</v>
      </c>
      <c r="C583" s="37" t="s">
        <v>72</v>
      </c>
      <c r="D583" s="37" t="s">
        <v>73</v>
      </c>
      <c r="E583" s="38" t="n">
        <v>200.937808780889</v>
      </c>
      <c r="F583" s="38" t="n">
        <v>40.8205362417412</v>
      </c>
      <c r="G583" s="38" t="n">
        <v>15.9221667710777</v>
      </c>
      <c r="H583" s="38" t="n">
        <v>15.186911773909</v>
      </c>
      <c r="I583" s="38" t="n">
        <v>234.459033009993</v>
      </c>
      <c r="J583" s="38" t="n">
        <v>198.087048883009</v>
      </c>
      <c r="K583" s="38" t="n">
        <v>109.148567397002</v>
      </c>
      <c r="L583" s="38" t="n">
        <v>65.7899299048066</v>
      </c>
      <c r="M583" s="38" t="n">
        <v>57.8541217231855</v>
      </c>
      <c r="N583" s="38" t="n">
        <v>0</v>
      </c>
    </row>
    <row r="584" customFormat="false" ht="15" hidden="false" customHeight="false" outlineLevel="0" collapsed="false">
      <c r="A584" s="37" t="s">
        <v>601</v>
      </c>
      <c r="B584" s="37" t="s">
        <v>112</v>
      </c>
      <c r="C584" s="37" t="s">
        <v>77</v>
      </c>
      <c r="D584" s="37" t="s">
        <v>78</v>
      </c>
      <c r="E584" s="38" t="n">
        <v>246.179885117033</v>
      </c>
      <c r="F584" s="38" t="n">
        <v>52.4392072795077</v>
      </c>
      <c r="G584" s="38" t="n">
        <v>16.0401809812071</v>
      </c>
      <c r="H584" s="38" t="n">
        <v>35.6819713564499</v>
      </c>
      <c r="I584" s="38" t="n">
        <v>294.440475310936</v>
      </c>
      <c r="J584" s="38" t="n">
        <v>113.028062287262</v>
      </c>
      <c r="K584" s="38" t="n">
        <v>160.648846044162</v>
      </c>
      <c r="L584" s="38" t="n">
        <v>83.4433615409589</v>
      </c>
      <c r="M584" s="38" t="n">
        <v>80.5129959363832</v>
      </c>
      <c r="N584" s="38" t="n">
        <v>0</v>
      </c>
    </row>
    <row r="585" customFormat="false" ht="15" hidden="false" customHeight="false" outlineLevel="0" collapsed="false">
      <c r="A585" s="37" t="s">
        <v>601</v>
      </c>
      <c r="B585" s="37" t="s">
        <v>118</v>
      </c>
      <c r="C585" s="37" t="s">
        <v>36</v>
      </c>
      <c r="D585" s="37" t="s">
        <v>37</v>
      </c>
      <c r="E585" s="38" t="n">
        <v>228.625151387733</v>
      </c>
      <c r="F585" s="38" t="n">
        <v>39.5050947839936</v>
      </c>
      <c r="G585" s="38" t="n">
        <v>15.9058559116588</v>
      </c>
      <c r="H585" s="38" t="n">
        <v>4.11995796165717</v>
      </c>
      <c r="I585" s="38" t="n">
        <v>287.617694161755</v>
      </c>
      <c r="J585" s="38" t="n">
        <v>84.3085544353315</v>
      </c>
      <c r="K585" s="38" t="n">
        <v>132.219065762896</v>
      </c>
      <c r="L585" s="38" t="n">
        <v>73.8784303703721</v>
      </c>
      <c r="M585" s="38" t="n">
        <v>70.9295144639015</v>
      </c>
      <c r="N585" s="38" t="n">
        <v>0</v>
      </c>
    </row>
    <row r="586" customFormat="false" ht="15" hidden="false" customHeight="false" outlineLevel="0" collapsed="false">
      <c r="A586" s="37" t="s">
        <v>601</v>
      </c>
      <c r="B586" s="37" t="s">
        <v>118</v>
      </c>
      <c r="C586" s="37" t="s">
        <v>41</v>
      </c>
      <c r="D586" s="37" t="s">
        <v>42</v>
      </c>
      <c r="E586" s="38" t="n">
        <v>217.500554509301</v>
      </c>
      <c r="F586" s="38" t="n">
        <v>56.8453620747319</v>
      </c>
      <c r="G586" s="38" t="n">
        <v>15.9049807804296</v>
      </c>
      <c r="H586" s="38" t="n">
        <v>4.13159462901659</v>
      </c>
      <c r="I586" s="38" t="n">
        <v>227.58549989467</v>
      </c>
      <c r="J586" s="38" t="n">
        <v>66.4892769581795</v>
      </c>
      <c r="K586" s="38" t="n">
        <v>111.500602511265</v>
      </c>
      <c r="L586" s="38" t="n">
        <v>69.1467616053489</v>
      </c>
      <c r="M586" s="38" t="n">
        <v>62.7442081484462</v>
      </c>
      <c r="N586" s="38" t="n">
        <v>0</v>
      </c>
    </row>
    <row r="587" customFormat="false" ht="15" hidden="false" customHeight="false" outlineLevel="0" collapsed="false">
      <c r="A587" s="37" t="s">
        <v>601</v>
      </c>
      <c r="B587" s="37" t="s">
        <v>118</v>
      </c>
      <c r="C587" s="37" t="s">
        <v>46</v>
      </c>
      <c r="D587" s="37" t="s">
        <v>47</v>
      </c>
      <c r="E587" s="38" t="n">
        <v>229.381725414613</v>
      </c>
      <c r="F587" s="38" t="n">
        <v>39.1988621641687</v>
      </c>
      <c r="G587" s="38" t="n">
        <v>15.9221667710777</v>
      </c>
      <c r="H587" s="38" t="n">
        <v>23.3494886150677</v>
      </c>
      <c r="I587" s="38" t="n">
        <v>262.616910296812</v>
      </c>
      <c r="J587" s="38" t="n">
        <v>69.3669102968119</v>
      </c>
      <c r="K587" s="38" t="n">
        <v>142.02495304804</v>
      </c>
      <c r="L587" s="38" t="n">
        <v>77.6747831254835</v>
      </c>
      <c r="M587" s="38" t="n">
        <v>72.6212151281653</v>
      </c>
      <c r="N587" s="38" t="n">
        <v>0</v>
      </c>
    </row>
    <row r="588" customFormat="false" ht="15" hidden="false" customHeight="false" outlineLevel="0" collapsed="false">
      <c r="A588" s="37" t="s">
        <v>601</v>
      </c>
      <c r="B588" s="37" t="s">
        <v>118</v>
      </c>
      <c r="C588" s="37" t="s">
        <v>51</v>
      </c>
      <c r="D588" s="37" t="s">
        <v>51</v>
      </c>
      <c r="E588" s="38" t="n">
        <v>230.01081680268</v>
      </c>
      <c r="F588" s="38" t="n">
        <v>44.0933615414758</v>
      </c>
      <c r="G588" s="38" t="n">
        <v>15.9221667710777</v>
      </c>
      <c r="H588" s="38" t="n">
        <v>15.0139538974469</v>
      </c>
      <c r="I588" s="38" t="n">
        <v>283.649705534197</v>
      </c>
      <c r="J588" s="38" t="n">
        <v>86.9760048993199</v>
      </c>
      <c r="K588" s="38" t="n">
        <v>145.197885356678</v>
      </c>
      <c r="L588" s="38" t="n">
        <v>77.0780179045838</v>
      </c>
      <c r="M588" s="38" t="n">
        <v>73.9017244222563</v>
      </c>
      <c r="N588" s="38" t="n">
        <v>0</v>
      </c>
    </row>
    <row r="589" customFormat="false" ht="15" hidden="false" customHeight="false" outlineLevel="0" collapsed="false">
      <c r="A589" s="37" t="s">
        <v>601</v>
      </c>
      <c r="B589" s="37" t="s">
        <v>118</v>
      </c>
      <c r="C589" s="37" t="s">
        <v>55</v>
      </c>
      <c r="D589" s="37" t="s">
        <v>37</v>
      </c>
      <c r="E589" s="38" t="n">
        <v>219.492046707183</v>
      </c>
      <c r="F589" s="38" t="n">
        <v>39.1652691197904</v>
      </c>
      <c r="G589" s="38" t="n">
        <v>15.9045588187478</v>
      </c>
      <c r="H589" s="38" t="n">
        <v>3.94328429515778</v>
      </c>
      <c r="I589" s="38" t="n">
        <v>294.89589275111</v>
      </c>
      <c r="J589" s="38" t="n">
        <v>94.4570665508888</v>
      </c>
      <c r="K589" s="38" t="n">
        <v>125.821853837834</v>
      </c>
      <c r="L589" s="38" t="n">
        <v>67.4657850006892</v>
      </c>
      <c r="M589" s="38" t="n">
        <v>65.6802602322775</v>
      </c>
      <c r="N589" s="38" t="n">
        <v>0</v>
      </c>
    </row>
    <row r="590" customFormat="false" ht="15" hidden="false" customHeight="false" outlineLevel="0" collapsed="false">
      <c r="A590" s="37" t="s">
        <v>601</v>
      </c>
      <c r="B590" s="37" t="s">
        <v>118</v>
      </c>
      <c r="C590" s="37" t="s">
        <v>59</v>
      </c>
      <c r="D590" s="37" t="s">
        <v>42</v>
      </c>
      <c r="E590" s="38" t="n">
        <v>210.785242807305</v>
      </c>
      <c r="F590" s="38" t="n">
        <v>57.8859048111063</v>
      </c>
      <c r="G590" s="38" t="n">
        <v>15.9013026121417</v>
      </c>
      <c r="H590" s="38" t="n">
        <v>3.89170102068047</v>
      </c>
      <c r="I590" s="38" t="n">
        <v>240.643485321015</v>
      </c>
      <c r="J590" s="38" t="n">
        <v>75.7797238883117</v>
      </c>
      <c r="K590" s="38" t="n">
        <v>109.468009268727</v>
      </c>
      <c r="L590" s="38" t="n">
        <v>60.7068799380262</v>
      </c>
      <c r="M590" s="38" t="n">
        <v>57.1049868046808</v>
      </c>
      <c r="N590" s="38" t="n">
        <v>0</v>
      </c>
    </row>
    <row r="591" customFormat="false" ht="15" hidden="false" customHeight="false" outlineLevel="0" collapsed="false">
      <c r="A591" s="37" t="s">
        <v>601</v>
      </c>
      <c r="B591" s="37" t="s">
        <v>118</v>
      </c>
      <c r="C591" s="37" t="s">
        <v>63</v>
      </c>
      <c r="D591" s="37" t="s">
        <v>47</v>
      </c>
      <c r="E591" s="38" t="n">
        <v>215.260318542083</v>
      </c>
      <c r="F591" s="38" t="n">
        <v>39.4555136149574</v>
      </c>
      <c r="G591" s="38" t="n">
        <v>15.9081999951151</v>
      </c>
      <c r="H591" s="38" t="n">
        <v>22.7881179248509</v>
      </c>
      <c r="I591" s="38" t="n">
        <v>242.242924578306</v>
      </c>
      <c r="J591" s="38" t="n">
        <v>44.2734536961046</v>
      </c>
      <c r="K591" s="38" t="n">
        <v>120.373318571853</v>
      </c>
      <c r="L591" s="38" t="n">
        <v>66.3802852958381</v>
      </c>
      <c r="M591" s="38" t="n">
        <v>64.0006590614092</v>
      </c>
      <c r="N591" s="38" t="n">
        <v>0</v>
      </c>
    </row>
    <row r="592" customFormat="false" ht="15" hidden="false" customHeight="false" outlineLevel="0" collapsed="false">
      <c r="A592" s="37" t="s">
        <v>601</v>
      </c>
      <c r="B592" s="37" t="s">
        <v>118</v>
      </c>
      <c r="C592" s="37" t="s">
        <v>67</v>
      </c>
      <c r="D592" s="37" t="s">
        <v>68</v>
      </c>
      <c r="E592" s="38" t="n">
        <v>210.854141794414</v>
      </c>
      <c r="F592" s="38" t="n">
        <v>40.7253194641491</v>
      </c>
      <c r="G592" s="38" t="n">
        <v>15.1313059503717</v>
      </c>
      <c r="H592" s="38" t="n">
        <v>4.09069122026735</v>
      </c>
      <c r="I592" s="38" t="n">
        <v>245.925032820588</v>
      </c>
      <c r="J592" s="38" t="n">
        <v>54.4250328205878</v>
      </c>
      <c r="K592" s="38" t="n">
        <v>131.207001768088</v>
      </c>
      <c r="L592" s="38" t="n">
        <v>69.6038660352404</v>
      </c>
      <c r="M592" s="38" t="n">
        <v>67.1639113712573</v>
      </c>
      <c r="N592" s="38" t="n">
        <v>0</v>
      </c>
    </row>
    <row r="593" customFormat="false" ht="15" hidden="false" customHeight="false" outlineLevel="0" collapsed="false">
      <c r="A593" s="37" t="s">
        <v>601</v>
      </c>
      <c r="B593" s="37" t="s">
        <v>118</v>
      </c>
      <c r="C593" s="37" t="s">
        <v>72</v>
      </c>
      <c r="D593" s="37" t="s">
        <v>73</v>
      </c>
      <c r="E593" s="38" t="n">
        <v>205.947725213493</v>
      </c>
      <c r="F593" s="38" t="n">
        <v>40.8464656841073</v>
      </c>
      <c r="G593" s="38" t="n">
        <v>15.9221667710777</v>
      </c>
      <c r="H593" s="38" t="n">
        <v>7.19915351066677</v>
      </c>
      <c r="I593" s="38" t="n">
        <v>250.734534328789</v>
      </c>
      <c r="J593" s="38" t="n">
        <v>214.362550201805</v>
      </c>
      <c r="K593" s="38" t="n">
        <v>112.38998812871</v>
      </c>
      <c r="L593" s="38" t="n">
        <v>66.2351033776978</v>
      </c>
      <c r="M593" s="38" t="n">
        <v>59.9003726403714</v>
      </c>
      <c r="N593" s="38" t="n">
        <v>0</v>
      </c>
    </row>
    <row r="594" customFormat="false" ht="15" hidden="false" customHeight="false" outlineLevel="0" collapsed="false">
      <c r="A594" s="37" t="s">
        <v>601</v>
      </c>
      <c r="B594" s="37" t="s">
        <v>118</v>
      </c>
      <c r="C594" s="37" t="s">
        <v>77</v>
      </c>
      <c r="D594" s="37" t="s">
        <v>78</v>
      </c>
      <c r="E594" s="38" t="n">
        <v>237.613621876164</v>
      </c>
      <c r="F594" s="38" t="n">
        <v>52.31268079286</v>
      </c>
      <c r="G594" s="38" t="n">
        <v>16.0401785298072</v>
      </c>
      <c r="H594" s="38" t="n">
        <v>14.4925927492181</v>
      </c>
      <c r="I594" s="38" t="n">
        <v>278.364554539462</v>
      </c>
      <c r="J594" s="38" t="n">
        <v>96.9509123852996</v>
      </c>
      <c r="K594" s="38" t="n">
        <v>149.469508591589</v>
      </c>
      <c r="L594" s="38" t="n">
        <v>81.4315684121301</v>
      </c>
      <c r="M594" s="38" t="n">
        <v>77.0676360524575</v>
      </c>
      <c r="N594" s="38" t="n">
        <v>0</v>
      </c>
    </row>
    <row r="595" customFormat="false" ht="15" hidden="false" customHeight="false" outlineLevel="0" collapsed="false">
      <c r="A595" s="37" t="s">
        <v>601</v>
      </c>
      <c r="B595" s="37" t="s">
        <v>121</v>
      </c>
      <c r="C595" s="37" t="s">
        <v>36</v>
      </c>
      <c r="D595" s="37" t="s">
        <v>37</v>
      </c>
      <c r="E595" s="38" t="n">
        <v>208.366701694504</v>
      </c>
      <c r="F595" s="38" t="n">
        <v>39.0930022200624</v>
      </c>
      <c r="G595" s="38" t="n">
        <v>15.8693896419373</v>
      </c>
      <c r="H595" s="38" t="n">
        <v>4.88725928327094</v>
      </c>
      <c r="I595" s="38" t="n">
        <v>245.265581238433</v>
      </c>
      <c r="J595" s="38" t="n">
        <v>41.8637559440683</v>
      </c>
      <c r="K595" s="38" t="n">
        <v>110.219747769207</v>
      </c>
      <c r="L595" s="38" t="n">
        <v>66.912588420983</v>
      </c>
      <c r="M595" s="38" t="n">
        <v>61.8371252317167</v>
      </c>
      <c r="N595" s="38" t="n">
        <v>0</v>
      </c>
    </row>
    <row r="596" customFormat="false" ht="15" hidden="false" customHeight="false" outlineLevel="0" collapsed="false">
      <c r="A596" s="37" t="s">
        <v>601</v>
      </c>
      <c r="B596" s="37" t="s">
        <v>121</v>
      </c>
      <c r="C596" s="37" t="s">
        <v>41</v>
      </c>
      <c r="D596" s="37" t="s">
        <v>42</v>
      </c>
      <c r="E596" s="38" t="n">
        <v>195.486376657052</v>
      </c>
      <c r="F596" s="38" t="n">
        <v>50.847324082675</v>
      </c>
      <c r="G596" s="38" t="n">
        <v>15.8531627556826</v>
      </c>
      <c r="H596" s="38" t="n">
        <v>4.77907621677196</v>
      </c>
      <c r="I596" s="38" t="n">
        <v>201.292498721744</v>
      </c>
      <c r="J596" s="38" t="n">
        <v>24.9405109843612</v>
      </c>
      <c r="K596" s="38" t="n">
        <v>76.6397536538025</v>
      </c>
      <c r="L596" s="38" t="n">
        <v>58.4637123309833</v>
      </c>
      <c r="M596" s="38" t="n">
        <v>47.2082426482873</v>
      </c>
      <c r="N596" s="38" t="n">
        <v>0</v>
      </c>
    </row>
    <row r="597" customFormat="false" ht="15" hidden="false" customHeight="false" outlineLevel="0" collapsed="false">
      <c r="A597" s="37" t="s">
        <v>601</v>
      </c>
      <c r="B597" s="37" t="s">
        <v>121</v>
      </c>
      <c r="C597" s="37" t="s">
        <v>46</v>
      </c>
      <c r="D597" s="37" t="s">
        <v>47</v>
      </c>
      <c r="E597" s="38" t="n">
        <v>228.655727415827</v>
      </c>
      <c r="F597" s="38" t="n">
        <v>39.0218764468759</v>
      </c>
      <c r="G597" s="38" t="n">
        <v>15.8858144937776</v>
      </c>
      <c r="H597" s="38" t="n">
        <v>36.4809098596098</v>
      </c>
      <c r="I597" s="38" t="n">
        <v>269.267535569684</v>
      </c>
      <c r="J597" s="38" t="n">
        <v>76.0175355696836</v>
      </c>
      <c r="K597" s="38" t="n">
        <v>140.858162355804</v>
      </c>
      <c r="L597" s="38" t="n">
        <v>78.5563424012494</v>
      </c>
      <c r="M597" s="38" t="n">
        <v>70.7111784666087</v>
      </c>
      <c r="N597" s="38" t="n">
        <v>0</v>
      </c>
    </row>
    <row r="598" customFormat="false" ht="15" hidden="false" customHeight="false" outlineLevel="0" collapsed="false">
      <c r="A598" s="37" t="s">
        <v>601</v>
      </c>
      <c r="B598" s="37" t="s">
        <v>121</v>
      </c>
      <c r="C598" s="37" t="s">
        <v>51</v>
      </c>
      <c r="D598" s="37" t="s">
        <v>51</v>
      </c>
      <c r="E598" s="38" t="n">
        <v>221.354113355076</v>
      </c>
      <c r="F598" s="38" t="n">
        <v>43.7841975380163</v>
      </c>
      <c r="G598" s="38" t="n">
        <v>15.8858144937776</v>
      </c>
      <c r="H598" s="38" t="n">
        <v>22.7425755917193</v>
      </c>
      <c r="I598" s="38" t="n">
        <v>266.849583705597</v>
      </c>
      <c r="J598" s="38" t="n">
        <v>70.1758830707203</v>
      </c>
      <c r="K598" s="38" t="n">
        <v>136.853449081325</v>
      </c>
      <c r="L598" s="38" t="n">
        <v>75.2438485507248</v>
      </c>
      <c r="M598" s="38" t="n">
        <v>69.6100286764258</v>
      </c>
      <c r="N598" s="38" t="n">
        <v>0</v>
      </c>
    </row>
    <row r="599" customFormat="false" ht="15" hidden="false" customHeight="false" outlineLevel="0" collapsed="false">
      <c r="A599" s="37" t="s">
        <v>601</v>
      </c>
      <c r="B599" s="37" t="s">
        <v>121</v>
      </c>
      <c r="C599" s="37" t="s">
        <v>55</v>
      </c>
      <c r="D599" s="37" t="s">
        <v>37</v>
      </c>
      <c r="E599" s="38" t="n">
        <v>200.073153833091</v>
      </c>
      <c r="F599" s="38" t="n">
        <v>38.7536884866366</v>
      </c>
      <c r="G599" s="38" t="n">
        <v>15.8677247895277</v>
      </c>
      <c r="H599" s="38" t="n">
        <v>4.65397394027493</v>
      </c>
      <c r="I599" s="38" t="n">
        <v>252.53698619898</v>
      </c>
      <c r="J599" s="38" t="n">
        <v>51.7544908104272</v>
      </c>
      <c r="K599" s="38" t="n">
        <v>103.939634269733</v>
      </c>
      <c r="L599" s="38" t="n">
        <v>60.7006459512697</v>
      </c>
      <c r="M599" s="38" t="n">
        <v>56.277121118188</v>
      </c>
      <c r="N599" s="38" t="n">
        <v>0</v>
      </c>
    </row>
    <row r="600" customFormat="false" ht="15" hidden="false" customHeight="false" outlineLevel="0" collapsed="false">
      <c r="A600" s="37" t="s">
        <v>601</v>
      </c>
      <c r="B600" s="37" t="s">
        <v>121</v>
      </c>
      <c r="C600" s="37" t="s">
        <v>59</v>
      </c>
      <c r="D600" s="37" t="s">
        <v>42</v>
      </c>
      <c r="E600" s="38" t="n">
        <v>191.478708019016</v>
      </c>
      <c r="F600" s="38" t="n">
        <v>52.8744904514812</v>
      </c>
      <c r="G600" s="38" t="n">
        <v>15.8520870518506</v>
      </c>
      <c r="H600" s="38" t="n">
        <v>4.58873400190192</v>
      </c>
      <c r="I600" s="38" t="n">
        <v>199.03661415392</v>
      </c>
      <c r="J600" s="38" t="n">
        <v>-0.137772564711142</v>
      </c>
      <c r="K600" s="38" t="n">
        <v>70.127314339301</v>
      </c>
      <c r="L600" s="38" t="n">
        <v>51.6137579847368</v>
      </c>
      <c r="M600" s="38" t="n">
        <v>41.7783073715721</v>
      </c>
      <c r="N600" s="38" t="n">
        <v>0</v>
      </c>
    </row>
    <row r="601" customFormat="false" ht="15" hidden="false" customHeight="false" outlineLevel="0" collapsed="false">
      <c r="A601" s="37" t="s">
        <v>601</v>
      </c>
      <c r="B601" s="37" t="s">
        <v>121</v>
      </c>
      <c r="C601" s="37" t="s">
        <v>63</v>
      </c>
      <c r="D601" s="37" t="s">
        <v>47</v>
      </c>
      <c r="E601" s="38" t="n">
        <v>215.042141077797</v>
      </c>
      <c r="F601" s="38" t="n">
        <v>39.2789044994502</v>
      </c>
      <c r="G601" s="38" t="n">
        <v>15.8716923610394</v>
      </c>
      <c r="H601" s="38" t="n">
        <v>35.9859454421551</v>
      </c>
      <c r="I601" s="38" t="n">
        <v>249.982710213305</v>
      </c>
      <c r="J601" s="38" t="n">
        <v>51.8946652720787</v>
      </c>
      <c r="K601" s="38" t="n">
        <v>119.414104948434</v>
      </c>
      <c r="L601" s="38" t="n">
        <v>67.3984421211791</v>
      </c>
      <c r="M601" s="38" t="n">
        <v>62.7614553222733</v>
      </c>
      <c r="N601" s="38" t="n">
        <v>0</v>
      </c>
    </row>
    <row r="602" customFormat="false" ht="15" hidden="false" customHeight="false" outlineLevel="0" collapsed="false">
      <c r="A602" s="37" t="s">
        <v>601</v>
      </c>
      <c r="B602" s="37" t="s">
        <v>121</v>
      </c>
      <c r="C602" s="37" t="s">
        <v>67</v>
      </c>
      <c r="D602" s="37" t="s">
        <v>68</v>
      </c>
      <c r="E602" s="38" t="n">
        <v>194.72617144231</v>
      </c>
      <c r="F602" s="38" t="n">
        <v>40.2921504593333</v>
      </c>
      <c r="G602" s="38" t="n">
        <v>15.0867537412447</v>
      </c>
      <c r="H602" s="38" t="n">
        <v>4.84400508234978</v>
      </c>
      <c r="I602" s="38" t="n">
        <v>209.975540628285</v>
      </c>
      <c r="J602" s="38" t="n">
        <v>28.4755406282846</v>
      </c>
      <c r="K602" s="38" t="n">
        <v>101.354514934342</v>
      </c>
      <c r="L602" s="38" t="n">
        <v>62.6587312801446</v>
      </c>
      <c r="M602" s="38" t="n">
        <v>56.4042341616859</v>
      </c>
      <c r="N602" s="38" t="n">
        <v>0</v>
      </c>
    </row>
    <row r="603" customFormat="false" ht="15" hidden="false" customHeight="false" outlineLevel="0" collapsed="false">
      <c r="A603" s="37" t="s">
        <v>601</v>
      </c>
      <c r="B603" s="37" t="s">
        <v>121</v>
      </c>
      <c r="C603" s="37" t="s">
        <v>72</v>
      </c>
      <c r="D603" s="37" t="s">
        <v>73</v>
      </c>
      <c r="E603" s="38" t="n">
        <v>192.527228408658</v>
      </c>
      <c r="F603" s="38" t="n">
        <v>40.4299776128397</v>
      </c>
      <c r="G603" s="38" t="n">
        <v>15.8858144937776</v>
      </c>
      <c r="H603" s="38" t="n">
        <v>9.90557949042705</v>
      </c>
      <c r="I603" s="38" t="n">
        <v>218.42044585978</v>
      </c>
      <c r="J603" s="38" t="n">
        <v>182.048461732796</v>
      </c>
      <c r="K603" s="38" t="n">
        <v>96.3386106921668</v>
      </c>
      <c r="L603" s="38" t="n">
        <v>63.4289385244932</v>
      </c>
      <c r="M603" s="38" t="n">
        <v>52.7590207707774</v>
      </c>
      <c r="N603" s="38" t="n">
        <v>0</v>
      </c>
    </row>
    <row r="604" customFormat="false" ht="15" hidden="false" customHeight="false" outlineLevel="0" collapsed="false">
      <c r="A604" s="37" t="s">
        <v>601</v>
      </c>
      <c r="B604" s="37" t="s">
        <v>121</v>
      </c>
      <c r="C604" s="37" t="s">
        <v>77</v>
      </c>
      <c r="D604" s="37" t="s">
        <v>78</v>
      </c>
      <c r="E604" s="38" t="n">
        <v>228.74105617487</v>
      </c>
      <c r="F604" s="38" t="n">
        <v>51.9521437492468</v>
      </c>
      <c r="G604" s="38" t="n">
        <v>16.0036402064505</v>
      </c>
      <c r="H604" s="38" t="n">
        <v>21.6998924272503</v>
      </c>
      <c r="I604" s="38" t="n">
        <v>259.747258646535</v>
      </c>
      <c r="J604" s="38" t="n">
        <v>78.3312219489793</v>
      </c>
      <c r="K604" s="38" t="n">
        <v>141.405999973761</v>
      </c>
      <c r="L604" s="38" t="n">
        <v>79.0094719484284</v>
      </c>
      <c r="M604" s="38" t="n">
        <v>73.7228990054117</v>
      </c>
      <c r="N604" s="38" t="n">
        <v>0</v>
      </c>
    </row>
    <row r="605" customFormat="false" ht="15" hidden="false" customHeight="false" outlineLevel="0" collapsed="false">
      <c r="A605" s="37" t="s">
        <v>602</v>
      </c>
      <c r="B605" s="37" t="s">
        <v>97</v>
      </c>
      <c r="C605" s="37" t="s">
        <v>36</v>
      </c>
      <c r="D605" s="37" t="s">
        <v>37</v>
      </c>
      <c r="E605" s="38" t="n">
        <v>212.370707115408</v>
      </c>
      <c r="F605" s="38" t="n">
        <v>39.5421810417664</v>
      </c>
      <c r="G605" s="38" t="n">
        <v>15.9058606326434</v>
      </c>
      <c r="H605" s="38" t="n">
        <v>5.03770740845352</v>
      </c>
      <c r="I605" s="38" t="n">
        <v>249.952847937679</v>
      </c>
      <c r="J605" s="38" t="n">
        <v>46.64690991472</v>
      </c>
      <c r="K605" s="38" t="n">
        <v>116.216235692558</v>
      </c>
      <c r="L605" s="38" t="n">
        <v>68.0630162501727</v>
      </c>
      <c r="M605" s="38" t="n">
        <v>64.1569370750712</v>
      </c>
      <c r="N605" s="38" t="n">
        <v>0</v>
      </c>
    </row>
    <row r="606" customFormat="false" ht="15" hidden="false" customHeight="false" outlineLevel="0" collapsed="false">
      <c r="A606" s="37" t="s">
        <v>602</v>
      </c>
      <c r="B606" s="37" t="s">
        <v>97</v>
      </c>
      <c r="C606" s="37" t="s">
        <v>41</v>
      </c>
      <c r="D606" s="37" t="s">
        <v>42</v>
      </c>
      <c r="E606" s="38" t="n">
        <v>202.399576634367</v>
      </c>
      <c r="F606" s="38" t="n">
        <v>54.7160471938261</v>
      </c>
      <c r="G606" s="38" t="n">
        <v>15.9021548491989</v>
      </c>
      <c r="H606" s="38" t="n">
        <v>4.92180722179541</v>
      </c>
      <c r="I606" s="38" t="n">
        <v>216.887453581343</v>
      </c>
      <c r="J606" s="38" t="n">
        <v>24.9698786933718</v>
      </c>
      <c r="K606" s="38" t="n">
        <v>90.5256895308053</v>
      </c>
      <c r="L606" s="38" t="n">
        <v>61.4475200231366</v>
      </c>
      <c r="M606" s="38" t="n">
        <v>52.5680271608417</v>
      </c>
      <c r="N606" s="38" t="n">
        <v>0</v>
      </c>
    </row>
    <row r="607" customFormat="false" ht="15" hidden="false" customHeight="false" outlineLevel="0" collapsed="false">
      <c r="A607" s="37" t="s">
        <v>602</v>
      </c>
      <c r="B607" s="37" t="s">
        <v>97</v>
      </c>
      <c r="C607" s="37" t="s">
        <v>46</v>
      </c>
      <c r="D607" s="37" t="s">
        <v>47</v>
      </c>
      <c r="E607" s="38" t="n">
        <v>234.700094015825</v>
      </c>
      <c r="F607" s="38" t="n">
        <v>39.3709787908919</v>
      </c>
      <c r="G607" s="38" t="n">
        <v>15.9221667710777</v>
      </c>
      <c r="H607" s="38" t="n">
        <v>39.2538560628545</v>
      </c>
      <c r="I607" s="38" t="n">
        <v>277.757568723759</v>
      </c>
      <c r="J607" s="38" t="n">
        <v>84.5075687237593</v>
      </c>
      <c r="K607" s="38" t="n">
        <v>148.513018511566</v>
      </c>
      <c r="L607" s="38" t="n">
        <v>80.4911097263577</v>
      </c>
      <c r="M607" s="38" t="n">
        <v>73.5024762163575</v>
      </c>
      <c r="N607" s="38" t="n">
        <v>0</v>
      </c>
    </row>
    <row r="608" customFormat="false" ht="15" hidden="false" customHeight="false" outlineLevel="0" collapsed="false">
      <c r="A608" s="37" t="s">
        <v>602</v>
      </c>
      <c r="B608" s="37" t="s">
        <v>97</v>
      </c>
      <c r="C608" s="37" t="s">
        <v>51</v>
      </c>
      <c r="D608" s="37" t="s">
        <v>51</v>
      </c>
      <c r="E608" s="38" t="n">
        <v>226.219991539104</v>
      </c>
      <c r="F608" s="38" t="n">
        <v>43.7973263962411</v>
      </c>
      <c r="G608" s="38" t="n">
        <v>15.9221667710777</v>
      </c>
      <c r="H608" s="38" t="n">
        <v>24.6229816723716</v>
      </c>
      <c r="I608" s="38" t="n">
        <v>278.493995484319</v>
      </c>
      <c r="J608" s="38" t="n">
        <v>81.8202948494421</v>
      </c>
      <c r="K608" s="38" t="n">
        <v>144.662663734378</v>
      </c>
      <c r="L608" s="38" t="n">
        <v>77.0592661976795</v>
      </c>
      <c r="M608" s="38" t="n">
        <v>72.7073200157331</v>
      </c>
      <c r="N608" s="38" t="n">
        <v>0</v>
      </c>
    </row>
    <row r="609" customFormat="false" ht="15" hidden="false" customHeight="false" outlineLevel="0" collapsed="false">
      <c r="A609" s="37" t="s">
        <v>602</v>
      </c>
      <c r="B609" s="37" t="s">
        <v>97</v>
      </c>
      <c r="C609" s="37" t="s">
        <v>55</v>
      </c>
      <c r="D609" s="37" t="s">
        <v>37</v>
      </c>
      <c r="E609" s="38" t="n">
        <v>203.893159816572</v>
      </c>
      <c r="F609" s="38" t="n">
        <v>39.2463786901263</v>
      </c>
      <c r="G609" s="38" t="n">
        <v>15.9041943769392</v>
      </c>
      <c r="H609" s="38" t="n">
        <v>4.78960818182069</v>
      </c>
      <c r="I609" s="38" t="n">
        <v>257.077331171122</v>
      </c>
      <c r="J609" s="38" t="n">
        <v>56.3913350461927</v>
      </c>
      <c r="K609" s="38" t="n">
        <v>109.882212011446</v>
      </c>
      <c r="L609" s="38" t="n">
        <v>61.8035853090846</v>
      </c>
      <c r="M609" s="38" t="n">
        <v>58.5631559561693</v>
      </c>
      <c r="N609" s="38" t="n">
        <v>0</v>
      </c>
    </row>
    <row r="610" customFormat="false" ht="15" hidden="false" customHeight="false" outlineLevel="0" collapsed="false">
      <c r="A610" s="37" t="s">
        <v>602</v>
      </c>
      <c r="B610" s="37" t="s">
        <v>97</v>
      </c>
      <c r="C610" s="37" t="s">
        <v>59</v>
      </c>
      <c r="D610" s="37" t="s">
        <v>42</v>
      </c>
      <c r="E610" s="38" t="n">
        <v>193.278429750093</v>
      </c>
      <c r="F610" s="38" t="n">
        <v>51.9852683851449</v>
      </c>
      <c r="G610" s="38" t="n">
        <v>15.8883317838861</v>
      </c>
      <c r="H610" s="38" t="n">
        <v>4.71774603816191</v>
      </c>
      <c r="I610" s="38" t="n">
        <v>213.546933480362</v>
      </c>
      <c r="J610" s="38" t="n">
        <v>14.9301756514919</v>
      </c>
      <c r="K610" s="38" t="n">
        <v>80.1587619024843</v>
      </c>
      <c r="L610" s="38" t="n">
        <v>52.8663385828958</v>
      </c>
      <c r="M610" s="38" t="n">
        <v>44.9912429539055</v>
      </c>
      <c r="N610" s="38" t="n">
        <v>0</v>
      </c>
    </row>
    <row r="611" customFormat="false" ht="15" hidden="false" customHeight="false" outlineLevel="0" collapsed="false">
      <c r="A611" s="37" t="s">
        <v>602</v>
      </c>
      <c r="B611" s="37" t="s">
        <v>97</v>
      </c>
      <c r="C611" s="37" t="s">
        <v>63</v>
      </c>
      <c r="D611" s="37" t="s">
        <v>47</v>
      </c>
      <c r="E611" s="38" t="n">
        <v>220.943888387599</v>
      </c>
      <c r="F611" s="38" t="n">
        <v>39.712694412157</v>
      </c>
      <c r="G611" s="38" t="n">
        <v>15.9081846931993</v>
      </c>
      <c r="H611" s="38" t="n">
        <v>38.7510974202793</v>
      </c>
      <c r="I611" s="38" t="n">
        <v>258.249273648956</v>
      </c>
      <c r="J611" s="38" t="n">
        <v>60.2694259405635</v>
      </c>
      <c r="K611" s="38" t="n">
        <v>127.259220008078</v>
      </c>
      <c r="L611" s="38" t="n">
        <v>69.2609583126287</v>
      </c>
      <c r="M611" s="38" t="n">
        <v>65.8006333236125</v>
      </c>
      <c r="N611" s="38" t="n">
        <v>0</v>
      </c>
    </row>
    <row r="612" customFormat="false" ht="15" hidden="false" customHeight="false" outlineLevel="0" collapsed="false">
      <c r="A612" s="37" t="s">
        <v>602</v>
      </c>
      <c r="B612" s="37" t="s">
        <v>97</v>
      </c>
      <c r="C612" s="37" t="s">
        <v>67</v>
      </c>
      <c r="D612" s="37" t="s">
        <v>68</v>
      </c>
      <c r="E612" s="38" t="n">
        <v>198.164187821147</v>
      </c>
      <c r="F612" s="38" t="n">
        <v>40.652857342268</v>
      </c>
      <c r="G612" s="38" t="n">
        <v>15.1216882833063</v>
      </c>
      <c r="H612" s="38" t="n">
        <v>4.99119857494195</v>
      </c>
      <c r="I612" s="38" t="n">
        <v>214.012726287484</v>
      </c>
      <c r="J612" s="38" t="n">
        <v>32.5127262874841</v>
      </c>
      <c r="K612" s="38" t="n">
        <v>110.903443154202</v>
      </c>
      <c r="L612" s="38" t="n">
        <v>63.6532932047838</v>
      </c>
      <c r="M612" s="38" t="n">
        <v>59.6811526623173</v>
      </c>
      <c r="N612" s="38" t="n">
        <v>0</v>
      </c>
    </row>
    <row r="613" customFormat="false" ht="15" hidden="false" customHeight="false" outlineLevel="0" collapsed="false">
      <c r="A613" s="37" t="s">
        <v>602</v>
      </c>
      <c r="B613" s="37" t="s">
        <v>97</v>
      </c>
      <c r="C613" s="37" t="s">
        <v>72</v>
      </c>
      <c r="D613" s="37" t="s">
        <v>73</v>
      </c>
      <c r="E613" s="38" t="n">
        <v>196.351794110749</v>
      </c>
      <c r="F613" s="38" t="n">
        <v>40.775677806062</v>
      </c>
      <c r="G613" s="38" t="n">
        <v>15.9221667710777</v>
      </c>
      <c r="H613" s="38" t="n">
        <v>10.6457555394483</v>
      </c>
      <c r="I613" s="38" t="n">
        <v>224.785781054338</v>
      </c>
      <c r="J613" s="38" t="n">
        <v>188.413796927354</v>
      </c>
      <c r="K613" s="38" t="n">
        <v>103.12889652062</v>
      </c>
      <c r="L613" s="38" t="n">
        <v>64.4936819960422</v>
      </c>
      <c r="M613" s="38" t="n">
        <v>55.402552240992</v>
      </c>
      <c r="N613" s="38" t="n">
        <v>0</v>
      </c>
    </row>
    <row r="614" customFormat="false" ht="15" hidden="false" customHeight="false" outlineLevel="0" collapsed="false">
      <c r="A614" s="37" t="s">
        <v>602</v>
      </c>
      <c r="B614" s="37" t="s">
        <v>97</v>
      </c>
      <c r="C614" s="37" t="s">
        <v>77</v>
      </c>
      <c r="D614" s="37" t="s">
        <v>78</v>
      </c>
      <c r="E614" s="38" t="n">
        <v>233.349231609353</v>
      </c>
      <c r="F614" s="38" t="n">
        <v>51.6606518328984</v>
      </c>
      <c r="G614" s="38" t="n">
        <v>16.0401527282242</v>
      </c>
      <c r="H614" s="38" t="n">
        <v>23.6310096401959</v>
      </c>
      <c r="I614" s="38" t="n">
        <v>266.124995596988</v>
      </c>
      <c r="J614" s="38" t="n">
        <v>84.9044195188667</v>
      </c>
      <c r="K614" s="38" t="n">
        <v>149.438227553037</v>
      </c>
      <c r="L614" s="38" t="n">
        <v>80.5760029296043</v>
      </c>
      <c r="M614" s="38" t="n">
        <v>76.4157081471413</v>
      </c>
      <c r="N614" s="38" t="n">
        <v>0</v>
      </c>
    </row>
    <row r="615" customFormat="false" ht="15" hidden="false" customHeight="false" outlineLevel="0" collapsed="false">
      <c r="A615" s="37" t="s">
        <v>602</v>
      </c>
      <c r="B615" s="37" t="s">
        <v>100</v>
      </c>
      <c r="C615" s="37" t="s">
        <v>36</v>
      </c>
      <c r="D615" s="37" t="s">
        <v>37</v>
      </c>
      <c r="E615" s="38" t="n">
        <v>202.950145937118</v>
      </c>
      <c r="F615" s="38" t="n">
        <v>39.5249458138505</v>
      </c>
      <c r="G615" s="38" t="n">
        <v>15.9056160606976</v>
      </c>
      <c r="H615" s="38" t="n">
        <v>5.01869644449263</v>
      </c>
      <c r="I615" s="38" t="n">
        <v>229.508766299505</v>
      </c>
      <c r="J615" s="38" t="n">
        <v>37.2869625367352</v>
      </c>
      <c r="K615" s="38" t="n">
        <v>103.928290903108</v>
      </c>
      <c r="L615" s="38" t="n">
        <v>63.0982195793117</v>
      </c>
      <c r="M615" s="38" t="n">
        <v>59.0253835543121</v>
      </c>
      <c r="N615" s="38" t="n">
        <v>0</v>
      </c>
    </row>
    <row r="616" customFormat="false" ht="15" hidden="false" customHeight="false" outlineLevel="0" collapsed="false">
      <c r="A616" s="37" t="s">
        <v>602</v>
      </c>
      <c r="B616" s="37" t="s">
        <v>100</v>
      </c>
      <c r="C616" s="37" t="s">
        <v>41</v>
      </c>
      <c r="D616" s="37" t="s">
        <v>42</v>
      </c>
      <c r="E616" s="38" t="n">
        <v>190.085867702671</v>
      </c>
      <c r="F616" s="38" t="n">
        <v>50.0742214826534</v>
      </c>
      <c r="G616" s="38" t="n">
        <v>15.8893718035808</v>
      </c>
      <c r="H616" s="38" t="n">
        <v>4.9115338715826</v>
      </c>
      <c r="I616" s="38" t="n">
        <v>192.627782867901</v>
      </c>
      <c r="J616" s="38" t="n">
        <v>23.9592568980053</v>
      </c>
      <c r="K616" s="38" t="n">
        <v>75.1350274522606</v>
      </c>
      <c r="L616" s="38" t="n">
        <v>57.1586500676677</v>
      </c>
      <c r="M616" s="38" t="n">
        <v>45.9052576482167</v>
      </c>
      <c r="N616" s="38" t="n">
        <v>0</v>
      </c>
    </row>
    <row r="617" customFormat="false" ht="15" hidden="false" customHeight="false" outlineLevel="0" collapsed="false">
      <c r="A617" s="37" t="s">
        <v>602</v>
      </c>
      <c r="B617" s="37" t="s">
        <v>100</v>
      </c>
      <c r="C617" s="37" t="s">
        <v>46</v>
      </c>
      <c r="D617" s="37" t="s">
        <v>47</v>
      </c>
      <c r="E617" s="38" t="n">
        <v>227.868907187356</v>
      </c>
      <c r="F617" s="38" t="n">
        <v>39.3556261278555</v>
      </c>
      <c r="G617" s="38" t="n">
        <v>15.9221667710777</v>
      </c>
      <c r="H617" s="38" t="n">
        <v>39.2538560628545</v>
      </c>
      <c r="I617" s="38" t="n">
        <v>263.038892916748</v>
      </c>
      <c r="J617" s="38" t="n">
        <v>69.7888929167484</v>
      </c>
      <c r="K617" s="38" t="n">
        <v>142.522391223537</v>
      </c>
      <c r="L617" s="38" t="n">
        <v>78.5344611179534</v>
      </c>
      <c r="M617" s="38" t="n">
        <v>70.8401073386788</v>
      </c>
      <c r="N617" s="38" t="n">
        <v>0</v>
      </c>
    </row>
    <row r="618" customFormat="false" ht="15" hidden="false" customHeight="false" outlineLevel="0" collapsed="false">
      <c r="A618" s="37" t="s">
        <v>602</v>
      </c>
      <c r="B618" s="37" t="s">
        <v>100</v>
      </c>
      <c r="C618" s="37" t="s">
        <v>51</v>
      </c>
      <c r="D618" s="37" t="s">
        <v>51</v>
      </c>
      <c r="E618" s="38" t="n">
        <v>218.474648890562</v>
      </c>
      <c r="F618" s="38" t="n">
        <v>43.7730564105364</v>
      </c>
      <c r="G618" s="38" t="n">
        <v>15.9221667710777</v>
      </c>
      <c r="H618" s="38" t="n">
        <v>24.6229816723716</v>
      </c>
      <c r="I618" s="38" t="n">
        <v>260.853819435294</v>
      </c>
      <c r="J618" s="38" t="n">
        <v>64.1801188004165</v>
      </c>
      <c r="K618" s="38" t="n">
        <v>137.471827580362</v>
      </c>
      <c r="L618" s="38" t="n">
        <v>74.9929630720377</v>
      </c>
      <c r="M618" s="38" t="n">
        <v>69.4793384059993</v>
      </c>
      <c r="N618" s="38" t="n">
        <v>0</v>
      </c>
    </row>
    <row r="619" customFormat="false" ht="15" hidden="false" customHeight="false" outlineLevel="0" collapsed="false">
      <c r="A619" s="37" t="s">
        <v>602</v>
      </c>
      <c r="B619" s="37" t="s">
        <v>100</v>
      </c>
      <c r="C619" s="37" t="s">
        <v>55</v>
      </c>
      <c r="D619" s="37" t="s">
        <v>37</v>
      </c>
      <c r="E619" s="38" t="n">
        <v>194.867857398629</v>
      </c>
      <c r="F619" s="38" t="n">
        <v>39.2284913252066</v>
      </c>
      <c r="G619" s="38" t="n">
        <v>15.9039319267884</v>
      </c>
      <c r="H619" s="38" t="n">
        <v>4.78960818182069</v>
      </c>
      <c r="I619" s="38" t="n">
        <v>235.874137837083</v>
      </c>
      <c r="J619" s="38" t="n">
        <v>35.0101424263789</v>
      </c>
      <c r="K619" s="38" t="n">
        <v>95.5586654226419</v>
      </c>
      <c r="L619" s="38" t="n">
        <v>59.2678402670938</v>
      </c>
      <c r="M619" s="38" t="n">
        <v>53.1185849026026</v>
      </c>
      <c r="N619" s="38" t="n">
        <v>0</v>
      </c>
    </row>
    <row r="620" customFormat="false" ht="15" hidden="false" customHeight="false" outlineLevel="0" collapsed="false">
      <c r="A620" s="37" t="s">
        <v>602</v>
      </c>
      <c r="B620" s="37" t="s">
        <v>100</v>
      </c>
      <c r="C620" s="37" t="s">
        <v>59</v>
      </c>
      <c r="D620" s="37" t="s">
        <v>42</v>
      </c>
      <c r="E620" s="38" t="n">
        <v>186.130449586425</v>
      </c>
      <c r="F620" s="38" t="n">
        <v>51.953852951744</v>
      </c>
      <c r="G620" s="38" t="n">
        <v>15.8883305001523</v>
      </c>
      <c r="H620" s="38" t="n">
        <v>4.71774603816191</v>
      </c>
      <c r="I620" s="38" t="n">
        <v>195.295443498688</v>
      </c>
      <c r="J620" s="38" t="n">
        <v>-3.32134606295599</v>
      </c>
      <c r="K620" s="38" t="n">
        <v>69.270692939</v>
      </c>
      <c r="L620" s="38" t="n">
        <v>50.8975592762525</v>
      </c>
      <c r="M620" s="38" t="n">
        <v>40.9681952793191</v>
      </c>
      <c r="N620" s="38" t="n">
        <v>0</v>
      </c>
    </row>
    <row r="621" customFormat="false" ht="15" hidden="false" customHeight="false" outlineLevel="0" collapsed="false">
      <c r="A621" s="37" t="s">
        <v>602</v>
      </c>
      <c r="B621" s="37" t="s">
        <v>100</v>
      </c>
      <c r="C621" s="37" t="s">
        <v>63</v>
      </c>
      <c r="D621" s="37" t="s">
        <v>47</v>
      </c>
      <c r="E621" s="38" t="n">
        <v>214.317719673752</v>
      </c>
      <c r="F621" s="38" t="n">
        <v>39.6948303608211</v>
      </c>
      <c r="G621" s="38" t="n">
        <v>15.9080133865028</v>
      </c>
      <c r="H621" s="38" t="n">
        <v>38.7510974202793</v>
      </c>
      <c r="I621" s="38" t="n">
        <v>243.368389773763</v>
      </c>
      <c r="J621" s="38" t="n">
        <v>45.2723719919813</v>
      </c>
      <c r="K621" s="38" t="n">
        <v>120.91943393123</v>
      </c>
      <c r="L621" s="38" t="n">
        <v>67.3986946198383</v>
      </c>
      <c r="M621" s="38" t="n">
        <v>62.9379819464325</v>
      </c>
      <c r="N621" s="38" t="n">
        <v>0</v>
      </c>
    </row>
    <row r="622" customFormat="false" ht="15" hidden="false" customHeight="false" outlineLevel="0" collapsed="false">
      <c r="A622" s="37" t="s">
        <v>602</v>
      </c>
      <c r="B622" s="37" t="s">
        <v>100</v>
      </c>
      <c r="C622" s="37" t="s">
        <v>67</v>
      </c>
      <c r="D622" s="37" t="s">
        <v>68</v>
      </c>
      <c r="E622" s="38" t="n">
        <v>190.226847409267</v>
      </c>
      <c r="F622" s="38" t="n">
        <v>40.6366582197403</v>
      </c>
      <c r="G622" s="38" t="n">
        <v>15.1154131366612</v>
      </c>
      <c r="H622" s="38" t="n">
        <v>4.9853863148386</v>
      </c>
      <c r="I622" s="38" t="n">
        <v>195.10628327223</v>
      </c>
      <c r="J622" s="38" t="n">
        <v>24.4408269101123</v>
      </c>
      <c r="K622" s="38" t="n">
        <v>94.9707821822824</v>
      </c>
      <c r="L622" s="38" t="n">
        <v>61.7346447275285</v>
      </c>
      <c r="M622" s="38" t="n">
        <v>53.6342685768191</v>
      </c>
      <c r="N622" s="38" t="n">
        <v>0</v>
      </c>
    </row>
    <row r="623" customFormat="false" ht="15" hidden="false" customHeight="false" outlineLevel="0" collapsed="false">
      <c r="A623" s="37" t="s">
        <v>602</v>
      </c>
      <c r="B623" s="37" t="s">
        <v>100</v>
      </c>
      <c r="C623" s="37" t="s">
        <v>72</v>
      </c>
      <c r="D623" s="37" t="s">
        <v>73</v>
      </c>
      <c r="E623" s="38" t="n">
        <v>188.815425864912</v>
      </c>
      <c r="F623" s="38" t="n">
        <v>40.7565261267345</v>
      </c>
      <c r="G623" s="38" t="n">
        <v>15.9221667710777</v>
      </c>
      <c r="H623" s="38" t="n">
        <v>10.6457555394483</v>
      </c>
      <c r="I623" s="38" t="n">
        <v>206.199515588857</v>
      </c>
      <c r="J623" s="38" t="n">
        <v>169.827531461873</v>
      </c>
      <c r="K623" s="38" t="n">
        <v>94.4330376317068</v>
      </c>
      <c r="L623" s="38" t="n">
        <v>62.9159257970383</v>
      </c>
      <c r="M623" s="38" t="n">
        <v>51.692336914531</v>
      </c>
      <c r="N623" s="38" t="n">
        <v>0</v>
      </c>
    </row>
    <row r="624" customFormat="false" ht="15" hidden="false" customHeight="false" outlineLevel="0" collapsed="false">
      <c r="A624" s="37" t="s">
        <v>602</v>
      </c>
      <c r="B624" s="37" t="s">
        <v>100</v>
      </c>
      <c r="C624" s="37" t="s">
        <v>77</v>
      </c>
      <c r="D624" s="37" t="s">
        <v>78</v>
      </c>
      <c r="E624" s="38" t="n">
        <v>225.724133677638</v>
      </c>
      <c r="F624" s="38" t="n">
        <v>51.6376315675158</v>
      </c>
      <c r="G624" s="38" t="n">
        <v>16.0401520029203</v>
      </c>
      <c r="H624" s="38" t="n">
        <v>23.6310096401959</v>
      </c>
      <c r="I624" s="38" t="n">
        <v>249.024770145065</v>
      </c>
      <c r="J624" s="38" t="n">
        <v>67.8038604227004</v>
      </c>
      <c r="K624" s="38" t="n">
        <v>142.579408340377</v>
      </c>
      <c r="L624" s="38" t="n">
        <v>78.4254918627859</v>
      </c>
      <c r="M624" s="38" t="n">
        <v>73.3819393268229</v>
      </c>
      <c r="N624" s="38" t="n">
        <v>0</v>
      </c>
    </row>
    <row r="625" customFormat="false" ht="15" hidden="false" customHeight="false" outlineLevel="0" collapsed="false">
      <c r="A625" s="37" t="s">
        <v>602</v>
      </c>
      <c r="B625" s="37" t="s">
        <v>106</v>
      </c>
      <c r="C625" s="37" t="s">
        <v>36</v>
      </c>
      <c r="D625" s="37" t="s">
        <v>37</v>
      </c>
      <c r="E625" s="38" t="n">
        <v>213.363638940925</v>
      </c>
      <c r="F625" s="38" t="n">
        <v>40.5305429523825</v>
      </c>
      <c r="G625" s="38" t="n">
        <v>15.9058712307534</v>
      </c>
      <c r="H625" s="38" t="n">
        <v>5.03770740845352</v>
      </c>
      <c r="I625" s="38" t="n">
        <v>251.265760454025</v>
      </c>
      <c r="J625" s="38" t="n">
        <v>47.967009914323</v>
      </c>
      <c r="K625" s="38" t="n">
        <v>117.736772456626</v>
      </c>
      <c r="L625" s="38" t="n">
        <v>69.726003373693</v>
      </c>
      <c r="M625" s="38" t="n">
        <v>64.7894285187431</v>
      </c>
      <c r="N625" s="38" t="n">
        <v>0</v>
      </c>
    </row>
    <row r="626" customFormat="false" ht="15" hidden="false" customHeight="false" outlineLevel="0" collapsed="false">
      <c r="A626" s="37" t="s">
        <v>602</v>
      </c>
      <c r="B626" s="37" t="s">
        <v>106</v>
      </c>
      <c r="C626" s="37" t="s">
        <v>41</v>
      </c>
      <c r="D626" s="37" t="s">
        <v>42</v>
      </c>
      <c r="E626" s="38" t="n">
        <v>204.296259842649</v>
      </c>
      <c r="F626" s="38" t="n">
        <v>56.5806503272282</v>
      </c>
      <c r="G626" s="38" t="n">
        <v>15.9022073363036</v>
      </c>
      <c r="H626" s="38" t="n">
        <v>4.923599704552</v>
      </c>
      <c r="I626" s="38" t="n">
        <v>219.132505883659</v>
      </c>
      <c r="J626" s="38" t="n">
        <v>24.9810041858129</v>
      </c>
      <c r="K626" s="38" t="n">
        <v>93.5840281207481</v>
      </c>
      <c r="L626" s="38" t="n">
        <v>62.181474919145</v>
      </c>
      <c r="M626" s="38" t="n">
        <v>53.8054707580511</v>
      </c>
      <c r="N626" s="38" t="n">
        <v>0</v>
      </c>
    </row>
    <row r="627" customFormat="false" ht="15" hidden="false" customHeight="false" outlineLevel="0" collapsed="false">
      <c r="A627" s="37" t="s">
        <v>602</v>
      </c>
      <c r="B627" s="37" t="s">
        <v>106</v>
      </c>
      <c r="C627" s="37" t="s">
        <v>46</v>
      </c>
      <c r="D627" s="37" t="s">
        <v>47</v>
      </c>
      <c r="E627" s="38" t="n">
        <v>235.88189727323</v>
      </c>
      <c r="F627" s="38" t="n">
        <v>40.5527820482971</v>
      </c>
      <c r="G627" s="38" t="n">
        <v>15.9221667710777</v>
      </c>
      <c r="H627" s="38" t="n">
        <v>39.2538560628545</v>
      </c>
      <c r="I627" s="38" t="n">
        <v>279.274354433948</v>
      </c>
      <c r="J627" s="38" t="n">
        <v>86.0243544339484</v>
      </c>
      <c r="K627" s="38" t="n">
        <v>150.248520200989</v>
      </c>
      <c r="L627" s="38" t="n">
        <v>80.875316749652</v>
      </c>
      <c r="M627" s="38" t="n">
        <v>74.2648575990183</v>
      </c>
      <c r="N627" s="38" t="n">
        <v>0</v>
      </c>
    </row>
    <row r="628" customFormat="false" ht="15" hidden="false" customHeight="false" outlineLevel="0" collapsed="false">
      <c r="A628" s="37" t="s">
        <v>602</v>
      </c>
      <c r="B628" s="37" t="s">
        <v>106</v>
      </c>
      <c r="C628" s="37" t="s">
        <v>51</v>
      </c>
      <c r="D628" s="37" t="s">
        <v>51</v>
      </c>
      <c r="E628" s="38" t="n">
        <v>227.830786615246</v>
      </c>
      <c r="F628" s="38" t="n">
        <v>45.4081214723827</v>
      </c>
      <c r="G628" s="38" t="n">
        <v>15.9221667710777</v>
      </c>
      <c r="H628" s="38" t="n">
        <v>24.6229816723716</v>
      </c>
      <c r="I628" s="38" t="n">
        <v>280.444476412838</v>
      </c>
      <c r="J628" s="38" t="n">
        <v>83.7707757779612</v>
      </c>
      <c r="K628" s="38" t="n">
        <v>147.129081863433</v>
      </c>
      <c r="L628" s="38" t="n">
        <v>77.6364920583259</v>
      </c>
      <c r="M628" s="38" t="n">
        <v>73.7750053565751</v>
      </c>
      <c r="N628" s="38" t="n">
        <v>0</v>
      </c>
    </row>
    <row r="629" customFormat="false" ht="15" hidden="false" customHeight="false" outlineLevel="0" collapsed="false">
      <c r="A629" s="37" t="s">
        <v>602</v>
      </c>
      <c r="B629" s="37" t="s">
        <v>106</v>
      </c>
      <c r="C629" s="37" t="s">
        <v>55</v>
      </c>
      <c r="D629" s="37" t="s">
        <v>37</v>
      </c>
      <c r="E629" s="38" t="n">
        <v>204.847832855894</v>
      </c>
      <c r="F629" s="38" t="n">
        <v>40.1970988241999</v>
      </c>
      <c r="G629" s="38" t="n">
        <v>15.90420485001</v>
      </c>
      <c r="H629" s="38" t="n">
        <v>4.78960818182069</v>
      </c>
      <c r="I629" s="38" t="n">
        <v>258.374121162751</v>
      </c>
      <c r="J629" s="38" t="n">
        <v>57.6952280691762</v>
      </c>
      <c r="K629" s="38" t="n">
        <v>111.385717544233</v>
      </c>
      <c r="L629" s="38" t="n">
        <v>62.1419291015761</v>
      </c>
      <c r="M629" s="38" t="n">
        <v>59.2081002110734</v>
      </c>
      <c r="N629" s="38" t="n">
        <v>0</v>
      </c>
    </row>
    <row r="630" customFormat="false" ht="15" hidden="false" customHeight="false" outlineLevel="0" collapsed="false">
      <c r="A630" s="37" t="s">
        <v>602</v>
      </c>
      <c r="B630" s="37" t="s">
        <v>106</v>
      </c>
      <c r="C630" s="37" t="s">
        <v>59</v>
      </c>
      <c r="D630" s="37" t="s">
        <v>42</v>
      </c>
      <c r="E630" s="38" t="n">
        <v>195.251547067355</v>
      </c>
      <c r="F630" s="38" t="n">
        <v>53.9573017287729</v>
      </c>
      <c r="G630" s="38" t="n">
        <v>15.8884117407786</v>
      </c>
      <c r="H630" s="38" t="n">
        <v>4.71774603816191</v>
      </c>
      <c r="I630" s="38" t="n">
        <v>216.049823900601</v>
      </c>
      <c r="J630" s="38" t="n">
        <v>17.4350528356679</v>
      </c>
      <c r="K630" s="38" t="n">
        <v>83.7997672012311</v>
      </c>
      <c r="L630" s="38" t="n">
        <v>53.6150133868121</v>
      </c>
      <c r="M630" s="38" t="n">
        <v>46.3298955823826</v>
      </c>
      <c r="N630" s="38" t="n">
        <v>0</v>
      </c>
    </row>
    <row r="631" customFormat="false" ht="15" hidden="false" customHeight="false" outlineLevel="0" collapsed="false">
      <c r="A631" s="37" t="s">
        <v>602</v>
      </c>
      <c r="B631" s="37" t="s">
        <v>106</v>
      </c>
      <c r="C631" s="37" t="s">
        <v>63</v>
      </c>
      <c r="D631" s="37" t="s">
        <v>47</v>
      </c>
      <c r="E631" s="38" t="n">
        <v>222.078287634459</v>
      </c>
      <c r="F631" s="38" t="n">
        <v>40.8440038492281</v>
      </c>
      <c r="G631" s="38" t="n">
        <v>15.9081949382506</v>
      </c>
      <c r="H631" s="38" t="n">
        <v>38.7510974202793</v>
      </c>
      <c r="I631" s="38" t="n">
        <v>259.761147969346</v>
      </c>
      <c r="J631" s="38" t="n">
        <v>61.7882478305437</v>
      </c>
      <c r="K631" s="38" t="n">
        <v>129.005723571735</v>
      </c>
      <c r="L631" s="38" t="n">
        <v>69.6331455178802</v>
      </c>
      <c r="M631" s="38" t="n">
        <v>66.5200266748581</v>
      </c>
      <c r="N631" s="38" t="n">
        <v>0</v>
      </c>
    </row>
    <row r="632" customFormat="false" ht="15" hidden="false" customHeight="false" outlineLevel="0" collapsed="false">
      <c r="A632" s="37" t="s">
        <v>602</v>
      </c>
      <c r="B632" s="37" t="s">
        <v>106</v>
      </c>
      <c r="C632" s="37" t="s">
        <v>67</v>
      </c>
      <c r="D632" s="37" t="s">
        <v>68</v>
      </c>
      <c r="E632" s="38" t="n">
        <v>199.230621608548</v>
      </c>
      <c r="F632" s="38" t="n">
        <v>41.7183815699539</v>
      </c>
      <c r="G632" s="38" t="n">
        <v>15.1221830078397</v>
      </c>
      <c r="H632" s="38" t="n">
        <v>4.99119857494195</v>
      </c>
      <c r="I632" s="38" t="n">
        <v>215.493885950038</v>
      </c>
      <c r="J632" s="38" t="n">
        <v>33.9938859500379</v>
      </c>
      <c r="K632" s="38" t="n">
        <v>113.982206931249</v>
      </c>
      <c r="L632" s="38" t="n">
        <v>64.0559097651232</v>
      </c>
      <c r="M632" s="38" t="n">
        <v>60.8008290647047</v>
      </c>
      <c r="N632" s="38" t="n">
        <v>0</v>
      </c>
    </row>
    <row r="633" customFormat="false" ht="15" hidden="false" customHeight="false" outlineLevel="0" collapsed="false">
      <c r="A633" s="37" t="s">
        <v>602</v>
      </c>
      <c r="B633" s="37" t="s">
        <v>106</v>
      </c>
      <c r="C633" s="37" t="s">
        <v>72</v>
      </c>
      <c r="D633" s="37" t="s">
        <v>73</v>
      </c>
      <c r="E633" s="38" t="n">
        <v>197.512499548908</v>
      </c>
      <c r="F633" s="38" t="n">
        <v>41.936383244221</v>
      </c>
      <c r="G633" s="38" t="n">
        <v>15.9221667710777</v>
      </c>
      <c r="H633" s="38" t="n">
        <v>10.6457555394483</v>
      </c>
      <c r="I633" s="38" t="n">
        <v>226.38074662959</v>
      </c>
      <c r="J633" s="38" t="n">
        <v>190.008762502606</v>
      </c>
      <c r="K633" s="38" t="n">
        <v>105.143178719569</v>
      </c>
      <c r="L633" s="38" t="n">
        <v>64.8831560520334</v>
      </c>
      <c r="M633" s="38" t="n">
        <v>56.2584918563176</v>
      </c>
      <c r="N633" s="38" t="n">
        <v>0</v>
      </c>
    </row>
    <row r="634" customFormat="false" ht="15" hidden="false" customHeight="false" outlineLevel="0" collapsed="false">
      <c r="A634" s="37" t="s">
        <v>602</v>
      </c>
      <c r="B634" s="37" t="s">
        <v>106</v>
      </c>
      <c r="C634" s="37" t="s">
        <v>77</v>
      </c>
      <c r="D634" s="37" t="s">
        <v>78</v>
      </c>
      <c r="E634" s="38" t="n">
        <v>234.931116020749</v>
      </c>
      <c r="F634" s="38" t="n">
        <v>53.2406932995625</v>
      </c>
      <c r="G634" s="38" t="n">
        <v>16.0401985558421</v>
      </c>
      <c r="H634" s="38" t="n">
        <v>23.6310096401959</v>
      </c>
      <c r="I634" s="38" t="n">
        <v>267.985120463453</v>
      </c>
      <c r="J634" s="38" t="n">
        <v>86.785640534131</v>
      </c>
      <c r="K634" s="38" t="n">
        <v>151.932933966593</v>
      </c>
      <c r="L634" s="38" t="n">
        <v>81.1767464567292</v>
      </c>
      <c r="M634" s="38" t="n">
        <v>77.4977886203214</v>
      </c>
      <c r="N634" s="38" t="n">
        <v>0</v>
      </c>
    </row>
    <row r="635" customFormat="false" ht="15" hidden="false" customHeight="false" outlineLevel="0" collapsed="false">
      <c r="A635" s="37" t="s">
        <v>602</v>
      </c>
      <c r="B635" s="37" t="s">
        <v>112</v>
      </c>
      <c r="C635" s="37" t="s">
        <v>36</v>
      </c>
      <c r="D635" s="37" t="s">
        <v>37</v>
      </c>
      <c r="E635" s="38" t="n">
        <v>213.309286489797</v>
      </c>
      <c r="F635" s="38" t="n">
        <v>39.5422805649425</v>
      </c>
      <c r="G635" s="38" t="n">
        <v>15.9058779500925</v>
      </c>
      <c r="H635" s="38" t="n">
        <v>5.96872004502589</v>
      </c>
      <c r="I635" s="38" t="n">
        <v>253.268471013396</v>
      </c>
      <c r="J635" s="38" t="n">
        <v>49.9742774300582</v>
      </c>
      <c r="K635" s="38" t="n">
        <v>117.145318810739</v>
      </c>
      <c r="L635" s="38" t="n">
        <v>69.7165482303915</v>
      </c>
      <c r="M635" s="38" t="n">
        <v>64.6388956719026</v>
      </c>
      <c r="N635" s="38" t="n">
        <v>0</v>
      </c>
    </row>
    <row r="636" customFormat="false" ht="15" hidden="false" customHeight="false" outlineLevel="0" collapsed="false">
      <c r="A636" s="37" t="s">
        <v>602</v>
      </c>
      <c r="B636" s="37" t="s">
        <v>112</v>
      </c>
      <c r="C636" s="37" t="s">
        <v>41</v>
      </c>
      <c r="D636" s="37" t="s">
        <v>42</v>
      </c>
      <c r="E636" s="38" t="n">
        <v>203.346428744889</v>
      </c>
      <c r="F636" s="38" t="n">
        <v>54.7158202057552</v>
      </c>
      <c r="G636" s="38" t="n">
        <v>15.9021705677107</v>
      </c>
      <c r="H636" s="38" t="n">
        <v>5.81568089025732</v>
      </c>
      <c r="I636" s="38" t="n">
        <v>220.247168565196</v>
      </c>
      <c r="J636" s="38" t="n">
        <v>24.9857528770878</v>
      </c>
      <c r="K636" s="38" t="n">
        <v>91.4528463179466</v>
      </c>
      <c r="L636" s="38" t="n">
        <v>61.8445722272123</v>
      </c>
      <c r="M636" s="38" t="n">
        <v>53.0947136084725</v>
      </c>
      <c r="N636" s="38" t="n">
        <v>0</v>
      </c>
    </row>
    <row r="637" customFormat="false" ht="15" hidden="false" customHeight="false" outlineLevel="0" collapsed="false">
      <c r="A637" s="37" t="s">
        <v>602</v>
      </c>
      <c r="B637" s="37" t="s">
        <v>112</v>
      </c>
      <c r="C637" s="37" t="s">
        <v>46</v>
      </c>
      <c r="D637" s="37" t="s">
        <v>47</v>
      </c>
      <c r="E637" s="38" t="n">
        <v>252.522762223376</v>
      </c>
      <c r="F637" s="38" t="n">
        <v>39.4419588705632</v>
      </c>
      <c r="G637" s="38" t="n">
        <v>15.9221667710777</v>
      </c>
      <c r="H637" s="38" t="n">
        <v>57.0055441907341</v>
      </c>
      <c r="I637" s="38" t="n">
        <v>328.843902120726</v>
      </c>
      <c r="J637" s="38" t="n">
        <v>135.593902120726</v>
      </c>
      <c r="K637" s="38" t="n">
        <v>164.088487624852</v>
      </c>
      <c r="L637" s="38" t="n">
        <v>85.4303808895075</v>
      </c>
      <c r="M637" s="38" t="n">
        <v>79.0402611223356</v>
      </c>
      <c r="N637" s="38" t="n">
        <v>0</v>
      </c>
    </row>
    <row r="638" customFormat="false" ht="15" hidden="false" customHeight="false" outlineLevel="0" collapsed="false">
      <c r="A638" s="37" t="s">
        <v>602</v>
      </c>
      <c r="B638" s="37" t="s">
        <v>112</v>
      </c>
      <c r="C638" s="37" t="s">
        <v>51</v>
      </c>
      <c r="D638" s="37" t="s">
        <v>51</v>
      </c>
      <c r="E638" s="38" t="n">
        <v>238.715110496552</v>
      </c>
      <c r="F638" s="38" t="n">
        <v>43.849679270114</v>
      </c>
      <c r="G638" s="38" t="n">
        <v>15.9221667710777</v>
      </c>
      <c r="H638" s="38" t="n">
        <v>37.0657477559462</v>
      </c>
      <c r="I638" s="38" t="n">
        <v>309.416802758693</v>
      </c>
      <c r="J638" s="38" t="n">
        <v>112.743102123816</v>
      </c>
      <c r="K638" s="38" t="n">
        <v>156.907821229865</v>
      </c>
      <c r="L638" s="38" t="n">
        <v>81.2032063076615</v>
      </c>
      <c r="M638" s="38" t="n">
        <v>77.321462940632</v>
      </c>
      <c r="N638" s="38" t="n">
        <v>0</v>
      </c>
    </row>
    <row r="639" customFormat="false" ht="15" hidden="false" customHeight="false" outlineLevel="0" collapsed="false">
      <c r="A639" s="37" t="s">
        <v>602</v>
      </c>
      <c r="B639" s="37" t="s">
        <v>112</v>
      </c>
      <c r="C639" s="37" t="s">
        <v>55</v>
      </c>
      <c r="D639" s="37" t="s">
        <v>37</v>
      </c>
      <c r="E639" s="38" t="n">
        <v>204.751989201875</v>
      </c>
      <c r="F639" s="38" t="n">
        <v>39.2464716086814</v>
      </c>
      <c r="G639" s="38" t="n">
        <v>15.9042109404651</v>
      </c>
      <c r="H639" s="38" t="n">
        <v>5.64209299144803</v>
      </c>
      <c r="I639" s="38" t="n">
        <v>260.268433766936</v>
      </c>
      <c r="J639" s="38" t="n">
        <v>59.5936713322498</v>
      </c>
      <c r="K639" s="38" t="n">
        <v>110.746166773557</v>
      </c>
      <c r="L639" s="38" t="n">
        <v>62.1210375707442</v>
      </c>
      <c r="M639" s="38" t="n">
        <v>59.0147212477369</v>
      </c>
      <c r="N639" s="38" t="n">
        <v>0</v>
      </c>
    </row>
    <row r="640" customFormat="false" ht="15" hidden="false" customHeight="false" outlineLevel="0" collapsed="false">
      <c r="A640" s="37" t="s">
        <v>602</v>
      </c>
      <c r="B640" s="37" t="s">
        <v>112</v>
      </c>
      <c r="C640" s="37" t="s">
        <v>59</v>
      </c>
      <c r="D640" s="37" t="s">
        <v>42</v>
      </c>
      <c r="E640" s="38" t="n">
        <v>194.109020526033</v>
      </c>
      <c r="F640" s="38" t="n">
        <v>51.9852683851449</v>
      </c>
      <c r="G640" s="38" t="n">
        <v>15.8883317838861</v>
      </c>
      <c r="H640" s="38" t="n">
        <v>5.54833681410179</v>
      </c>
      <c r="I640" s="38" t="n">
        <v>216.926830886324</v>
      </c>
      <c r="J640" s="38" t="n">
        <v>18.3100730574534</v>
      </c>
      <c r="K640" s="38" t="n">
        <v>81.5582086361094</v>
      </c>
      <c r="L640" s="38" t="n">
        <v>53.204824013343</v>
      </c>
      <c r="M640" s="38" t="n">
        <v>45.5943951150103</v>
      </c>
      <c r="N640" s="38" t="n">
        <v>0</v>
      </c>
    </row>
    <row r="641" customFormat="false" ht="15" hidden="false" customHeight="false" outlineLevel="0" collapsed="false">
      <c r="A641" s="37" t="s">
        <v>602</v>
      </c>
      <c r="B641" s="37" t="s">
        <v>112</v>
      </c>
      <c r="C641" s="37" t="s">
        <v>63</v>
      </c>
      <c r="D641" s="37" t="s">
        <v>47</v>
      </c>
      <c r="E641" s="38" t="n">
        <v>239.354829042832</v>
      </c>
      <c r="F641" s="38" t="n">
        <v>39.7863830857874</v>
      </c>
      <c r="G641" s="38" t="n">
        <v>15.9084313827736</v>
      </c>
      <c r="H641" s="38" t="n">
        <v>57.0139594948565</v>
      </c>
      <c r="I641" s="38" t="n">
        <v>311.22026140232</v>
      </c>
      <c r="J641" s="38" t="n">
        <v>113.407702950919</v>
      </c>
      <c r="K641" s="38" t="n">
        <v>144.501626669295</v>
      </c>
      <c r="L641" s="38" t="n">
        <v>75.6411702019165</v>
      </c>
      <c r="M641" s="38" t="n">
        <v>72.6897836607552</v>
      </c>
      <c r="N641" s="38" t="n">
        <v>0</v>
      </c>
    </row>
    <row r="642" customFormat="false" ht="15" hidden="false" customHeight="false" outlineLevel="0" collapsed="false">
      <c r="A642" s="37" t="s">
        <v>602</v>
      </c>
      <c r="B642" s="37" t="s">
        <v>112</v>
      </c>
      <c r="C642" s="37" t="s">
        <v>67</v>
      </c>
      <c r="D642" s="37" t="s">
        <v>68</v>
      </c>
      <c r="E642" s="38" t="n">
        <v>199.081191008911</v>
      </c>
      <c r="F642" s="38" t="n">
        <v>40.6544214190847</v>
      </c>
      <c r="G642" s="38" t="n">
        <v>15.1226614668613</v>
      </c>
      <c r="H642" s="38" t="n">
        <v>5.90016312269727</v>
      </c>
      <c r="I642" s="38" t="n">
        <v>217.558695685963</v>
      </c>
      <c r="J642" s="38" t="n">
        <v>26.0586956859633</v>
      </c>
      <c r="K642" s="38" t="n">
        <v>106.408923008225</v>
      </c>
      <c r="L642" s="38" t="n">
        <v>66.4267908395264</v>
      </c>
      <c r="M642" s="38" t="n">
        <v>58.8329700925522</v>
      </c>
      <c r="N642" s="38" t="n">
        <v>0</v>
      </c>
    </row>
    <row r="643" customFormat="false" ht="15" hidden="false" customHeight="false" outlineLevel="0" collapsed="false">
      <c r="A643" s="37" t="s">
        <v>602</v>
      </c>
      <c r="B643" s="37" t="s">
        <v>112</v>
      </c>
      <c r="C643" s="37" t="s">
        <v>72</v>
      </c>
      <c r="D643" s="37" t="s">
        <v>73</v>
      </c>
      <c r="E643" s="38" t="n">
        <v>200.899498415729</v>
      </c>
      <c r="F643" s="38" t="n">
        <v>40.7822258765813</v>
      </c>
      <c r="G643" s="38" t="n">
        <v>15.9221667710777</v>
      </c>
      <c r="H643" s="38" t="n">
        <v>15.186911773909</v>
      </c>
      <c r="I643" s="38" t="n">
        <v>235.778840757375</v>
      </c>
      <c r="J643" s="38" t="n">
        <v>199.406856630391</v>
      </c>
      <c r="K643" s="38" t="n">
        <v>109.440652368985</v>
      </c>
      <c r="L643" s="38" t="n">
        <v>65.8294705330796</v>
      </c>
      <c r="M643" s="38" t="n">
        <v>57.9583511264411</v>
      </c>
      <c r="N643" s="38" t="n">
        <v>0</v>
      </c>
    </row>
    <row r="644" customFormat="false" ht="15" hidden="false" customHeight="false" outlineLevel="0" collapsed="false">
      <c r="A644" s="37" t="s">
        <v>602</v>
      </c>
      <c r="B644" s="37" t="s">
        <v>112</v>
      </c>
      <c r="C644" s="37" t="s">
        <v>77</v>
      </c>
      <c r="D644" s="37" t="s">
        <v>78</v>
      </c>
      <c r="E644" s="38" t="n">
        <v>245.442814152419</v>
      </c>
      <c r="F644" s="38" t="n">
        <v>51.7032407247691</v>
      </c>
      <c r="G644" s="38" t="n">
        <v>16.04015352205</v>
      </c>
      <c r="H644" s="38" t="n">
        <v>35.6819713564499</v>
      </c>
      <c r="I644" s="38" t="n">
        <v>293.63271601675</v>
      </c>
      <c r="J644" s="38" t="n">
        <v>112.412505111947</v>
      </c>
      <c r="K644" s="38" t="n">
        <v>160.483460995504</v>
      </c>
      <c r="L644" s="38" t="n">
        <v>83.425265234999</v>
      </c>
      <c r="M644" s="38" t="n">
        <v>80.3435733468959</v>
      </c>
      <c r="N644" s="38" t="n">
        <v>0</v>
      </c>
    </row>
    <row r="645" customFormat="false" ht="15" hidden="false" customHeight="false" outlineLevel="0" collapsed="false">
      <c r="A645" s="37" t="s">
        <v>602</v>
      </c>
      <c r="B645" s="37" t="s">
        <v>118</v>
      </c>
      <c r="C645" s="37" t="s">
        <v>36</v>
      </c>
      <c r="D645" s="37" t="s">
        <v>37</v>
      </c>
      <c r="E645" s="38" t="n">
        <v>228.702788594578</v>
      </c>
      <c r="F645" s="38" t="n">
        <v>39.5834348361254</v>
      </c>
      <c r="G645" s="38" t="n">
        <v>15.9058544912055</v>
      </c>
      <c r="H645" s="38" t="n">
        <v>4.11995796165717</v>
      </c>
      <c r="I645" s="38" t="n">
        <v>287.529868239455</v>
      </c>
      <c r="J645" s="38" t="n">
        <v>84.2197651820853</v>
      </c>
      <c r="K645" s="38" t="n">
        <v>132.3135348537</v>
      </c>
      <c r="L645" s="38" t="n">
        <v>73.8968828815811</v>
      </c>
      <c r="M645" s="38" t="n">
        <v>70.948199817163</v>
      </c>
      <c r="N645" s="38" t="n">
        <v>0</v>
      </c>
    </row>
    <row r="646" customFormat="false" ht="15" hidden="false" customHeight="false" outlineLevel="0" collapsed="false">
      <c r="A646" s="37" t="s">
        <v>602</v>
      </c>
      <c r="B646" s="37" t="s">
        <v>118</v>
      </c>
      <c r="C646" s="37" t="s">
        <v>41</v>
      </c>
      <c r="D646" s="37" t="s">
        <v>42</v>
      </c>
      <c r="E646" s="38" t="n">
        <v>216.425139031844</v>
      </c>
      <c r="F646" s="38" t="n">
        <v>55.7716707408916</v>
      </c>
      <c r="G646" s="38" t="n">
        <v>15.9049440135002</v>
      </c>
      <c r="H646" s="38" t="n">
        <v>4.13159462901659</v>
      </c>
      <c r="I646" s="38" t="n">
        <v>232.918660043593</v>
      </c>
      <c r="J646" s="38" t="n">
        <v>72.0535839670188</v>
      </c>
      <c r="K646" s="38" t="n">
        <v>112.949256626396</v>
      </c>
      <c r="L646" s="38" t="n">
        <v>69.2721176008758</v>
      </c>
      <c r="M646" s="38" t="n">
        <v>62.9554146657833</v>
      </c>
      <c r="N646" s="38" t="n">
        <v>0</v>
      </c>
    </row>
    <row r="647" customFormat="false" ht="15" hidden="false" customHeight="false" outlineLevel="0" collapsed="false">
      <c r="A647" s="37" t="s">
        <v>602</v>
      </c>
      <c r="B647" s="37" t="s">
        <v>118</v>
      </c>
      <c r="C647" s="37" t="s">
        <v>46</v>
      </c>
      <c r="D647" s="37" t="s">
        <v>47</v>
      </c>
      <c r="E647" s="38" t="n">
        <v>229.382357744341</v>
      </c>
      <c r="F647" s="38" t="n">
        <v>39.1994944938971</v>
      </c>
      <c r="G647" s="38" t="n">
        <v>15.9221667710777</v>
      </c>
      <c r="H647" s="38" t="n">
        <v>23.3494886150677</v>
      </c>
      <c r="I647" s="38" t="n">
        <v>262.407397191764</v>
      </c>
      <c r="J647" s="38" t="n">
        <v>69.157397191764</v>
      </c>
      <c r="K647" s="38" t="n">
        <v>142.054117296697</v>
      </c>
      <c r="L647" s="38" t="n">
        <v>77.6657971596112</v>
      </c>
      <c r="M647" s="38" t="n">
        <v>72.6144216534135</v>
      </c>
      <c r="N647" s="38" t="n">
        <v>0</v>
      </c>
    </row>
    <row r="648" customFormat="false" ht="15" hidden="false" customHeight="false" outlineLevel="0" collapsed="false">
      <c r="A648" s="37" t="s">
        <v>602</v>
      </c>
      <c r="B648" s="37" t="s">
        <v>118</v>
      </c>
      <c r="C648" s="37" t="s">
        <v>51</v>
      </c>
      <c r="D648" s="37" t="s">
        <v>51</v>
      </c>
      <c r="E648" s="38" t="n">
        <v>229.627908878926</v>
      </c>
      <c r="F648" s="38" t="n">
        <v>43.7104536177221</v>
      </c>
      <c r="G648" s="38" t="n">
        <v>15.9221667710777</v>
      </c>
      <c r="H648" s="38" t="n">
        <v>15.0139538974469</v>
      </c>
      <c r="I648" s="38" t="n">
        <v>288.187285788518</v>
      </c>
      <c r="J648" s="38" t="n">
        <v>91.5135851536409</v>
      </c>
      <c r="K648" s="38" t="n">
        <v>145.803766062262</v>
      </c>
      <c r="L648" s="38" t="n">
        <v>77.2622668277762</v>
      </c>
      <c r="M648" s="38" t="n">
        <v>74.1575369611921</v>
      </c>
      <c r="N648" s="38" t="n">
        <v>0</v>
      </c>
    </row>
    <row r="649" customFormat="false" ht="15" hidden="false" customHeight="false" outlineLevel="0" collapsed="false">
      <c r="A649" s="37" t="s">
        <v>602</v>
      </c>
      <c r="B649" s="37" t="s">
        <v>118</v>
      </c>
      <c r="C649" s="37" t="s">
        <v>55</v>
      </c>
      <c r="D649" s="37" t="s">
        <v>37</v>
      </c>
      <c r="E649" s="38" t="n">
        <v>219.617660989997</v>
      </c>
      <c r="F649" s="38" t="n">
        <v>39.291156075128</v>
      </c>
      <c r="G649" s="38" t="n">
        <v>15.9045581845875</v>
      </c>
      <c r="H649" s="38" t="n">
        <v>3.94328429515778</v>
      </c>
      <c r="I649" s="38" t="n">
        <v>294.901605755894</v>
      </c>
      <c r="J649" s="38" t="n">
        <v>94.4623494609272</v>
      </c>
      <c r="K649" s="38" t="n">
        <v>125.957022753601</v>
      </c>
      <c r="L649" s="38" t="n">
        <v>67.5013011755843</v>
      </c>
      <c r="M649" s="38" t="n">
        <v>65.7155167611823</v>
      </c>
      <c r="N649" s="38" t="n">
        <v>0</v>
      </c>
    </row>
    <row r="650" customFormat="false" ht="15" hidden="false" customHeight="false" outlineLevel="0" collapsed="false">
      <c r="A650" s="37" t="s">
        <v>602</v>
      </c>
      <c r="B650" s="37" t="s">
        <v>118</v>
      </c>
      <c r="C650" s="37" t="s">
        <v>59</v>
      </c>
      <c r="D650" s="37" t="s">
        <v>42</v>
      </c>
      <c r="E650" s="38" t="n">
        <v>211.098531440154</v>
      </c>
      <c r="F650" s="38" t="n">
        <v>57.7442274892855</v>
      </c>
      <c r="G650" s="38" t="n">
        <v>15.9036787227437</v>
      </c>
      <c r="H650" s="38" t="n">
        <v>3.92105633170336</v>
      </c>
      <c r="I650" s="38" t="n">
        <v>237.567613580855</v>
      </c>
      <c r="J650" s="38" t="n">
        <v>35.5493431366486</v>
      </c>
      <c r="K650" s="38" t="n">
        <v>107.910578331702</v>
      </c>
      <c r="L650" s="38" t="n">
        <v>61.1645749742384</v>
      </c>
      <c r="M650" s="38" t="n">
        <v>57.200365317645</v>
      </c>
      <c r="N650" s="38" t="n">
        <v>0</v>
      </c>
    </row>
    <row r="651" customFormat="false" ht="15" hidden="false" customHeight="false" outlineLevel="0" collapsed="false">
      <c r="A651" s="37" t="s">
        <v>602</v>
      </c>
      <c r="B651" s="37" t="s">
        <v>118</v>
      </c>
      <c r="C651" s="37" t="s">
        <v>63</v>
      </c>
      <c r="D651" s="37" t="s">
        <v>47</v>
      </c>
      <c r="E651" s="38" t="n">
        <v>215.344888909882</v>
      </c>
      <c r="F651" s="38" t="n">
        <v>39.5404877263456</v>
      </c>
      <c r="G651" s="38" t="n">
        <v>15.9081987609153</v>
      </c>
      <c r="H651" s="38" t="n">
        <v>22.7881179248509</v>
      </c>
      <c r="I651" s="38" t="n">
        <v>242.169136988572</v>
      </c>
      <c r="J651" s="38" t="n">
        <v>44.1988291474636</v>
      </c>
      <c r="K651" s="38" t="n">
        <v>120.478047631515</v>
      </c>
      <c r="L651" s="38" t="n">
        <v>66.4019389324871</v>
      </c>
      <c r="M651" s="38" t="n">
        <v>64.0225998737348</v>
      </c>
      <c r="N651" s="38" t="n">
        <v>0</v>
      </c>
    </row>
    <row r="652" customFormat="false" ht="15" hidden="false" customHeight="false" outlineLevel="0" collapsed="false">
      <c r="A652" s="37" t="s">
        <v>602</v>
      </c>
      <c r="B652" s="37" t="s">
        <v>118</v>
      </c>
      <c r="C652" s="37" t="s">
        <v>67</v>
      </c>
      <c r="D652" s="37" t="s">
        <v>68</v>
      </c>
      <c r="E652" s="38" t="n">
        <v>210.824792423961</v>
      </c>
      <c r="F652" s="38" t="n">
        <v>40.6961615320846</v>
      </c>
      <c r="G652" s="38" t="n">
        <v>15.1312069738694</v>
      </c>
      <c r="H652" s="38" t="n">
        <v>4.09069122026735</v>
      </c>
      <c r="I652" s="38" t="n">
        <v>245.709920462189</v>
      </c>
      <c r="J652" s="38" t="n">
        <v>54.2099204621886</v>
      </c>
      <c r="K652" s="38" t="n">
        <v>131.203829261028</v>
      </c>
      <c r="L652" s="38" t="n">
        <v>69.5846760631604</v>
      </c>
      <c r="M652" s="38" t="n">
        <v>67.1519828228321</v>
      </c>
      <c r="N652" s="38" t="n">
        <v>0</v>
      </c>
    </row>
    <row r="653" customFormat="false" ht="15" hidden="false" customHeight="false" outlineLevel="0" collapsed="false">
      <c r="A653" s="37" t="s">
        <v>602</v>
      </c>
      <c r="B653" s="37" t="s">
        <v>118</v>
      </c>
      <c r="C653" s="37" t="s">
        <v>72</v>
      </c>
      <c r="D653" s="37" t="s">
        <v>73</v>
      </c>
      <c r="E653" s="38" t="n">
        <v>205.909774625534</v>
      </c>
      <c r="F653" s="38" t="n">
        <v>40.8085150961475</v>
      </c>
      <c r="G653" s="38" t="n">
        <v>15.9221667710777</v>
      </c>
      <c r="H653" s="38" t="n">
        <v>7.19915351066677</v>
      </c>
      <c r="I653" s="38" t="n">
        <v>252.06843391688</v>
      </c>
      <c r="J653" s="38" t="n">
        <v>215.696449789896</v>
      </c>
      <c r="K653" s="38" t="n">
        <v>112.685322059893</v>
      </c>
      <c r="L653" s="38" t="n">
        <v>66.2758504832095</v>
      </c>
      <c r="M653" s="38" t="n">
        <v>60.0056171994862</v>
      </c>
      <c r="N653" s="38" t="n">
        <v>0</v>
      </c>
    </row>
    <row r="654" customFormat="false" ht="15" hidden="false" customHeight="false" outlineLevel="0" collapsed="false">
      <c r="A654" s="37" t="s">
        <v>602</v>
      </c>
      <c r="B654" s="37" t="s">
        <v>118</v>
      </c>
      <c r="C654" s="37" t="s">
        <v>77</v>
      </c>
      <c r="D654" s="37" t="s">
        <v>78</v>
      </c>
      <c r="E654" s="38" t="n">
        <v>236.90148182554</v>
      </c>
      <c r="F654" s="38" t="n">
        <v>51.601657232255</v>
      </c>
      <c r="G654" s="38" t="n">
        <v>16.0401521435287</v>
      </c>
      <c r="H654" s="38" t="n">
        <v>14.4925927492181</v>
      </c>
      <c r="I654" s="38" t="n">
        <v>277.592916585888</v>
      </c>
      <c r="J654" s="38" t="n">
        <v>96.3720715436765</v>
      </c>
      <c r="K654" s="38" t="n">
        <v>150.16475380276</v>
      </c>
      <c r="L654" s="38" t="n">
        <v>81.332917337521</v>
      </c>
      <c r="M654" s="38" t="n">
        <v>76.9404074621882</v>
      </c>
      <c r="N654" s="38" t="n">
        <v>0</v>
      </c>
    </row>
    <row r="655" customFormat="false" ht="15" hidden="false" customHeight="false" outlineLevel="0" collapsed="false">
      <c r="A655" s="37" t="s">
        <v>602</v>
      </c>
      <c r="B655" s="37" t="s">
        <v>121</v>
      </c>
      <c r="C655" s="37" t="s">
        <v>36</v>
      </c>
      <c r="D655" s="37" t="s">
        <v>37</v>
      </c>
      <c r="E655" s="38" t="n">
        <v>208.481100311156</v>
      </c>
      <c r="F655" s="38" t="n">
        <v>39.2079657728275</v>
      </c>
      <c r="G655" s="38" t="n">
        <v>15.8693883017256</v>
      </c>
      <c r="H655" s="38" t="n">
        <v>4.88725928327094</v>
      </c>
      <c r="I655" s="38" t="n">
        <v>245.206529497982</v>
      </c>
      <c r="J655" s="38" t="n">
        <v>41.8037940327546</v>
      </c>
      <c r="K655" s="38" t="n">
        <v>110.361247881081</v>
      </c>
      <c r="L655" s="38" t="n">
        <v>66.942553484174</v>
      </c>
      <c r="M655" s="38" t="n">
        <v>61.8691209691353</v>
      </c>
      <c r="N655" s="38" t="n">
        <v>0</v>
      </c>
    </row>
    <row r="656" customFormat="false" ht="15" hidden="false" customHeight="false" outlineLevel="0" collapsed="false">
      <c r="A656" s="37" t="s">
        <v>602</v>
      </c>
      <c r="B656" s="37" t="s">
        <v>121</v>
      </c>
      <c r="C656" s="37" t="s">
        <v>41</v>
      </c>
      <c r="D656" s="37" t="s">
        <v>42</v>
      </c>
      <c r="E656" s="38" t="n">
        <v>199.163551197877</v>
      </c>
      <c r="F656" s="38" t="n">
        <v>54.3524143745355</v>
      </c>
      <c r="G656" s="38" t="n">
        <v>15.8658144945922</v>
      </c>
      <c r="H656" s="38" t="n">
        <v>4.77803790085836</v>
      </c>
      <c r="I656" s="38" t="n">
        <v>213.057378997925</v>
      </c>
      <c r="J656" s="38" t="n">
        <v>24.9509023292894</v>
      </c>
      <c r="K656" s="38" t="n">
        <v>84.6957140407352</v>
      </c>
      <c r="L656" s="38" t="n">
        <v>60.4101560946216</v>
      </c>
      <c r="M656" s="38" t="n">
        <v>50.1742737373676</v>
      </c>
      <c r="N656" s="38" t="n">
        <v>0</v>
      </c>
    </row>
    <row r="657" customFormat="false" ht="15" hidden="false" customHeight="false" outlineLevel="0" collapsed="false">
      <c r="A657" s="37" t="s">
        <v>602</v>
      </c>
      <c r="B657" s="37" t="s">
        <v>121</v>
      </c>
      <c r="C657" s="37" t="s">
        <v>46</v>
      </c>
      <c r="D657" s="37" t="s">
        <v>47</v>
      </c>
      <c r="E657" s="38" t="n">
        <v>228.67163751243</v>
      </c>
      <c r="F657" s="38" t="n">
        <v>39.0377865434789</v>
      </c>
      <c r="G657" s="38" t="n">
        <v>15.8858144937776</v>
      </c>
      <c r="H657" s="38" t="n">
        <v>36.4809098596098</v>
      </c>
      <c r="I657" s="38" t="n">
        <v>269.01775552512</v>
      </c>
      <c r="J657" s="38" t="n">
        <v>75.7677555251201</v>
      </c>
      <c r="K657" s="38" t="n">
        <v>140.910608135946</v>
      </c>
      <c r="L657" s="38" t="n">
        <v>78.549895278433</v>
      </c>
      <c r="M657" s="38" t="n">
        <v>70.7074347343243</v>
      </c>
      <c r="N657" s="38" t="n">
        <v>0</v>
      </c>
    </row>
    <row r="658" customFormat="false" ht="15" hidden="false" customHeight="false" outlineLevel="0" collapsed="false">
      <c r="A658" s="37" t="s">
        <v>602</v>
      </c>
      <c r="B658" s="37" t="s">
        <v>121</v>
      </c>
      <c r="C658" s="37" t="s">
        <v>51</v>
      </c>
      <c r="D658" s="37" t="s">
        <v>51</v>
      </c>
      <c r="E658" s="38" t="n">
        <v>221.014139766992</v>
      </c>
      <c r="F658" s="38" t="n">
        <v>43.4442239499321</v>
      </c>
      <c r="G658" s="38" t="n">
        <v>15.8858144937776</v>
      </c>
      <c r="H658" s="38" t="n">
        <v>22.7425755917193</v>
      </c>
      <c r="I658" s="38" t="n">
        <v>271.383637452697</v>
      </c>
      <c r="J658" s="38" t="n">
        <v>74.7099368178202</v>
      </c>
      <c r="K658" s="38" t="n">
        <v>137.536020370679</v>
      </c>
      <c r="L658" s="38" t="n">
        <v>75.4441743977406</v>
      </c>
      <c r="M658" s="38" t="n">
        <v>69.8861186412923</v>
      </c>
      <c r="N658" s="38" t="n">
        <v>0</v>
      </c>
    </row>
    <row r="659" customFormat="false" ht="15" hidden="false" customHeight="false" outlineLevel="0" collapsed="false">
      <c r="A659" s="37" t="s">
        <v>602</v>
      </c>
      <c r="B659" s="37" t="s">
        <v>121</v>
      </c>
      <c r="C659" s="37" t="s">
        <v>55</v>
      </c>
      <c r="D659" s="37" t="s">
        <v>37</v>
      </c>
      <c r="E659" s="38" t="n">
        <v>200.234101650625</v>
      </c>
      <c r="F659" s="38" t="n">
        <v>38.9148300908656</v>
      </c>
      <c r="G659" s="38" t="n">
        <v>15.8677242647104</v>
      </c>
      <c r="H659" s="38" t="n">
        <v>4.65397394027493</v>
      </c>
      <c r="I659" s="38" t="n">
        <v>252.574061112105</v>
      </c>
      <c r="J659" s="38" t="n">
        <v>51.7912092896845</v>
      </c>
      <c r="K659" s="38" t="n">
        <v>104.126481893975</v>
      </c>
      <c r="L659" s="38" t="n">
        <v>60.7480773007259</v>
      </c>
      <c r="M659" s="38" t="n">
        <v>56.3271139015255</v>
      </c>
      <c r="N659" s="38" t="n">
        <v>0</v>
      </c>
    </row>
    <row r="660" customFormat="false" ht="15" hidden="false" customHeight="false" outlineLevel="0" collapsed="false">
      <c r="A660" s="37" t="s">
        <v>602</v>
      </c>
      <c r="B660" s="37" t="s">
        <v>121</v>
      </c>
      <c r="C660" s="37" t="s">
        <v>59</v>
      </c>
      <c r="D660" s="37" t="s">
        <v>42</v>
      </c>
      <c r="E660" s="38" t="n">
        <v>190.24978527724</v>
      </c>
      <c r="F660" s="38" t="n">
        <v>51.6464853311989</v>
      </c>
      <c r="G660" s="38" t="n">
        <v>15.8520183335148</v>
      </c>
      <c r="H660" s="38" t="n">
        <v>4.58873400190192</v>
      </c>
      <c r="I660" s="38" t="n">
        <v>209.873148861843</v>
      </c>
      <c r="J660" s="38" t="n">
        <v>11.2561983638841</v>
      </c>
      <c r="K660" s="38" t="n">
        <v>73.9421385811863</v>
      </c>
      <c r="L660" s="38" t="n">
        <v>52.0114669954813</v>
      </c>
      <c r="M660" s="38" t="n">
        <v>42.8393998257136</v>
      </c>
      <c r="N660" s="38" t="n">
        <v>0</v>
      </c>
    </row>
    <row r="661" customFormat="false" ht="15" hidden="false" customHeight="false" outlineLevel="0" collapsed="false">
      <c r="A661" s="37" t="s">
        <v>602</v>
      </c>
      <c r="B661" s="37" t="s">
        <v>121</v>
      </c>
      <c r="C661" s="37" t="s">
        <v>63</v>
      </c>
      <c r="D661" s="37" t="s">
        <v>47</v>
      </c>
      <c r="E661" s="38" t="n">
        <v>215.139816028078</v>
      </c>
      <c r="F661" s="38" t="n">
        <v>39.3770765460168</v>
      </c>
      <c r="G661" s="38" t="n">
        <v>15.8716906823402</v>
      </c>
      <c r="H661" s="38" t="n">
        <v>35.9859454421551</v>
      </c>
      <c r="I661" s="38" t="n">
        <v>249.864744745626</v>
      </c>
      <c r="J661" s="38" t="n">
        <v>51.7755598356274</v>
      </c>
      <c r="K661" s="38" t="n">
        <v>119.53931414637</v>
      </c>
      <c r="L661" s="38" t="n">
        <v>67.4183067995029</v>
      </c>
      <c r="M661" s="38" t="n">
        <v>62.78552428391</v>
      </c>
      <c r="N661" s="38" t="n">
        <v>0</v>
      </c>
    </row>
    <row r="662" customFormat="false" ht="15" hidden="false" customHeight="false" outlineLevel="0" collapsed="false">
      <c r="A662" s="37" t="s">
        <v>602</v>
      </c>
      <c r="B662" s="37" t="s">
        <v>121</v>
      </c>
      <c r="C662" s="37" t="s">
        <v>67</v>
      </c>
      <c r="D662" s="37" t="s">
        <v>68</v>
      </c>
      <c r="E662" s="38" t="n">
        <v>194.740393815941</v>
      </c>
      <c r="F662" s="38" t="n">
        <v>40.3065450847787</v>
      </c>
      <c r="G662" s="38" t="n">
        <v>15.086650380996</v>
      </c>
      <c r="H662" s="38" t="n">
        <v>4.84400508234978</v>
      </c>
      <c r="I662" s="38" t="n">
        <v>209.768769777209</v>
      </c>
      <c r="J662" s="38" t="n">
        <v>28.2687697772087</v>
      </c>
      <c r="K662" s="38" t="n">
        <v>101.213174818428</v>
      </c>
      <c r="L662" s="38" t="n">
        <v>62.6507167128187</v>
      </c>
      <c r="M662" s="38" t="n">
        <v>56.347616387815</v>
      </c>
      <c r="N662" s="38" t="n">
        <v>0</v>
      </c>
    </row>
    <row r="663" customFormat="false" ht="15" hidden="false" customHeight="false" outlineLevel="0" collapsed="false">
      <c r="A663" s="37" t="s">
        <v>602</v>
      </c>
      <c r="B663" s="37" t="s">
        <v>121</v>
      </c>
      <c r="C663" s="37" t="s">
        <v>72</v>
      </c>
      <c r="D663" s="37" t="s">
        <v>73</v>
      </c>
      <c r="E663" s="38" t="n">
        <v>192.53262003976</v>
      </c>
      <c r="F663" s="38" t="n">
        <v>40.4353692439415</v>
      </c>
      <c r="G663" s="38" t="n">
        <v>15.8858144937776</v>
      </c>
      <c r="H663" s="38" t="n">
        <v>9.90557949042705</v>
      </c>
      <c r="I663" s="38" t="n">
        <v>219.763092008287</v>
      </c>
      <c r="J663" s="38" t="n">
        <v>183.391107881303</v>
      </c>
      <c r="K663" s="38" t="n">
        <v>96.6938750430882</v>
      </c>
      <c r="L663" s="38" t="n">
        <v>63.4831043753032</v>
      </c>
      <c r="M663" s="38" t="n">
        <v>52.8809919535156</v>
      </c>
      <c r="N663" s="38" t="n">
        <v>0</v>
      </c>
    </row>
    <row r="664" customFormat="false" ht="15" hidden="false" customHeight="false" outlineLevel="0" collapsed="false">
      <c r="A664" s="37" t="s">
        <v>602</v>
      </c>
      <c r="B664" s="37" t="s">
        <v>121</v>
      </c>
      <c r="C664" s="37" t="s">
        <v>77</v>
      </c>
      <c r="D664" s="37" t="s">
        <v>78</v>
      </c>
      <c r="E664" s="38" t="n">
        <v>228.084878814552</v>
      </c>
      <c r="F664" s="38" t="n">
        <v>51.2970359334163</v>
      </c>
      <c r="G664" s="38" t="n">
        <v>16.0036131186398</v>
      </c>
      <c r="H664" s="38" t="n">
        <v>21.6998924272503</v>
      </c>
      <c r="I664" s="38" t="n">
        <v>258.998107882396</v>
      </c>
      <c r="J664" s="38" t="n">
        <v>77.7747261887373</v>
      </c>
      <c r="K664" s="38" t="n">
        <v>142.200904939915</v>
      </c>
      <c r="L664" s="38" t="n">
        <v>78.928816450108</v>
      </c>
      <c r="M664" s="38" t="n">
        <v>73.6154789202996</v>
      </c>
      <c r="N664" s="38" t="n">
        <v>0</v>
      </c>
    </row>
    <row r="665" customFormat="false" ht="15" hidden="false" customHeight="false" outlineLevel="0" collapsed="false">
      <c r="A665" s="37" t="s">
        <v>603</v>
      </c>
      <c r="B665" s="37" t="s">
        <v>97</v>
      </c>
      <c r="C665" s="37" t="s">
        <v>36</v>
      </c>
      <c r="D665" s="37" t="s">
        <v>37</v>
      </c>
      <c r="E665" s="38" t="n">
        <v>212.990735343534</v>
      </c>
      <c r="F665" s="38" t="n">
        <v>39.5356977407705</v>
      </c>
      <c r="G665" s="38" t="n">
        <v>16.6483665855258</v>
      </c>
      <c r="H665" s="38" t="n">
        <v>5.03770740845352</v>
      </c>
      <c r="I665" s="38" t="n">
        <v>251.693128699274</v>
      </c>
      <c r="J665" s="38" t="n">
        <v>48.3935384332515</v>
      </c>
      <c r="K665" s="38" t="n">
        <v>115.305023665069</v>
      </c>
      <c r="L665" s="38" t="n">
        <v>69.6398569107971</v>
      </c>
      <c r="M665" s="38" t="n">
        <v>64.0753037957521</v>
      </c>
      <c r="N665" s="38" t="n">
        <v>0</v>
      </c>
    </row>
    <row r="666" customFormat="false" ht="15" hidden="false" customHeight="false" outlineLevel="0" collapsed="false">
      <c r="A666" s="37" t="s">
        <v>603</v>
      </c>
      <c r="B666" s="37" t="s">
        <v>97</v>
      </c>
      <c r="C666" s="37" t="s">
        <v>41</v>
      </c>
      <c r="D666" s="37" t="s">
        <v>42</v>
      </c>
      <c r="E666" s="38" t="n">
        <v>198.199466568839</v>
      </c>
      <c r="F666" s="38" t="n">
        <v>50.0877465119489</v>
      </c>
      <c r="G666" s="38" t="n">
        <v>16.6312115634208</v>
      </c>
      <c r="H666" s="38" t="n">
        <v>4.92022077990226</v>
      </c>
      <c r="I666" s="38" t="n">
        <v>201.702673059852</v>
      </c>
      <c r="J666" s="38" t="n">
        <v>24.9453457056134</v>
      </c>
      <c r="K666" s="38" t="n">
        <v>81.0007501020508</v>
      </c>
      <c r="L666" s="38" t="n">
        <v>58.9863642593566</v>
      </c>
      <c r="M666" s="38" t="n">
        <v>48.8946316517228</v>
      </c>
      <c r="N666" s="38" t="n">
        <v>0</v>
      </c>
    </row>
    <row r="667" customFormat="false" ht="15" hidden="false" customHeight="false" outlineLevel="0" collapsed="false">
      <c r="A667" s="37" t="s">
        <v>603</v>
      </c>
      <c r="B667" s="37" t="s">
        <v>97</v>
      </c>
      <c r="C667" s="37" t="s">
        <v>46</v>
      </c>
      <c r="D667" s="37" t="s">
        <v>47</v>
      </c>
      <c r="E667" s="38" t="n">
        <v>235.336589820054</v>
      </c>
      <c r="F667" s="38" t="n">
        <v>39.3637602888645</v>
      </c>
      <c r="G667" s="38" t="n">
        <v>16.6653508788723</v>
      </c>
      <c r="H667" s="38" t="n">
        <v>39.2538560628545</v>
      </c>
      <c r="I667" s="38" t="n">
        <v>279.520296432826</v>
      </c>
      <c r="J667" s="38" t="n">
        <v>86.2702964328263</v>
      </c>
      <c r="K667" s="38" t="n">
        <v>147.569335297336</v>
      </c>
      <c r="L667" s="38" t="n">
        <v>80.7319379694362</v>
      </c>
      <c r="M667" s="38" t="n">
        <v>73.3812813524329</v>
      </c>
      <c r="N667" s="38" t="n">
        <v>0</v>
      </c>
    </row>
    <row r="668" customFormat="false" ht="15" hidden="false" customHeight="false" outlineLevel="0" collapsed="false">
      <c r="A668" s="37" t="s">
        <v>603</v>
      </c>
      <c r="B668" s="37" t="s">
        <v>97</v>
      </c>
      <c r="C668" s="37" t="s">
        <v>51</v>
      </c>
      <c r="D668" s="37" t="s">
        <v>51</v>
      </c>
      <c r="E668" s="38" t="n">
        <v>226.850255506378</v>
      </c>
      <c r="F668" s="38" t="n">
        <v>43.7858642389939</v>
      </c>
      <c r="G668" s="38" t="n">
        <v>16.6653508788723</v>
      </c>
      <c r="H668" s="38" t="n">
        <v>24.6229816723716</v>
      </c>
      <c r="I668" s="38" t="n">
        <v>274.89118009209</v>
      </c>
      <c r="J668" s="38" t="n">
        <v>78.2174794572124</v>
      </c>
      <c r="K668" s="38" t="n">
        <v>142.809676972729</v>
      </c>
      <c r="L668" s="38" t="n">
        <v>76.9731394978275</v>
      </c>
      <c r="M668" s="38" t="n">
        <v>72.2369025376434</v>
      </c>
      <c r="N668" s="38" t="n">
        <v>0</v>
      </c>
    </row>
    <row r="669" customFormat="false" ht="15" hidden="false" customHeight="false" outlineLevel="0" collapsed="false">
      <c r="A669" s="37" t="s">
        <v>603</v>
      </c>
      <c r="B669" s="37" t="s">
        <v>97</v>
      </c>
      <c r="C669" s="37" t="s">
        <v>55</v>
      </c>
      <c r="D669" s="37" t="s">
        <v>37</v>
      </c>
      <c r="E669" s="38" t="n">
        <v>204.522974721617</v>
      </c>
      <c r="F669" s="38" t="n">
        <v>39.2402185577246</v>
      </c>
      <c r="G669" s="38" t="n">
        <v>16.6466302111193</v>
      </c>
      <c r="H669" s="38" t="n">
        <v>4.78960818182069</v>
      </c>
      <c r="I669" s="38" t="n">
        <v>258.866150882679</v>
      </c>
      <c r="J669" s="38" t="n">
        <v>58.1866185614337</v>
      </c>
      <c r="K669" s="38" t="n">
        <v>109.001087961431</v>
      </c>
      <c r="L669" s="38" t="n">
        <v>62.073949887765</v>
      </c>
      <c r="M669" s="38" t="n">
        <v>58.504684744818</v>
      </c>
      <c r="N669" s="38" t="n">
        <v>0</v>
      </c>
    </row>
    <row r="670" customFormat="false" ht="15" hidden="false" customHeight="false" outlineLevel="0" collapsed="false">
      <c r="A670" s="37" t="s">
        <v>603</v>
      </c>
      <c r="B670" s="37" t="s">
        <v>97</v>
      </c>
      <c r="C670" s="37" t="s">
        <v>59</v>
      </c>
      <c r="D670" s="37" t="s">
        <v>42</v>
      </c>
      <c r="E670" s="38" t="n">
        <v>193.921090124087</v>
      </c>
      <c r="F670" s="38" t="n">
        <v>51.9697943016865</v>
      </c>
      <c r="G670" s="38" t="n">
        <v>16.6300855976395</v>
      </c>
      <c r="H670" s="38" t="n">
        <v>4.71774603816191</v>
      </c>
      <c r="I670" s="38" t="n">
        <v>198.907645754931</v>
      </c>
      <c r="J670" s="38" t="n">
        <v>0.290879563005071</v>
      </c>
      <c r="K670" s="38" t="n">
        <v>74.2314957847</v>
      </c>
      <c r="L670" s="38" t="n">
        <v>52.0158832814919</v>
      </c>
      <c r="M670" s="38" t="n">
        <v>43.0817016669588</v>
      </c>
      <c r="N670" s="38" t="n">
        <v>0</v>
      </c>
    </row>
    <row r="671" customFormat="false" ht="15" hidden="false" customHeight="false" outlineLevel="0" collapsed="false">
      <c r="A671" s="37" t="s">
        <v>603</v>
      </c>
      <c r="B671" s="37" t="s">
        <v>97</v>
      </c>
      <c r="C671" s="37" t="s">
        <v>63</v>
      </c>
      <c r="D671" s="37" t="s">
        <v>47</v>
      </c>
      <c r="E671" s="38" t="n">
        <v>221.593443838756</v>
      </c>
      <c r="F671" s="38" t="n">
        <v>39.7060288872351</v>
      </c>
      <c r="G671" s="38" t="n">
        <v>16.6507865302177</v>
      </c>
      <c r="H671" s="38" t="n">
        <v>38.7510974202793</v>
      </c>
      <c r="I671" s="38" t="n">
        <v>260.065256203536</v>
      </c>
      <c r="J671" s="38" t="n">
        <v>62.090348057158</v>
      </c>
      <c r="K671" s="38" t="n">
        <v>126.366338834794</v>
      </c>
      <c r="L671" s="38" t="n">
        <v>69.5140850303231</v>
      </c>
      <c r="M671" s="38" t="n">
        <v>65.7162588264272</v>
      </c>
      <c r="N671" s="38" t="n">
        <v>0</v>
      </c>
    </row>
    <row r="672" customFormat="false" ht="15" hidden="false" customHeight="false" outlineLevel="0" collapsed="false">
      <c r="A672" s="37" t="s">
        <v>603</v>
      </c>
      <c r="B672" s="37" t="s">
        <v>97</v>
      </c>
      <c r="C672" s="37" t="s">
        <v>67</v>
      </c>
      <c r="D672" s="37" t="s">
        <v>68</v>
      </c>
      <c r="E672" s="38" t="n">
        <v>199.982085013288</v>
      </c>
      <c r="F672" s="38" t="n">
        <v>40.6361741093851</v>
      </c>
      <c r="G672" s="38" t="n">
        <v>16.702098080832</v>
      </c>
      <c r="H672" s="38" t="n">
        <v>4.99119857494195</v>
      </c>
      <c r="I672" s="38" t="n">
        <v>217.182906584533</v>
      </c>
      <c r="J672" s="38" t="n">
        <v>35.6829065845326</v>
      </c>
      <c r="K672" s="38" t="n">
        <v>118.029837684392</v>
      </c>
      <c r="L672" s="38" t="n">
        <v>64.3871645020834</v>
      </c>
      <c r="M672" s="38" t="n">
        <v>61.7159516208958</v>
      </c>
      <c r="N672" s="38" t="n">
        <v>0</v>
      </c>
    </row>
    <row r="673" customFormat="false" ht="15" hidden="false" customHeight="false" outlineLevel="0" collapsed="false">
      <c r="A673" s="37" t="s">
        <v>603</v>
      </c>
      <c r="B673" s="37" t="s">
        <v>97</v>
      </c>
      <c r="C673" s="37" t="s">
        <v>72</v>
      </c>
      <c r="D673" s="37" t="s">
        <v>73</v>
      </c>
      <c r="E673" s="38" t="n">
        <v>196.995452074374</v>
      </c>
      <c r="F673" s="38" t="n">
        <v>40.7676517595439</v>
      </c>
      <c r="G673" s="38" t="n">
        <v>16.6653508788723</v>
      </c>
      <c r="H673" s="38" t="n">
        <v>10.6457555394483</v>
      </c>
      <c r="I673" s="38" t="n">
        <v>225.08829857358</v>
      </c>
      <c r="J673" s="38" t="n">
        <v>188.716314446596</v>
      </c>
      <c r="K673" s="38" t="n">
        <v>102.020032496304</v>
      </c>
      <c r="L673" s="38" t="n">
        <v>64.6630746278514</v>
      </c>
      <c r="M673" s="38" t="n">
        <v>55.2449179265379</v>
      </c>
      <c r="N673" s="38" t="n">
        <v>0</v>
      </c>
    </row>
    <row r="674" customFormat="false" ht="15" hidden="false" customHeight="false" outlineLevel="0" collapsed="false">
      <c r="A674" s="37" t="s">
        <v>603</v>
      </c>
      <c r="B674" s="37" t="s">
        <v>97</v>
      </c>
      <c r="C674" s="37" t="s">
        <v>77</v>
      </c>
      <c r="D674" s="37" t="s">
        <v>78</v>
      </c>
      <c r="E674" s="38" t="n">
        <v>234.074717105277</v>
      </c>
      <c r="F674" s="38" t="n">
        <v>51.6461894938492</v>
      </c>
      <c r="G674" s="38" t="n">
        <v>16.9528524027794</v>
      </c>
      <c r="H674" s="38" t="n">
        <v>23.6310096401959</v>
      </c>
      <c r="I674" s="38" t="n">
        <v>264.018043716788</v>
      </c>
      <c r="J674" s="38" t="n">
        <v>82.7973751286857</v>
      </c>
      <c r="K674" s="38" t="n">
        <v>148.930562850595</v>
      </c>
      <c r="L674" s="38" t="n">
        <v>80.6100050773678</v>
      </c>
      <c r="M674" s="38" t="n">
        <v>76.24645720768</v>
      </c>
      <c r="N674" s="38" t="n">
        <v>0</v>
      </c>
    </row>
    <row r="675" customFormat="false" ht="15" hidden="false" customHeight="false" outlineLevel="0" collapsed="false">
      <c r="A675" s="37" t="s">
        <v>603</v>
      </c>
      <c r="B675" s="37" t="s">
        <v>100</v>
      </c>
      <c r="C675" s="37" t="s">
        <v>36</v>
      </c>
      <c r="D675" s="37" t="s">
        <v>37</v>
      </c>
      <c r="E675" s="38" t="n">
        <v>203.580587773934</v>
      </c>
      <c r="F675" s="38" t="n">
        <v>39.518482616606</v>
      </c>
      <c r="G675" s="38" t="n">
        <v>16.64811196277</v>
      </c>
      <c r="H675" s="38" t="n">
        <v>5.01869644449263</v>
      </c>
      <c r="I675" s="38" t="n">
        <v>231.306730822421</v>
      </c>
      <c r="J675" s="38" t="n">
        <v>39.091448771414</v>
      </c>
      <c r="K675" s="38" t="n">
        <v>104.630258257661</v>
      </c>
      <c r="L675" s="38" t="n">
        <v>63.3734228769949</v>
      </c>
      <c r="M675" s="38" t="n">
        <v>59.4059834163899</v>
      </c>
      <c r="N675" s="38" t="n">
        <v>0</v>
      </c>
    </row>
    <row r="676" customFormat="false" ht="15" hidden="false" customHeight="false" outlineLevel="0" collapsed="false">
      <c r="A676" s="37" t="s">
        <v>603</v>
      </c>
      <c r="B676" s="37" t="s">
        <v>100</v>
      </c>
      <c r="C676" s="37" t="s">
        <v>41</v>
      </c>
      <c r="D676" s="37" t="s">
        <v>42</v>
      </c>
      <c r="E676" s="38" t="n">
        <v>190.72382050555</v>
      </c>
      <c r="F676" s="38" t="n">
        <v>50.0598916962523</v>
      </c>
      <c r="G676" s="38" t="n">
        <v>16.6311697955884</v>
      </c>
      <c r="H676" s="38" t="n">
        <v>4.91105759022253</v>
      </c>
      <c r="I676" s="38" t="n">
        <v>183.531723598927</v>
      </c>
      <c r="J676" s="38" t="n">
        <v>15.7377062567302</v>
      </c>
      <c r="K676" s="38" t="n">
        <v>71.0839768112938</v>
      </c>
      <c r="L676" s="38" t="n">
        <v>56.6754629534931</v>
      </c>
      <c r="M676" s="38" t="n">
        <v>44.6433592245447</v>
      </c>
      <c r="N676" s="38" t="n">
        <v>0</v>
      </c>
    </row>
    <row r="677" customFormat="false" ht="15" hidden="false" customHeight="false" outlineLevel="0" collapsed="false">
      <c r="A677" s="37" t="s">
        <v>603</v>
      </c>
      <c r="B677" s="37" t="s">
        <v>100</v>
      </c>
      <c r="C677" s="37" t="s">
        <v>46</v>
      </c>
      <c r="D677" s="37" t="s">
        <v>47</v>
      </c>
      <c r="E677" s="38" t="n">
        <v>228.511793268058</v>
      </c>
      <c r="F677" s="38" t="n">
        <v>39.3484249303535</v>
      </c>
      <c r="G677" s="38" t="n">
        <v>16.6653508788723</v>
      </c>
      <c r="H677" s="38" t="n">
        <v>39.2538560628545</v>
      </c>
      <c r="I677" s="38" t="n">
        <v>264.813075968853</v>
      </c>
      <c r="J677" s="38" t="n">
        <v>71.5630759688528</v>
      </c>
      <c r="K677" s="38" t="n">
        <v>141.598037811589</v>
      </c>
      <c r="L677" s="38" t="n">
        <v>78.7786927289128</v>
      </c>
      <c r="M677" s="38" t="n">
        <v>70.7253312174706</v>
      </c>
      <c r="N677" s="38" t="n">
        <v>0</v>
      </c>
    </row>
    <row r="678" customFormat="false" ht="15" hidden="false" customHeight="false" outlineLevel="0" collapsed="false">
      <c r="A678" s="37" t="s">
        <v>603</v>
      </c>
      <c r="B678" s="37" t="s">
        <v>100</v>
      </c>
      <c r="C678" s="37" t="s">
        <v>51</v>
      </c>
      <c r="D678" s="37" t="s">
        <v>51</v>
      </c>
      <c r="E678" s="38" t="n">
        <v>219.111925319684</v>
      </c>
      <c r="F678" s="38" t="n">
        <v>43.7616292755943</v>
      </c>
      <c r="G678" s="38" t="n">
        <v>16.6653508788723</v>
      </c>
      <c r="H678" s="38" t="n">
        <v>24.6229816723716</v>
      </c>
      <c r="I678" s="38" t="n">
        <v>257.290886306747</v>
      </c>
      <c r="J678" s="38" t="n">
        <v>60.6171856718702</v>
      </c>
      <c r="K678" s="38" t="n">
        <v>135.613694383304</v>
      </c>
      <c r="L678" s="38" t="n">
        <v>74.9077151017508</v>
      </c>
      <c r="M678" s="38" t="n">
        <v>69.0081995004959</v>
      </c>
      <c r="N678" s="38" t="n">
        <v>0</v>
      </c>
    </row>
    <row r="679" customFormat="false" ht="15" hidden="false" customHeight="false" outlineLevel="0" collapsed="false">
      <c r="A679" s="37" t="s">
        <v>603</v>
      </c>
      <c r="B679" s="37" t="s">
        <v>100</v>
      </c>
      <c r="C679" s="37" t="s">
        <v>55</v>
      </c>
      <c r="D679" s="37" t="s">
        <v>37</v>
      </c>
      <c r="E679" s="38" t="n">
        <v>195.506747609166</v>
      </c>
      <c r="F679" s="38" t="n">
        <v>39.2223521475193</v>
      </c>
      <c r="G679" s="38" t="n">
        <v>16.6463569595701</v>
      </c>
      <c r="H679" s="38" t="n">
        <v>4.78960818182069</v>
      </c>
      <c r="I679" s="38" t="n">
        <v>237.785778276772</v>
      </c>
      <c r="J679" s="38" t="n">
        <v>36.9284230575875</v>
      </c>
      <c r="K679" s="38" t="n">
        <v>96.4233734902155</v>
      </c>
      <c r="L679" s="38" t="n">
        <v>59.5570362226695</v>
      </c>
      <c r="M679" s="38" t="n">
        <v>53.5592486954953</v>
      </c>
      <c r="N679" s="38" t="n">
        <v>0</v>
      </c>
    </row>
    <row r="680" customFormat="false" ht="15" hidden="false" customHeight="false" outlineLevel="0" collapsed="false">
      <c r="A680" s="37" t="s">
        <v>603</v>
      </c>
      <c r="B680" s="37" t="s">
        <v>100</v>
      </c>
      <c r="C680" s="37" t="s">
        <v>59</v>
      </c>
      <c r="D680" s="37" t="s">
        <v>42</v>
      </c>
      <c r="E680" s="38" t="n">
        <v>186.778763744874</v>
      </c>
      <c r="F680" s="38" t="n">
        <v>51.9384280517111</v>
      </c>
      <c r="G680" s="38" t="n">
        <v>16.630084260493</v>
      </c>
      <c r="H680" s="38" t="n">
        <v>4.71774603816191</v>
      </c>
      <c r="I680" s="38" t="n">
        <v>180.60830575811</v>
      </c>
      <c r="J680" s="38" t="n">
        <v>-18.0084921474597</v>
      </c>
      <c r="K680" s="38" t="n">
        <v>63.2613376905017</v>
      </c>
      <c r="L680" s="38" t="n">
        <v>50.0322307602957</v>
      </c>
      <c r="M680" s="38" t="n">
        <v>39.0287316939112</v>
      </c>
      <c r="N680" s="38" t="n">
        <v>0</v>
      </c>
    </row>
    <row r="681" customFormat="false" ht="15" hidden="false" customHeight="false" outlineLevel="0" collapsed="false">
      <c r="A681" s="37" t="s">
        <v>603</v>
      </c>
      <c r="B681" s="37" t="s">
        <v>100</v>
      </c>
      <c r="C681" s="37" t="s">
        <v>63</v>
      </c>
      <c r="D681" s="37" t="s">
        <v>47</v>
      </c>
      <c r="E681" s="38" t="n">
        <v>214.97291838423</v>
      </c>
      <c r="F681" s="38" t="n">
        <v>39.6881852177915</v>
      </c>
      <c r="G681" s="38" t="n">
        <v>16.6506081080274</v>
      </c>
      <c r="H681" s="38" t="n">
        <v>38.7510974202793</v>
      </c>
      <c r="I681" s="38" t="n">
        <v>245.200897282206</v>
      </c>
      <c r="J681" s="38" t="n">
        <v>47.1098916923356</v>
      </c>
      <c r="K681" s="38" t="n">
        <v>120.04874750607</v>
      </c>
      <c r="L681" s="38" t="n">
        <v>67.6556040825545</v>
      </c>
      <c r="M681" s="38" t="n">
        <v>62.8620659305509</v>
      </c>
      <c r="N681" s="38" t="n">
        <v>0</v>
      </c>
    </row>
    <row r="682" customFormat="false" ht="15" hidden="false" customHeight="false" outlineLevel="0" collapsed="false">
      <c r="A682" s="37" t="s">
        <v>603</v>
      </c>
      <c r="B682" s="37" t="s">
        <v>100</v>
      </c>
      <c r="C682" s="37" t="s">
        <v>67</v>
      </c>
      <c r="D682" s="37" t="s">
        <v>68</v>
      </c>
      <c r="E682" s="38" t="n">
        <v>192.05592064406</v>
      </c>
      <c r="F682" s="38" t="n">
        <v>40.6200373036794</v>
      </c>
      <c r="G682" s="38" t="n">
        <v>16.6952803852594</v>
      </c>
      <c r="H682" s="38" t="n">
        <v>4.98727370453473</v>
      </c>
      <c r="I682" s="38" t="n">
        <v>198.247745471761</v>
      </c>
      <c r="J682" s="38" t="n">
        <v>24.9603448084496</v>
      </c>
      <c r="K682" s="38" t="n">
        <v>99.5146860133379</v>
      </c>
      <c r="L682" s="38" t="n">
        <v>62.4005306037054</v>
      </c>
      <c r="M682" s="38" t="n">
        <v>54.9895400171706</v>
      </c>
      <c r="N682" s="38" t="n">
        <v>0</v>
      </c>
    </row>
    <row r="683" customFormat="false" ht="15" hidden="false" customHeight="false" outlineLevel="0" collapsed="false">
      <c r="A683" s="37" t="s">
        <v>603</v>
      </c>
      <c r="B683" s="37" t="s">
        <v>100</v>
      </c>
      <c r="C683" s="37" t="s">
        <v>72</v>
      </c>
      <c r="D683" s="37" t="s">
        <v>73</v>
      </c>
      <c r="E683" s="38" t="n">
        <v>189.465450844833</v>
      </c>
      <c r="F683" s="38" t="n">
        <v>40.7485251292101</v>
      </c>
      <c r="G683" s="38" t="n">
        <v>16.6653508788723</v>
      </c>
      <c r="H683" s="38" t="n">
        <v>10.6457555394483</v>
      </c>
      <c r="I683" s="38" t="n">
        <v>206.514232705801</v>
      </c>
      <c r="J683" s="38" t="n">
        <v>170.142248578817</v>
      </c>
      <c r="K683" s="38" t="n">
        <v>93.3484490334616</v>
      </c>
      <c r="L683" s="38" t="n">
        <v>63.0888560614742</v>
      </c>
      <c r="M683" s="38" t="n">
        <v>51.54238276804</v>
      </c>
      <c r="N683" s="38" t="n">
        <v>0</v>
      </c>
    </row>
    <row r="684" customFormat="false" ht="15" hidden="false" customHeight="false" outlineLevel="0" collapsed="false">
      <c r="A684" s="37" t="s">
        <v>603</v>
      </c>
      <c r="B684" s="37" t="s">
        <v>100</v>
      </c>
      <c r="C684" s="37" t="s">
        <v>77</v>
      </c>
      <c r="D684" s="37" t="s">
        <v>78</v>
      </c>
      <c r="E684" s="38" t="n">
        <v>226.460684695639</v>
      </c>
      <c r="F684" s="38" t="n">
        <v>51.6231773102411</v>
      </c>
      <c r="G684" s="38" t="n">
        <v>16.9528516439347</v>
      </c>
      <c r="H684" s="38" t="n">
        <v>23.6310096401959</v>
      </c>
      <c r="I684" s="38" t="n">
        <v>246.957533585994</v>
      </c>
      <c r="J684" s="38" t="n">
        <v>65.7365313370612</v>
      </c>
      <c r="K684" s="38" t="n">
        <v>142.083052256936</v>
      </c>
      <c r="L684" s="38" t="n">
        <v>78.4629487882981</v>
      </c>
      <c r="M684" s="38" t="n">
        <v>73.2426397796496</v>
      </c>
      <c r="N684" s="38" t="n">
        <v>0</v>
      </c>
    </row>
    <row r="685" customFormat="false" ht="15" hidden="false" customHeight="false" outlineLevel="0" collapsed="false">
      <c r="A685" s="37" t="s">
        <v>603</v>
      </c>
      <c r="B685" s="37" t="s">
        <v>106</v>
      </c>
      <c r="C685" s="37" t="s">
        <v>36</v>
      </c>
      <c r="D685" s="37" t="s">
        <v>37</v>
      </c>
      <c r="E685" s="38" t="n">
        <v>213.982163138935</v>
      </c>
      <c r="F685" s="38" t="n">
        <v>40.5225894467207</v>
      </c>
      <c r="G685" s="38" t="n">
        <v>16.6483775612052</v>
      </c>
      <c r="H685" s="38" t="n">
        <v>5.03770740845352</v>
      </c>
      <c r="I685" s="38" t="n">
        <v>253.004709596789</v>
      </c>
      <c r="J685" s="38" t="n">
        <v>49.7122615562482</v>
      </c>
      <c r="K685" s="38" t="n">
        <v>116.820393721343</v>
      </c>
      <c r="L685" s="38" t="n">
        <v>69.9893021157663</v>
      </c>
      <c r="M685" s="38" t="n">
        <v>64.6736071004942</v>
      </c>
      <c r="N685" s="38" t="n">
        <v>0</v>
      </c>
    </row>
    <row r="686" customFormat="false" ht="15" hidden="false" customHeight="false" outlineLevel="0" collapsed="false">
      <c r="A686" s="37" t="s">
        <v>603</v>
      </c>
      <c r="B686" s="37" t="s">
        <v>106</v>
      </c>
      <c r="C686" s="37" t="s">
        <v>41</v>
      </c>
      <c r="D686" s="37" t="s">
        <v>42</v>
      </c>
      <c r="E686" s="38" t="n">
        <v>200.073029279421</v>
      </c>
      <c r="F686" s="38" t="n">
        <v>51.928631430685</v>
      </c>
      <c r="G686" s="38" t="n">
        <v>16.631300536371</v>
      </c>
      <c r="H686" s="38" t="n">
        <v>4.922088048386</v>
      </c>
      <c r="I686" s="38" t="n">
        <v>203.990349704692</v>
      </c>
      <c r="J686" s="38" t="n">
        <v>24.9578416897884</v>
      </c>
      <c r="K686" s="38" t="n">
        <v>84.1211911645625</v>
      </c>
      <c r="L686" s="38" t="n">
        <v>59.7392369484385</v>
      </c>
      <c r="M686" s="38" t="n">
        <v>50.2192532084477</v>
      </c>
      <c r="N686" s="38" t="n">
        <v>0</v>
      </c>
    </row>
    <row r="687" customFormat="false" ht="15" hidden="false" customHeight="false" outlineLevel="0" collapsed="false">
      <c r="A687" s="37" t="s">
        <v>603</v>
      </c>
      <c r="B687" s="37" t="s">
        <v>106</v>
      </c>
      <c r="C687" s="37" t="s">
        <v>46</v>
      </c>
      <c r="D687" s="37" t="s">
        <v>47</v>
      </c>
      <c r="E687" s="38" t="n">
        <v>236.516646706751</v>
      </c>
      <c r="F687" s="38" t="n">
        <v>40.5438171755623</v>
      </c>
      <c r="G687" s="38" t="n">
        <v>16.6653508788723</v>
      </c>
      <c r="H687" s="38" t="n">
        <v>39.2538560628545</v>
      </c>
      <c r="I687" s="38" t="n">
        <v>281.035582407619</v>
      </c>
      <c r="J687" s="38" t="n">
        <v>87.7855824076194</v>
      </c>
      <c r="K687" s="38" t="n">
        <v>149.299722812502</v>
      </c>
      <c r="L687" s="38" t="n">
        <v>81.1153320606889</v>
      </c>
      <c r="M687" s="38" t="n">
        <v>74.1418637447328</v>
      </c>
      <c r="N687" s="38" t="n">
        <v>0</v>
      </c>
    </row>
    <row r="688" customFormat="false" ht="15" hidden="false" customHeight="false" outlineLevel="0" collapsed="false">
      <c r="A688" s="37" t="s">
        <v>603</v>
      </c>
      <c r="B688" s="37" t="s">
        <v>106</v>
      </c>
      <c r="C688" s="37" t="s">
        <v>51</v>
      </c>
      <c r="D688" s="37" t="s">
        <v>51</v>
      </c>
      <c r="E688" s="38" t="n">
        <v>228.458273374533</v>
      </c>
      <c r="F688" s="38" t="n">
        <v>45.393882107149</v>
      </c>
      <c r="G688" s="38" t="n">
        <v>16.6653508788723</v>
      </c>
      <c r="H688" s="38" t="n">
        <v>24.6229816723716</v>
      </c>
      <c r="I688" s="38" t="n">
        <v>276.8393482421</v>
      </c>
      <c r="J688" s="38" t="n">
        <v>80.1656476072227</v>
      </c>
      <c r="K688" s="38" t="n">
        <v>145.274068406858</v>
      </c>
      <c r="L688" s="38" t="n">
        <v>77.5496776682957</v>
      </c>
      <c r="M688" s="38" t="n">
        <v>73.3035094813441</v>
      </c>
      <c r="N688" s="38" t="n">
        <v>0</v>
      </c>
    </row>
    <row r="689" customFormat="false" ht="15" hidden="false" customHeight="false" outlineLevel="0" collapsed="false">
      <c r="A689" s="37" t="s">
        <v>603</v>
      </c>
      <c r="B689" s="37" t="s">
        <v>106</v>
      </c>
      <c r="C689" s="37" t="s">
        <v>55</v>
      </c>
      <c r="D689" s="37" t="s">
        <v>37</v>
      </c>
      <c r="E689" s="38" t="n">
        <v>205.476213673467</v>
      </c>
      <c r="F689" s="38" t="n">
        <v>40.1895335696224</v>
      </c>
      <c r="G689" s="38" t="n">
        <v>16.6466410561599</v>
      </c>
      <c r="H689" s="38" t="n">
        <v>4.78960818182069</v>
      </c>
      <c r="I689" s="38" t="n">
        <v>260.161656452569</v>
      </c>
      <c r="J689" s="38" t="n">
        <v>59.4891816900683</v>
      </c>
      <c r="K689" s="38" t="n">
        <v>110.499286773813</v>
      </c>
      <c r="L689" s="38" t="n">
        <v>62.4112393671352</v>
      </c>
      <c r="M689" s="38" t="n">
        <v>59.1020147879411</v>
      </c>
      <c r="N689" s="38" t="n">
        <v>0</v>
      </c>
    </row>
    <row r="690" customFormat="false" ht="15" hidden="false" customHeight="false" outlineLevel="0" collapsed="false">
      <c r="A690" s="37" t="s">
        <v>603</v>
      </c>
      <c r="B690" s="37" t="s">
        <v>106</v>
      </c>
      <c r="C690" s="37" t="s">
        <v>59</v>
      </c>
      <c r="D690" s="37" t="s">
        <v>42</v>
      </c>
      <c r="E690" s="38" t="n">
        <v>195.890614604235</v>
      </c>
      <c r="F690" s="38" t="n">
        <v>53.9382343083126</v>
      </c>
      <c r="G690" s="38" t="n">
        <v>16.6301688619521</v>
      </c>
      <c r="H690" s="38" t="n">
        <v>4.71774603816191</v>
      </c>
      <c r="I690" s="38" t="n">
        <v>201.417797242438</v>
      </c>
      <c r="J690" s="38" t="n">
        <v>2.80301614716176</v>
      </c>
      <c r="K690" s="38" t="n">
        <v>77.8925162830629</v>
      </c>
      <c r="L690" s="38" t="n">
        <v>52.7668627215688</v>
      </c>
      <c r="M690" s="38" t="n">
        <v>44.4322548426672</v>
      </c>
      <c r="N690" s="38" t="n">
        <v>0</v>
      </c>
    </row>
    <row r="691" customFormat="false" ht="15" hidden="false" customHeight="false" outlineLevel="0" collapsed="false">
      <c r="A691" s="37" t="s">
        <v>603</v>
      </c>
      <c r="B691" s="37" t="s">
        <v>106</v>
      </c>
      <c r="C691" s="37" t="s">
        <v>63</v>
      </c>
      <c r="D691" s="37" t="s">
        <v>47</v>
      </c>
      <c r="E691" s="38" t="n">
        <v>222.7261846726</v>
      </c>
      <c r="F691" s="38" t="n">
        <v>40.835701051729</v>
      </c>
      <c r="G691" s="38" t="n">
        <v>16.6507971413262</v>
      </c>
      <c r="H691" s="38" t="n">
        <v>38.7510974202793</v>
      </c>
      <c r="I691" s="38" t="n">
        <v>261.575666864766</v>
      </c>
      <c r="J691" s="38" t="n">
        <v>63.6076632368095</v>
      </c>
      <c r="K691" s="38" t="n">
        <v>128.107311657793</v>
      </c>
      <c r="L691" s="38" t="n">
        <v>69.8854224808274</v>
      </c>
      <c r="M691" s="38" t="n">
        <v>66.4117160326894</v>
      </c>
      <c r="N691" s="38" t="n">
        <v>0</v>
      </c>
    </row>
    <row r="692" customFormat="false" ht="15" hidden="false" customHeight="false" outlineLevel="0" collapsed="false">
      <c r="A692" s="37" t="s">
        <v>603</v>
      </c>
      <c r="B692" s="37" t="s">
        <v>106</v>
      </c>
      <c r="C692" s="37" t="s">
        <v>67</v>
      </c>
      <c r="D692" s="37" t="s">
        <v>68</v>
      </c>
      <c r="E692" s="38" t="n">
        <v>201.051354265923</v>
      </c>
      <c r="F692" s="38" t="n">
        <v>41.699499647182</v>
      </c>
      <c r="G692" s="38" t="n">
        <v>16.7028345357776</v>
      </c>
      <c r="H692" s="38" t="n">
        <v>4.99119857494195</v>
      </c>
      <c r="I692" s="38" t="n">
        <v>218.665450039834</v>
      </c>
      <c r="J692" s="38" t="n">
        <v>27.1654500398336</v>
      </c>
      <c r="K692" s="38" t="n">
        <v>112.502441945677</v>
      </c>
      <c r="L692" s="38" t="n">
        <v>67.1923129249327</v>
      </c>
      <c r="M692" s="38" t="n">
        <v>60.585522760356</v>
      </c>
      <c r="N692" s="38" t="n">
        <v>0</v>
      </c>
    </row>
    <row r="693" customFormat="false" ht="15" hidden="false" customHeight="false" outlineLevel="0" collapsed="false">
      <c r="A693" s="37" t="s">
        <v>603</v>
      </c>
      <c r="B693" s="37" t="s">
        <v>106</v>
      </c>
      <c r="C693" s="37" t="s">
        <v>72</v>
      </c>
      <c r="D693" s="37" t="s">
        <v>73</v>
      </c>
      <c r="E693" s="38" t="n">
        <v>198.154289468404</v>
      </c>
      <c r="F693" s="38" t="n">
        <v>41.9264891535734</v>
      </c>
      <c r="G693" s="38" t="n">
        <v>16.6653508788723</v>
      </c>
      <c r="H693" s="38" t="n">
        <v>10.6457555394483</v>
      </c>
      <c r="I693" s="38" t="n">
        <v>226.681574335553</v>
      </c>
      <c r="J693" s="38" t="n">
        <v>190.309590208569</v>
      </c>
      <c r="K693" s="38" t="n">
        <v>104.028054142344</v>
      </c>
      <c r="L693" s="38" t="n">
        <v>65.0513594189936</v>
      </c>
      <c r="M693" s="38" t="n">
        <v>56.0986445947763</v>
      </c>
      <c r="N693" s="38" t="n">
        <v>0</v>
      </c>
    </row>
    <row r="694" customFormat="false" ht="15" hidden="false" customHeight="false" outlineLevel="0" collapsed="false">
      <c r="A694" s="37" t="s">
        <v>603</v>
      </c>
      <c r="B694" s="37" t="s">
        <v>106</v>
      </c>
      <c r="C694" s="37" t="s">
        <v>77</v>
      </c>
      <c r="D694" s="37" t="s">
        <v>78</v>
      </c>
      <c r="E694" s="38" t="n">
        <v>235.653139851816</v>
      </c>
      <c r="F694" s="38" t="n">
        <v>53.2227746419559</v>
      </c>
      <c r="G694" s="38" t="n">
        <v>16.9529003070097</v>
      </c>
      <c r="H694" s="38" t="n">
        <v>23.6310096401959</v>
      </c>
      <c r="I694" s="38" t="n">
        <v>265.875465867813</v>
      </c>
      <c r="J694" s="38" t="n">
        <v>84.6758757063274</v>
      </c>
      <c r="K694" s="38" t="n">
        <v>151.417350860371</v>
      </c>
      <c r="L694" s="38" t="n">
        <v>81.2099787093045</v>
      </c>
      <c r="M694" s="38" t="n">
        <v>77.3251984558962</v>
      </c>
      <c r="N694" s="38" t="n">
        <v>0</v>
      </c>
    </row>
    <row r="695" customFormat="false" ht="15" hidden="false" customHeight="false" outlineLevel="0" collapsed="false">
      <c r="A695" s="37" t="s">
        <v>603</v>
      </c>
      <c r="B695" s="37" t="s">
        <v>112</v>
      </c>
      <c r="C695" s="37" t="s">
        <v>36</v>
      </c>
      <c r="D695" s="37" t="s">
        <v>37</v>
      </c>
      <c r="E695" s="38" t="n">
        <v>213.929264132168</v>
      </c>
      <c r="F695" s="38" t="n">
        <v>39.5357966818124</v>
      </c>
      <c r="G695" s="38" t="n">
        <v>16.6483845326714</v>
      </c>
      <c r="H695" s="38" t="n">
        <v>5.96872004502589</v>
      </c>
      <c r="I695" s="38" t="n">
        <v>255.00343117749</v>
      </c>
      <c r="J695" s="38" t="n">
        <v>51.7155196917025</v>
      </c>
      <c r="K695" s="38" t="n">
        <v>116.230985138841</v>
      </c>
      <c r="L695" s="38" t="n">
        <v>69.980094220977</v>
      </c>
      <c r="M695" s="38" t="n">
        <v>64.5561568893589</v>
      </c>
      <c r="N695" s="38" t="n">
        <v>0</v>
      </c>
    </row>
    <row r="696" customFormat="false" ht="15" hidden="false" customHeight="false" outlineLevel="0" collapsed="false">
      <c r="A696" s="37" t="s">
        <v>603</v>
      </c>
      <c r="B696" s="37" t="s">
        <v>112</v>
      </c>
      <c r="C696" s="37" t="s">
        <v>41</v>
      </c>
      <c r="D696" s="37" t="s">
        <v>42</v>
      </c>
      <c r="E696" s="38" t="n">
        <v>199.14696987049</v>
      </c>
      <c r="F696" s="38" t="n">
        <v>50.0875297379386</v>
      </c>
      <c r="G696" s="38" t="n">
        <v>16.6312280089234</v>
      </c>
      <c r="H696" s="38" t="n">
        <v>5.81374432714159</v>
      </c>
      <c r="I696" s="38" t="n">
        <v>205.102274472988</v>
      </c>
      <c r="J696" s="38" t="n">
        <v>24.9616530618589</v>
      </c>
      <c r="K696" s="38" t="n">
        <v>81.9958409532567</v>
      </c>
      <c r="L696" s="38" t="n">
        <v>59.4324085978107</v>
      </c>
      <c r="M696" s="38" t="n">
        <v>49.4440307523489</v>
      </c>
      <c r="N696" s="38" t="n">
        <v>0</v>
      </c>
    </row>
    <row r="697" customFormat="false" ht="15" hidden="false" customHeight="false" outlineLevel="0" collapsed="false">
      <c r="A697" s="37" t="s">
        <v>603</v>
      </c>
      <c r="B697" s="37" t="s">
        <v>112</v>
      </c>
      <c r="C697" s="37" t="s">
        <v>46</v>
      </c>
      <c r="D697" s="37" t="s">
        <v>47</v>
      </c>
      <c r="E697" s="38" t="n">
        <v>253.159182925493</v>
      </c>
      <c r="F697" s="38" t="n">
        <v>39.4346652664244</v>
      </c>
      <c r="G697" s="38" t="n">
        <v>16.6653508788723</v>
      </c>
      <c r="H697" s="38" t="n">
        <v>57.0055441907341</v>
      </c>
      <c r="I697" s="38" t="n">
        <v>330.606569418905</v>
      </c>
      <c r="J697" s="38" t="n">
        <v>137.356569418905</v>
      </c>
      <c r="K697" s="38" t="n">
        <v>163.109946307008</v>
      </c>
      <c r="L697" s="38" t="n">
        <v>85.596681774215</v>
      </c>
      <c r="M697" s="38" t="n">
        <v>78.9078649991931</v>
      </c>
      <c r="N697" s="38" t="n">
        <v>0</v>
      </c>
    </row>
    <row r="698" customFormat="false" ht="15" hidden="false" customHeight="false" outlineLevel="0" collapsed="false">
      <c r="A698" s="37" t="s">
        <v>603</v>
      </c>
      <c r="B698" s="37" t="s">
        <v>112</v>
      </c>
      <c r="C698" s="37" t="s">
        <v>51</v>
      </c>
      <c r="D698" s="37" t="s">
        <v>51</v>
      </c>
      <c r="E698" s="38" t="n">
        <v>239.345296488721</v>
      </c>
      <c r="F698" s="38" t="n">
        <v>43.8381391377629</v>
      </c>
      <c r="G698" s="38" t="n">
        <v>16.6653508788723</v>
      </c>
      <c r="H698" s="38" t="n">
        <v>37.0657477559462</v>
      </c>
      <c r="I698" s="38" t="n">
        <v>305.807955884229</v>
      </c>
      <c r="J698" s="38" t="n">
        <v>109.134255249352</v>
      </c>
      <c r="K698" s="38" t="n">
        <v>155.07193472781</v>
      </c>
      <c r="L698" s="38" t="n">
        <v>81.0811571459672</v>
      </c>
      <c r="M698" s="38" t="n">
        <v>76.8124653699841</v>
      </c>
      <c r="N698" s="38" t="n">
        <v>0</v>
      </c>
    </row>
    <row r="699" customFormat="false" ht="15" hidden="false" customHeight="false" outlineLevel="0" collapsed="false">
      <c r="A699" s="37" t="s">
        <v>603</v>
      </c>
      <c r="B699" s="37" t="s">
        <v>112</v>
      </c>
      <c r="C699" s="37" t="s">
        <v>55</v>
      </c>
      <c r="D699" s="37" t="s">
        <v>37</v>
      </c>
      <c r="E699" s="38" t="n">
        <v>205.381762125047</v>
      </c>
      <c r="F699" s="38" t="n">
        <v>39.2403109270824</v>
      </c>
      <c r="G699" s="38" t="n">
        <v>16.6466473750255</v>
      </c>
      <c r="H699" s="38" t="n">
        <v>5.64209299144803</v>
      </c>
      <c r="I699" s="38" t="n">
        <v>262.057202159135</v>
      </c>
      <c r="J699" s="38" t="n">
        <v>61.3888394839449</v>
      </c>
      <c r="K699" s="38" t="n">
        <v>109.86231515704</v>
      </c>
      <c r="L699" s="38" t="n">
        <v>62.3908559195818</v>
      </c>
      <c r="M699" s="38" t="n">
        <v>58.9553862412577</v>
      </c>
      <c r="N699" s="38" t="n">
        <v>0</v>
      </c>
    </row>
    <row r="700" customFormat="false" ht="15" hidden="false" customHeight="false" outlineLevel="0" collapsed="false">
      <c r="A700" s="37" t="s">
        <v>603</v>
      </c>
      <c r="B700" s="37" t="s">
        <v>112</v>
      </c>
      <c r="C700" s="37" t="s">
        <v>59</v>
      </c>
      <c r="D700" s="37" t="s">
        <v>42</v>
      </c>
      <c r="E700" s="38" t="n">
        <v>194.751680900027</v>
      </c>
      <c r="F700" s="38" t="n">
        <v>51.9697943016865</v>
      </c>
      <c r="G700" s="38" t="n">
        <v>16.6300855976395</v>
      </c>
      <c r="H700" s="38" t="n">
        <v>5.54833681410179</v>
      </c>
      <c r="I700" s="38" t="n">
        <v>202.328012961583</v>
      </c>
      <c r="J700" s="38" t="n">
        <v>3.71124676965716</v>
      </c>
      <c r="K700" s="38" t="n">
        <v>75.647229639726</v>
      </c>
      <c r="L700" s="38" t="n">
        <v>52.357166397818</v>
      </c>
      <c r="M700" s="38" t="n">
        <v>43.692720974135</v>
      </c>
      <c r="N700" s="38" t="n">
        <v>0</v>
      </c>
    </row>
    <row r="701" customFormat="false" ht="15" hidden="false" customHeight="false" outlineLevel="0" collapsed="false">
      <c r="A701" s="37" t="s">
        <v>603</v>
      </c>
      <c r="B701" s="37" t="s">
        <v>112</v>
      </c>
      <c r="C701" s="37" t="s">
        <v>63</v>
      </c>
      <c r="D701" s="37" t="s">
        <v>47</v>
      </c>
      <c r="E701" s="38" t="n">
        <v>240.003854482558</v>
      </c>
      <c r="F701" s="38" t="n">
        <v>39.7796356229228</v>
      </c>
      <c r="G701" s="38" t="n">
        <v>16.6510422444248</v>
      </c>
      <c r="H701" s="38" t="n">
        <v>57.0139594948565</v>
      </c>
      <c r="I701" s="38" t="n">
        <v>313.035609395498</v>
      </c>
      <c r="J701" s="38" t="n">
        <v>115.227090781435</v>
      </c>
      <c r="K701" s="38" t="n">
        <v>143.5634137606</v>
      </c>
      <c r="L701" s="38" t="n">
        <v>75.8890341349242</v>
      </c>
      <c r="M701" s="38" t="n">
        <v>72.5743465663205</v>
      </c>
      <c r="N701" s="38" t="n">
        <v>0</v>
      </c>
    </row>
    <row r="702" customFormat="false" ht="15" hidden="false" customHeight="false" outlineLevel="0" collapsed="false">
      <c r="A702" s="37" t="s">
        <v>603</v>
      </c>
      <c r="B702" s="37" t="s">
        <v>112</v>
      </c>
      <c r="C702" s="37" t="s">
        <v>67</v>
      </c>
      <c r="D702" s="37" t="s">
        <v>68</v>
      </c>
      <c r="E702" s="38" t="n">
        <v>200.89908756759</v>
      </c>
      <c r="F702" s="38" t="n">
        <v>40.6377396055783</v>
      </c>
      <c r="G702" s="38" t="n">
        <v>16.7031528679386</v>
      </c>
      <c r="H702" s="38" t="n">
        <v>5.90016312269727</v>
      </c>
      <c r="I702" s="38" t="n">
        <v>220.728934679272</v>
      </c>
      <c r="J702" s="38" t="n">
        <v>29.2289346792717</v>
      </c>
      <c r="K702" s="38" t="n">
        <v>113.522672353101</v>
      </c>
      <c r="L702" s="38" t="n">
        <v>67.1588789027974</v>
      </c>
      <c r="M702" s="38" t="n">
        <v>60.853737895091</v>
      </c>
      <c r="N702" s="38" t="n">
        <v>0</v>
      </c>
    </row>
    <row r="703" customFormat="false" ht="15" hidden="false" customHeight="false" outlineLevel="0" collapsed="false">
      <c r="A703" s="37" t="s">
        <v>603</v>
      </c>
      <c r="B703" s="37" t="s">
        <v>112</v>
      </c>
      <c r="C703" s="37" t="s">
        <v>72</v>
      </c>
      <c r="D703" s="37" t="s">
        <v>73</v>
      </c>
      <c r="E703" s="38" t="n">
        <v>201.543145536549</v>
      </c>
      <c r="F703" s="38" t="n">
        <v>40.7741889872575</v>
      </c>
      <c r="G703" s="38" t="n">
        <v>16.6653508788723</v>
      </c>
      <c r="H703" s="38" t="n">
        <v>15.186911773909</v>
      </c>
      <c r="I703" s="38" t="n">
        <v>236.081351308386</v>
      </c>
      <c r="J703" s="38" t="n">
        <v>199.709367181402</v>
      </c>
      <c r="K703" s="38" t="n">
        <v>108.318937461579</v>
      </c>
      <c r="L703" s="38" t="n">
        <v>65.9971039686016</v>
      </c>
      <c r="M703" s="38" t="n">
        <v>57.7970876767715</v>
      </c>
      <c r="N703" s="38" t="n">
        <v>0</v>
      </c>
    </row>
    <row r="704" customFormat="false" ht="15" hidden="false" customHeight="false" outlineLevel="0" collapsed="false">
      <c r="A704" s="37" t="s">
        <v>603</v>
      </c>
      <c r="B704" s="37" t="s">
        <v>112</v>
      </c>
      <c r="C704" s="37" t="s">
        <v>77</v>
      </c>
      <c r="D704" s="37" t="s">
        <v>78</v>
      </c>
      <c r="E704" s="38" t="n">
        <v>246.168216169483</v>
      </c>
      <c r="F704" s="38" t="n">
        <v>51.6886949964279</v>
      </c>
      <c r="G704" s="38" t="n">
        <v>16.9528532326567</v>
      </c>
      <c r="H704" s="38" t="n">
        <v>35.6819713564499</v>
      </c>
      <c r="I704" s="38" t="n">
        <v>291.525708371536</v>
      </c>
      <c r="J704" s="38" t="n">
        <v>110.305404685543</v>
      </c>
      <c r="K704" s="38" t="n">
        <v>159.969890219064</v>
      </c>
      <c r="L704" s="38" t="n">
        <v>83.4160298072013</v>
      </c>
      <c r="M704" s="38" t="n">
        <v>80.1502872673839</v>
      </c>
      <c r="N704" s="38" t="n">
        <v>0</v>
      </c>
    </row>
    <row r="705" customFormat="false" ht="15" hidden="false" customHeight="false" outlineLevel="0" collapsed="false">
      <c r="A705" s="37" t="s">
        <v>603</v>
      </c>
      <c r="B705" s="37" t="s">
        <v>118</v>
      </c>
      <c r="C705" s="37" t="s">
        <v>36</v>
      </c>
      <c r="D705" s="37" t="s">
        <v>37</v>
      </c>
      <c r="E705" s="38" t="n">
        <v>229.29855300285</v>
      </c>
      <c r="F705" s="38" t="n">
        <v>39.5769361489565</v>
      </c>
      <c r="G705" s="38" t="n">
        <v>16.6483658032164</v>
      </c>
      <c r="H705" s="38" t="n">
        <v>4.11995796165717</v>
      </c>
      <c r="I705" s="38" t="n">
        <v>289.221419049084</v>
      </c>
      <c r="J705" s="38" t="n">
        <v>85.9213197092339</v>
      </c>
      <c r="K705" s="38" t="n">
        <v>131.341949493117</v>
      </c>
      <c r="L705" s="38" t="n">
        <v>74.149269785077</v>
      </c>
      <c r="M705" s="38" t="n">
        <v>70.8539259116631</v>
      </c>
      <c r="N705" s="38" t="n">
        <v>0</v>
      </c>
    </row>
    <row r="706" customFormat="false" ht="15" hidden="false" customHeight="false" outlineLevel="0" collapsed="false">
      <c r="A706" s="37" t="s">
        <v>603</v>
      </c>
      <c r="B706" s="37" t="s">
        <v>118</v>
      </c>
      <c r="C706" s="37" t="s">
        <v>41</v>
      </c>
      <c r="D706" s="37" t="s">
        <v>42</v>
      </c>
      <c r="E706" s="38" t="n">
        <v>217.010928783565</v>
      </c>
      <c r="F706" s="38" t="n">
        <v>55.7568487891358</v>
      </c>
      <c r="G706" s="38" t="n">
        <v>16.6473953594156</v>
      </c>
      <c r="H706" s="38" t="n">
        <v>4.12926926156013</v>
      </c>
      <c r="I706" s="38" t="n">
        <v>223.956879315322</v>
      </c>
      <c r="J706" s="38" t="n">
        <v>65.2865934713583</v>
      </c>
      <c r="K706" s="38" t="n">
        <v>110.21035058094</v>
      </c>
      <c r="L706" s="38" t="n">
        <v>68.8906858690888</v>
      </c>
      <c r="M706" s="38" t="n">
        <v>62.0261775319705</v>
      </c>
      <c r="N706" s="38" t="n">
        <v>0</v>
      </c>
    </row>
    <row r="707" customFormat="false" ht="15" hidden="false" customHeight="false" outlineLevel="0" collapsed="false">
      <c r="A707" s="37" t="s">
        <v>603</v>
      </c>
      <c r="B707" s="37" t="s">
        <v>118</v>
      </c>
      <c r="C707" s="37" t="s">
        <v>46</v>
      </c>
      <c r="D707" s="37" t="s">
        <v>47</v>
      </c>
      <c r="E707" s="38" t="n">
        <v>230.005221183812</v>
      </c>
      <c r="F707" s="38" t="n">
        <v>39.1924449153415</v>
      </c>
      <c r="G707" s="38" t="n">
        <v>16.6653508788723</v>
      </c>
      <c r="H707" s="38" t="n">
        <v>23.3494886150677</v>
      </c>
      <c r="I707" s="38" t="n">
        <v>264.144781406111</v>
      </c>
      <c r="J707" s="38" t="n">
        <v>70.8947814061107</v>
      </c>
      <c r="K707" s="38" t="n">
        <v>141.115431451482</v>
      </c>
      <c r="L707" s="38" t="n">
        <v>77.930760320386</v>
      </c>
      <c r="M707" s="38" t="n">
        <v>72.493559149246</v>
      </c>
      <c r="N707" s="38" t="n">
        <v>0</v>
      </c>
    </row>
    <row r="708" customFormat="false" ht="15" hidden="false" customHeight="false" outlineLevel="0" collapsed="false">
      <c r="A708" s="37" t="s">
        <v>603</v>
      </c>
      <c r="B708" s="37" t="s">
        <v>118</v>
      </c>
      <c r="C708" s="37" t="s">
        <v>51</v>
      </c>
      <c r="D708" s="37" t="s">
        <v>51</v>
      </c>
      <c r="E708" s="38" t="n">
        <v>230.24271026513</v>
      </c>
      <c r="F708" s="38" t="n">
        <v>43.6991146095145</v>
      </c>
      <c r="G708" s="38" t="n">
        <v>16.6653508788723</v>
      </c>
      <c r="H708" s="38" t="n">
        <v>15.0139538974469</v>
      </c>
      <c r="I708" s="38" t="n">
        <v>284.54965210722</v>
      </c>
      <c r="J708" s="38" t="n">
        <v>87.8759514723432</v>
      </c>
      <c r="K708" s="38" t="n">
        <v>143.947596455061</v>
      </c>
      <c r="L708" s="38" t="n">
        <v>77.1735961164222</v>
      </c>
      <c r="M708" s="38" t="n">
        <v>73.6849972371858</v>
      </c>
      <c r="N708" s="38" t="n">
        <v>0</v>
      </c>
    </row>
    <row r="709" customFormat="false" ht="15" hidden="false" customHeight="false" outlineLevel="0" collapsed="false">
      <c r="A709" s="37" t="s">
        <v>603</v>
      </c>
      <c r="B709" s="37" t="s">
        <v>118</v>
      </c>
      <c r="C709" s="37" t="s">
        <v>55</v>
      </c>
      <c r="D709" s="37" t="s">
        <v>37</v>
      </c>
      <c r="E709" s="38" t="n">
        <v>220.227540405026</v>
      </c>
      <c r="F709" s="38" t="n">
        <v>39.2849770643724</v>
      </c>
      <c r="G709" s="38" t="n">
        <v>16.6470149715502</v>
      </c>
      <c r="H709" s="38" t="n">
        <v>3.94328429515778</v>
      </c>
      <c r="I709" s="38" t="n">
        <v>296.646716628191</v>
      </c>
      <c r="J709" s="38" t="n">
        <v>96.2175711133318</v>
      </c>
      <c r="K709" s="38" t="n">
        <v>125.016550075579</v>
      </c>
      <c r="L709" s="38" t="n">
        <v>67.7605705029347</v>
      </c>
      <c r="M709" s="38" t="n">
        <v>65.6365038598129</v>
      </c>
      <c r="N709" s="38" t="n">
        <v>0</v>
      </c>
    </row>
    <row r="710" customFormat="false" ht="15" hidden="false" customHeight="false" outlineLevel="0" collapsed="false">
      <c r="A710" s="37" t="s">
        <v>603</v>
      </c>
      <c r="B710" s="37" t="s">
        <v>118</v>
      </c>
      <c r="C710" s="37" t="s">
        <v>59</v>
      </c>
      <c r="D710" s="37" t="s">
        <v>42</v>
      </c>
      <c r="E710" s="38" t="n">
        <v>210.270305916708</v>
      </c>
      <c r="F710" s="38" t="n">
        <v>56.7353707239101</v>
      </c>
      <c r="G710" s="38" t="n">
        <v>16.6435625620981</v>
      </c>
      <c r="H710" s="38" t="n">
        <v>3.89084309997944</v>
      </c>
      <c r="I710" s="38" t="n">
        <v>236.76393554908</v>
      </c>
      <c r="J710" s="38" t="n">
        <v>27.4702877462134</v>
      </c>
      <c r="K710" s="38" t="n">
        <v>100.20283531119</v>
      </c>
      <c r="L710" s="38" t="n">
        <v>57.2904573707534</v>
      </c>
      <c r="M710" s="38" t="n">
        <v>53.4478094777884</v>
      </c>
      <c r="N710" s="38" t="n">
        <v>0</v>
      </c>
    </row>
    <row r="711" customFormat="false" ht="15" hidden="false" customHeight="false" outlineLevel="0" collapsed="false">
      <c r="A711" s="37" t="s">
        <v>603</v>
      </c>
      <c r="B711" s="37" t="s">
        <v>118</v>
      </c>
      <c r="C711" s="37" t="s">
        <v>63</v>
      </c>
      <c r="D711" s="37" t="s">
        <v>47</v>
      </c>
      <c r="E711" s="38" t="n">
        <v>215.983491378986</v>
      </c>
      <c r="F711" s="38" t="n">
        <v>39.5339892022892</v>
      </c>
      <c r="G711" s="38" t="n">
        <v>16.6508022352179</v>
      </c>
      <c r="H711" s="38" t="n">
        <v>22.7881179248509</v>
      </c>
      <c r="I711" s="38" t="n">
        <v>243.963544307159</v>
      </c>
      <c r="J711" s="38" t="n">
        <v>45.9988552114623</v>
      </c>
      <c r="K711" s="38" t="n">
        <v>119.596926939084</v>
      </c>
      <c r="L711" s="38" t="n">
        <v>66.6812805384182</v>
      </c>
      <c r="M711" s="38" t="n">
        <v>63.9511716816585</v>
      </c>
      <c r="N711" s="38" t="n">
        <v>0</v>
      </c>
    </row>
    <row r="712" customFormat="false" ht="15" hidden="false" customHeight="false" outlineLevel="0" collapsed="false">
      <c r="A712" s="37" t="s">
        <v>603</v>
      </c>
      <c r="B712" s="37" t="s">
        <v>118</v>
      </c>
      <c r="C712" s="37" t="s">
        <v>67</v>
      </c>
      <c r="D712" s="37" t="s">
        <v>68</v>
      </c>
      <c r="E712" s="38" t="n">
        <v>212.679343049519</v>
      </c>
      <c r="F712" s="38" t="n">
        <v>40.6794851491923</v>
      </c>
      <c r="G712" s="38" t="n">
        <v>16.7124367222075</v>
      </c>
      <c r="H712" s="38" t="n">
        <v>4.09069122026735</v>
      </c>
      <c r="I712" s="38" t="n">
        <v>248.727458867557</v>
      </c>
      <c r="J712" s="38" t="n">
        <v>57.2274588675568</v>
      </c>
      <c r="K712" s="38" t="n">
        <v>135.432200136441</v>
      </c>
      <c r="L712" s="38" t="n">
        <v>70.297432279051</v>
      </c>
      <c r="M712" s="38" t="n">
        <v>68.348881775958</v>
      </c>
      <c r="N712" s="38" t="n">
        <v>0</v>
      </c>
    </row>
    <row r="713" customFormat="false" ht="15" hidden="false" customHeight="false" outlineLevel="0" collapsed="false">
      <c r="A713" s="37" t="s">
        <v>603</v>
      </c>
      <c r="B713" s="37" t="s">
        <v>118</v>
      </c>
      <c r="C713" s="37" t="s">
        <v>72</v>
      </c>
      <c r="D713" s="37" t="s">
        <v>73</v>
      </c>
      <c r="E713" s="38" t="n">
        <v>206.539831462852</v>
      </c>
      <c r="F713" s="38" t="n">
        <v>40.8004523747083</v>
      </c>
      <c r="G713" s="38" t="n">
        <v>16.6653508788723</v>
      </c>
      <c r="H713" s="38" t="n">
        <v>7.19915351066677</v>
      </c>
      <c r="I713" s="38" t="n">
        <v>252.23240108759</v>
      </c>
      <c r="J713" s="38" t="n">
        <v>215.860416960606</v>
      </c>
      <c r="K713" s="38" t="n">
        <v>111.498834798387</v>
      </c>
      <c r="L713" s="38" t="n">
        <v>66.4313212401397</v>
      </c>
      <c r="M713" s="38" t="n">
        <v>59.8214266578058</v>
      </c>
      <c r="N713" s="38" t="n">
        <v>0</v>
      </c>
    </row>
    <row r="714" customFormat="false" ht="15" hidden="false" customHeight="false" outlineLevel="0" collapsed="false">
      <c r="A714" s="37" t="s">
        <v>603</v>
      </c>
      <c r="B714" s="37" t="s">
        <v>118</v>
      </c>
      <c r="C714" s="37" t="s">
        <v>77</v>
      </c>
      <c r="D714" s="37" t="s">
        <v>78</v>
      </c>
      <c r="E714" s="38" t="n">
        <v>237.603393942849</v>
      </c>
      <c r="F714" s="38" t="n">
        <v>51.5873882307667</v>
      </c>
      <c r="G714" s="38" t="n">
        <v>16.9528517930769</v>
      </c>
      <c r="H714" s="38" t="n">
        <v>14.4925927492181</v>
      </c>
      <c r="I714" s="38" t="n">
        <v>275.443022167085</v>
      </c>
      <c r="J714" s="38" t="n">
        <v>94.2220854947541</v>
      </c>
      <c r="K714" s="38" t="n">
        <v>149.640808220632</v>
      </c>
      <c r="L714" s="38" t="n">
        <v>81.359747920304</v>
      </c>
      <c r="M714" s="38" t="n">
        <v>76.742714223384</v>
      </c>
      <c r="N714" s="38" t="n">
        <v>0</v>
      </c>
    </row>
    <row r="715" customFormat="false" ht="15" hidden="false" customHeight="false" outlineLevel="0" collapsed="false">
      <c r="A715" s="37" t="s">
        <v>603</v>
      </c>
      <c r="B715" s="37" t="s">
        <v>121</v>
      </c>
      <c r="C715" s="37" t="s">
        <v>36</v>
      </c>
      <c r="D715" s="37" t="s">
        <v>37</v>
      </c>
      <c r="E715" s="38" t="n">
        <v>209.104948739639</v>
      </c>
      <c r="F715" s="38" t="n">
        <v>39.2016099940117</v>
      </c>
      <c r="G715" s="38" t="n">
        <v>16.6105045419629</v>
      </c>
      <c r="H715" s="38" t="n">
        <v>4.88725928327094</v>
      </c>
      <c r="I715" s="38" t="n">
        <v>246.951556319396</v>
      </c>
      <c r="J715" s="38" t="n">
        <v>43.5552067440466</v>
      </c>
      <c r="K715" s="38" t="n">
        <v>109.514859935891</v>
      </c>
      <c r="L715" s="38" t="n">
        <v>67.209121029012</v>
      </c>
      <c r="M715" s="38" t="n">
        <v>61.8169480787206</v>
      </c>
      <c r="N715" s="38" t="n">
        <v>0</v>
      </c>
    </row>
    <row r="716" customFormat="false" ht="15" hidden="false" customHeight="false" outlineLevel="0" collapsed="false">
      <c r="A716" s="37" t="s">
        <v>603</v>
      </c>
      <c r="B716" s="37" t="s">
        <v>121</v>
      </c>
      <c r="C716" s="37" t="s">
        <v>41</v>
      </c>
      <c r="D716" s="37" t="s">
        <v>42</v>
      </c>
      <c r="E716" s="38" t="n">
        <v>194.978909669155</v>
      </c>
      <c r="F716" s="38" t="n">
        <v>49.7369681635521</v>
      </c>
      <c r="G716" s="38" t="n">
        <v>16.593501594308</v>
      </c>
      <c r="H716" s="38" t="n">
        <v>4.77629475848919</v>
      </c>
      <c r="I716" s="38" t="n">
        <v>197.887549843105</v>
      </c>
      <c r="J716" s="38" t="n">
        <v>24.92400660044</v>
      </c>
      <c r="K716" s="38" t="n">
        <v>75.1351353662279</v>
      </c>
      <c r="L716" s="38" t="n">
        <v>57.9832986749254</v>
      </c>
      <c r="M716" s="38" t="n">
        <v>46.4537214875784</v>
      </c>
      <c r="N716" s="38" t="n">
        <v>0</v>
      </c>
    </row>
    <row r="717" customFormat="false" ht="15" hidden="false" customHeight="false" outlineLevel="0" collapsed="false">
      <c r="A717" s="37" t="s">
        <v>603</v>
      </c>
      <c r="B717" s="37" t="s">
        <v>121</v>
      </c>
      <c r="C717" s="37" t="s">
        <v>46</v>
      </c>
      <c r="D717" s="37" t="s">
        <v>47</v>
      </c>
      <c r="E717" s="38" t="n">
        <v>229.31057718392</v>
      </c>
      <c r="F717" s="38" t="n">
        <v>39.0307086358944</v>
      </c>
      <c r="G717" s="38" t="n">
        <v>16.627614109978</v>
      </c>
      <c r="H717" s="38" t="n">
        <v>36.4809098596098</v>
      </c>
      <c r="I717" s="38" t="n">
        <v>270.783181291055</v>
      </c>
      <c r="J717" s="38" t="n">
        <v>77.5331812910549</v>
      </c>
      <c r="K717" s="38" t="n">
        <v>140.033107442407</v>
      </c>
      <c r="L717" s="38" t="n">
        <v>78.7957640136466</v>
      </c>
      <c r="M717" s="38" t="n">
        <v>70.6018433266712</v>
      </c>
      <c r="N717" s="38" t="n">
        <v>0</v>
      </c>
    </row>
    <row r="718" customFormat="false" ht="15" hidden="false" customHeight="false" outlineLevel="0" collapsed="false">
      <c r="A718" s="37" t="s">
        <v>603</v>
      </c>
      <c r="B718" s="37" t="s">
        <v>121</v>
      </c>
      <c r="C718" s="37" t="s">
        <v>51</v>
      </c>
      <c r="D718" s="37" t="s">
        <v>51</v>
      </c>
      <c r="E718" s="38" t="n">
        <v>221.64708806745</v>
      </c>
      <c r="F718" s="38" t="n">
        <v>43.4330114579227</v>
      </c>
      <c r="G718" s="38" t="n">
        <v>16.627614109978</v>
      </c>
      <c r="H718" s="38" t="n">
        <v>22.7425755917193</v>
      </c>
      <c r="I718" s="38" t="n">
        <v>267.783763468822</v>
      </c>
      <c r="J718" s="38" t="n">
        <v>71.1100628339452</v>
      </c>
      <c r="K718" s="38" t="n">
        <v>135.728030234185</v>
      </c>
      <c r="L718" s="38" t="n">
        <v>75.3569008792388</v>
      </c>
      <c r="M718" s="38" t="n">
        <v>69.4248280598926</v>
      </c>
      <c r="N718" s="38" t="n">
        <v>0</v>
      </c>
    </row>
    <row r="719" customFormat="false" ht="15" hidden="false" customHeight="false" outlineLevel="0" collapsed="false">
      <c r="A719" s="37" t="s">
        <v>603</v>
      </c>
      <c r="B719" s="37" t="s">
        <v>121</v>
      </c>
      <c r="C719" s="37" t="s">
        <v>55</v>
      </c>
      <c r="D719" s="37" t="s">
        <v>37</v>
      </c>
      <c r="E719" s="38" t="n">
        <v>200.867072776645</v>
      </c>
      <c r="F719" s="38" t="n">
        <v>38.9087919220776</v>
      </c>
      <c r="G719" s="38" t="n">
        <v>16.6087704584177</v>
      </c>
      <c r="H719" s="38" t="n">
        <v>4.65397394027493</v>
      </c>
      <c r="I719" s="38" t="n">
        <v>254.393206341938</v>
      </c>
      <c r="J719" s="38" t="n">
        <v>53.61685596533</v>
      </c>
      <c r="K719" s="38" t="n">
        <v>103.332765786238</v>
      </c>
      <c r="L719" s="38" t="n">
        <v>61.0254495454041</v>
      </c>
      <c r="M719" s="38" t="n">
        <v>56.2947518377043</v>
      </c>
      <c r="N719" s="38" t="n">
        <v>0</v>
      </c>
    </row>
    <row r="720" customFormat="false" ht="15" hidden="false" customHeight="false" outlineLevel="0" collapsed="false">
      <c r="A720" s="37" t="s">
        <v>603</v>
      </c>
      <c r="B720" s="37" t="s">
        <v>121</v>
      </c>
      <c r="C720" s="37" t="s">
        <v>59</v>
      </c>
      <c r="D720" s="37" t="s">
        <v>42</v>
      </c>
      <c r="E720" s="38" t="n">
        <v>190.89419937991</v>
      </c>
      <c r="F720" s="38" t="n">
        <v>51.6313165231769</v>
      </c>
      <c r="G720" s="38" t="n">
        <v>16.5923888793755</v>
      </c>
      <c r="H720" s="38" t="n">
        <v>4.58873400190192</v>
      </c>
      <c r="I720" s="38" t="n">
        <v>195.231275774561</v>
      </c>
      <c r="J720" s="38" t="n">
        <v>-3.38568309561801</v>
      </c>
      <c r="K720" s="38" t="n">
        <v>68.0270056490557</v>
      </c>
      <c r="L720" s="38" t="n">
        <v>51.1550784165489</v>
      </c>
      <c r="M720" s="38" t="n">
        <v>40.9285583677301</v>
      </c>
      <c r="N720" s="38" t="n">
        <v>0</v>
      </c>
    </row>
    <row r="721" customFormat="false" ht="15" hidden="false" customHeight="false" outlineLevel="0" collapsed="false">
      <c r="A721" s="37" t="s">
        <v>603</v>
      </c>
      <c r="B721" s="37" t="s">
        <v>121</v>
      </c>
      <c r="C721" s="37" t="s">
        <v>63</v>
      </c>
      <c r="D721" s="37" t="s">
        <v>47</v>
      </c>
      <c r="E721" s="38" t="n">
        <v>215.791270073694</v>
      </c>
      <c r="F721" s="38" t="n">
        <v>39.3705414919543</v>
      </c>
      <c r="G721" s="38" t="n">
        <v>16.6129020076688</v>
      </c>
      <c r="H721" s="38" t="n">
        <v>35.9859454421551</v>
      </c>
      <c r="I721" s="38" t="n">
        <v>251.682803371296</v>
      </c>
      <c r="J721" s="38" t="n">
        <v>53.5986511201931</v>
      </c>
      <c r="K721" s="38" t="n">
        <v>118.714546236553</v>
      </c>
      <c r="L721" s="38" t="n">
        <v>67.6732279758388</v>
      </c>
      <c r="M721" s="38" t="n">
        <v>62.7376440016736</v>
      </c>
      <c r="N721" s="38" t="n">
        <v>0</v>
      </c>
    </row>
    <row r="722" customFormat="false" ht="15" hidden="false" customHeight="false" outlineLevel="0" collapsed="false">
      <c r="A722" s="37" t="s">
        <v>603</v>
      </c>
      <c r="B722" s="37" t="s">
        <v>121</v>
      </c>
      <c r="C722" s="37" t="s">
        <v>67</v>
      </c>
      <c r="D722" s="37" t="s">
        <v>68</v>
      </c>
      <c r="E722" s="38" t="n">
        <v>196.57183334262</v>
      </c>
      <c r="F722" s="38" t="n">
        <v>40.2899436936054</v>
      </c>
      <c r="G722" s="38" t="n">
        <v>16.6652313704558</v>
      </c>
      <c r="H722" s="38" t="n">
        <v>4.84400508234978</v>
      </c>
      <c r="I722" s="38" t="n">
        <v>212.946464074313</v>
      </c>
      <c r="J722" s="38" t="n">
        <v>31.4464640743128</v>
      </c>
      <c r="K722" s="38" t="n">
        <v>108.687112687754</v>
      </c>
      <c r="L722" s="38" t="n">
        <v>63.3913086345634</v>
      </c>
      <c r="M722" s="38" t="n">
        <v>58.4592599374295</v>
      </c>
      <c r="N722" s="38" t="n">
        <v>0</v>
      </c>
    </row>
    <row r="723" customFormat="false" ht="15" hidden="false" customHeight="false" outlineLevel="0" collapsed="false">
      <c r="A723" s="37" t="s">
        <v>603</v>
      </c>
      <c r="B723" s="37" t="s">
        <v>121</v>
      </c>
      <c r="C723" s="37" t="s">
        <v>72</v>
      </c>
      <c r="D723" s="37" t="s">
        <v>73</v>
      </c>
      <c r="E723" s="38" t="n">
        <v>193.178449303232</v>
      </c>
      <c r="F723" s="38" t="n">
        <v>40.4275146712352</v>
      </c>
      <c r="G723" s="38" t="n">
        <v>16.627614109978</v>
      </c>
      <c r="H723" s="38" t="n">
        <v>9.90557949042705</v>
      </c>
      <c r="I723" s="38" t="n">
        <v>220.068056452185</v>
      </c>
      <c r="J723" s="38" t="n">
        <v>183.6960723252</v>
      </c>
      <c r="K723" s="38" t="n">
        <v>95.6474066809495</v>
      </c>
      <c r="L723" s="38" t="n">
        <v>63.6538392234056</v>
      </c>
      <c r="M723" s="38" t="n">
        <v>52.7376359681435</v>
      </c>
      <c r="N723" s="38" t="n">
        <v>0</v>
      </c>
    </row>
    <row r="724" customFormat="false" ht="15" hidden="false" customHeight="false" outlineLevel="0" collapsed="false">
      <c r="A724" s="37" t="s">
        <v>603</v>
      </c>
      <c r="B724" s="37" t="s">
        <v>121</v>
      </c>
      <c r="C724" s="37" t="s">
        <v>77</v>
      </c>
      <c r="D724" s="37" t="s">
        <v>78</v>
      </c>
      <c r="E724" s="38" t="n">
        <v>228.815337287421</v>
      </c>
      <c r="F724" s="38" t="n">
        <v>51.28293593585</v>
      </c>
      <c r="G724" s="38" t="n">
        <v>16.9148108293962</v>
      </c>
      <c r="H724" s="38" t="n">
        <v>21.6998924272503</v>
      </c>
      <c r="I724" s="38" t="n">
        <v>256.896680023525</v>
      </c>
      <c r="J724" s="38" t="n">
        <v>75.6732056113617</v>
      </c>
      <c r="K724" s="38" t="n">
        <v>141.681040402841</v>
      </c>
      <c r="L724" s="38" t="n">
        <v>78.9630311761105</v>
      </c>
      <c r="M724" s="38" t="n">
        <v>73.4719159172381</v>
      </c>
      <c r="N724" s="38" t="n">
        <v>0</v>
      </c>
    </row>
    <row r="725" customFormat="false" ht="15" hidden="false" customHeight="false" outlineLevel="0" collapsed="false">
      <c r="A725" s="37" t="s">
        <v>604</v>
      </c>
      <c r="B725" s="37" t="s">
        <v>97</v>
      </c>
      <c r="C725" s="37" t="s">
        <v>36</v>
      </c>
      <c r="D725" s="37" t="s">
        <v>37</v>
      </c>
      <c r="E725" s="38" t="n">
        <v>212.35481033732</v>
      </c>
      <c r="F725" s="38" t="n">
        <v>39.5421804668568</v>
      </c>
      <c r="G725" s="38" t="n">
        <v>15.8900074655096</v>
      </c>
      <c r="H725" s="38" t="n">
        <v>5.03770740845352</v>
      </c>
      <c r="I725" s="38" t="n">
        <v>249.92982070757</v>
      </c>
      <c r="J725" s="38" t="n">
        <v>46.6238148421574</v>
      </c>
      <c r="K725" s="38" t="n">
        <v>116.195599640635</v>
      </c>
      <c r="L725" s="38" t="n">
        <v>68.0569232422997</v>
      </c>
      <c r="M725" s="38" t="n">
        <v>64.1505367025835</v>
      </c>
      <c r="N725" s="38" t="n">
        <v>0</v>
      </c>
    </row>
    <row r="726" customFormat="false" ht="15" hidden="false" customHeight="false" outlineLevel="0" collapsed="false">
      <c r="A726" s="37" t="s">
        <v>604</v>
      </c>
      <c r="B726" s="37" t="s">
        <v>97</v>
      </c>
      <c r="C726" s="37" t="s">
        <v>41</v>
      </c>
      <c r="D726" s="37" t="s">
        <v>42</v>
      </c>
      <c r="E726" s="38" t="n">
        <v>197.504615391204</v>
      </c>
      <c r="F726" s="38" t="n">
        <v>50.1021652119538</v>
      </c>
      <c r="G726" s="38" t="n">
        <v>15.8703434973534</v>
      </c>
      <c r="H726" s="38" t="n">
        <v>4.91813901637848</v>
      </c>
      <c r="I726" s="38" t="n">
        <v>199.805750551216</v>
      </c>
      <c r="J726" s="38" t="n">
        <v>24.9339704552651</v>
      </c>
      <c r="K726" s="38" t="n">
        <v>81.7574699792299</v>
      </c>
      <c r="L726" s="38" t="n">
        <v>58.6234359682941</v>
      </c>
      <c r="M726" s="38" t="n">
        <v>48.8786590921157</v>
      </c>
      <c r="N726" s="38" t="n">
        <v>0</v>
      </c>
    </row>
    <row r="727" customFormat="false" ht="15" hidden="false" customHeight="false" outlineLevel="0" collapsed="false">
      <c r="A727" s="37" t="s">
        <v>604</v>
      </c>
      <c r="B727" s="37" t="s">
        <v>97</v>
      </c>
      <c r="C727" s="37" t="s">
        <v>46</v>
      </c>
      <c r="D727" s="37" t="s">
        <v>47</v>
      </c>
      <c r="E727" s="38" t="n">
        <v>234.687597392162</v>
      </c>
      <c r="F727" s="38" t="n">
        <v>39.3709787908919</v>
      </c>
      <c r="G727" s="38" t="n">
        <v>15.9096701474148</v>
      </c>
      <c r="H727" s="38" t="n">
        <v>39.2538560628545</v>
      </c>
      <c r="I727" s="38" t="n">
        <v>277.737315102788</v>
      </c>
      <c r="J727" s="38" t="n">
        <v>84.4873151027877</v>
      </c>
      <c r="K727" s="38" t="n">
        <v>148.498927709259</v>
      </c>
      <c r="L727" s="38" t="n">
        <v>80.4866339946371</v>
      </c>
      <c r="M727" s="38" t="n">
        <v>73.4984620321726</v>
      </c>
      <c r="N727" s="38" t="n">
        <v>0</v>
      </c>
    </row>
    <row r="728" customFormat="false" ht="15" hidden="false" customHeight="false" outlineLevel="0" collapsed="false">
      <c r="A728" s="37" t="s">
        <v>604</v>
      </c>
      <c r="B728" s="37" t="s">
        <v>97</v>
      </c>
      <c r="C728" s="37" t="s">
        <v>51</v>
      </c>
      <c r="D728" s="37" t="s">
        <v>51</v>
      </c>
      <c r="E728" s="38" t="n">
        <v>226.207494915441</v>
      </c>
      <c r="F728" s="38" t="n">
        <v>43.7973263962411</v>
      </c>
      <c r="G728" s="38" t="n">
        <v>15.9096701474148</v>
      </c>
      <c r="H728" s="38" t="n">
        <v>24.6229816723716</v>
      </c>
      <c r="I728" s="38" t="n">
        <v>273.073440389327</v>
      </c>
      <c r="J728" s="38" t="n">
        <v>76.3997397544498</v>
      </c>
      <c r="K728" s="38" t="n">
        <v>143.738934549133</v>
      </c>
      <c r="L728" s="38" t="n">
        <v>76.7111932126859</v>
      </c>
      <c r="M728" s="38" t="n">
        <v>72.3053451505834</v>
      </c>
      <c r="N728" s="38" t="n">
        <v>0</v>
      </c>
    </row>
    <row r="729" customFormat="false" ht="15" hidden="false" customHeight="false" outlineLevel="0" collapsed="false">
      <c r="A729" s="37" t="s">
        <v>604</v>
      </c>
      <c r="B729" s="37" t="s">
        <v>97</v>
      </c>
      <c r="C729" s="37" t="s">
        <v>55</v>
      </c>
      <c r="D729" s="37" t="s">
        <v>37</v>
      </c>
      <c r="E729" s="38" t="n">
        <v>203.876924895483</v>
      </c>
      <c r="F729" s="38" t="n">
        <v>39.2463781221134</v>
      </c>
      <c r="G729" s="38" t="n">
        <v>15.8879981389307</v>
      </c>
      <c r="H729" s="38" t="n">
        <v>4.78960818182069</v>
      </c>
      <c r="I729" s="38" t="n">
        <v>257.053769653342</v>
      </c>
      <c r="J729" s="38" t="n">
        <v>56.3677048569579</v>
      </c>
      <c r="K729" s="38" t="n">
        <v>109.860548283638</v>
      </c>
      <c r="L729" s="38" t="n">
        <v>61.7973461342647</v>
      </c>
      <c r="M729" s="38" t="n">
        <v>58.5564886811493</v>
      </c>
      <c r="N729" s="38" t="n">
        <v>0</v>
      </c>
    </row>
    <row r="730" customFormat="false" ht="15" hidden="false" customHeight="false" outlineLevel="0" collapsed="false">
      <c r="A730" s="37" t="s">
        <v>604</v>
      </c>
      <c r="B730" s="37" t="s">
        <v>97</v>
      </c>
      <c r="C730" s="37" t="s">
        <v>59</v>
      </c>
      <c r="D730" s="37" t="s">
        <v>42</v>
      </c>
      <c r="E730" s="38" t="n">
        <v>193.259181602221</v>
      </c>
      <c r="F730" s="38" t="n">
        <v>51.9852683851449</v>
      </c>
      <c r="G730" s="38" t="n">
        <v>15.869083636014</v>
      </c>
      <c r="H730" s="38" t="n">
        <v>4.71774603816191</v>
      </c>
      <c r="I730" s="38" t="n">
        <v>196.907927832669</v>
      </c>
      <c r="J730" s="38" t="n">
        <v>-1.70882999620099</v>
      </c>
      <c r="K730" s="38" t="n">
        <v>74.7137472812388</v>
      </c>
      <c r="L730" s="38" t="n">
        <v>51.7098169956925</v>
      </c>
      <c r="M730" s="38" t="n">
        <v>43.0128559543512</v>
      </c>
      <c r="N730" s="38" t="n">
        <v>0</v>
      </c>
    </row>
    <row r="731" customFormat="false" ht="15" hidden="false" customHeight="false" outlineLevel="0" collapsed="false">
      <c r="A731" s="37" t="s">
        <v>604</v>
      </c>
      <c r="B731" s="37" t="s">
        <v>97</v>
      </c>
      <c r="C731" s="37" t="s">
        <v>63</v>
      </c>
      <c r="D731" s="37" t="s">
        <v>47</v>
      </c>
      <c r="E731" s="38" t="n">
        <v>220.928487506647</v>
      </c>
      <c r="F731" s="38" t="n">
        <v>39.7126939250389</v>
      </c>
      <c r="G731" s="38" t="n">
        <v>15.8928100218492</v>
      </c>
      <c r="H731" s="38" t="n">
        <v>38.7510974202793</v>
      </c>
      <c r="I731" s="38" t="n">
        <v>258.22642486926</v>
      </c>
      <c r="J731" s="38" t="n">
        <v>60.2465191306639</v>
      </c>
      <c r="K731" s="38" t="n">
        <v>127.239972005141</v>
      </c>
      <c r="L731" s="38" t="n">
        <v>69.2554485525479</v>
      </c>
      <c r="M731" s="38" t="n">
        <v>65.7945879421018</v>
      </c>
      <c r="N731" s="38" t="n">
        <v>0</v>
      </c>
    </row>
    <row r="732" customFormat="false" ht="15" hidden="false" customHeight="false" outlineLevel="0" collapsed="false">
      <c r="A732" s="37" t="s">
        <v>604</v>
      </c>
      <c r="B732" s="37" t="s">
        <v>97</v>
      </c>
      <c r="C732" s="37" t="s">
        <v>67</v>
      </c>
      <c r="D732" s="37" t="s">
        <v>68</v>
      </c>
      <c r="E732" s="38" t="n">
        <v>198.428096638345</v>
      </c>
      <c r="F732" s="38" t="n">
        <v>40.6527835550995</v>
      </c>
      <c r="G732" s="38" t="n">
        <v>15.3866863643237</v>
      </c>
      <c r="H732" s="38" t="n">
        <v>4.99119857494195</v>
      </c>
      <c r="I732" s="38" t="n">
        <v>214.499062056731</v>
      </c>
      <c r="J732" s="38" t="n">
        <v>32.9990620567309</v>
      </c>
      <c r="K732" s="38" t="n">
        <v>111.643133552185</v>
      </c>
      <c r="L732" s="38" t="n">
        <v>63.766373906721</v>
      </c>
      <c r="M732" s="38" t="n">
        <v>59.91272454737</v>
      </c>
      <c r="N732" s="38" t="n">
        <v>0</v>
      </c>
    </row>
    <row r="733" customFormat="false" ht="15" hidden="false" customHeight="false" outlineLevel="0" collapsed="false">
      <c r="A733" s="37" t="s">
        <v>604</v>
      </c>
      <c r="B733" s="37" t="s">
        <v>97</v>
      </c>
      <c r="C733" s="37" t="s">
        <v>72</v>
      </c>
      <c r="D733" s="37" t="s">
        <v>73</v>
      </c>
      <c r="E733" s="38" t="n">
        <v>196.339297487086</v>
      </c>
      <c r="F733" s="38" t="n">
        <v>40.775677806062</v>
      </c>
      <c r="G733" s="38" t="n">
        <v>15.9096701474148</v>
      </c>
      <c r="H733" s="38" t="n">
        <v>10.6457555394483</v>
      </c>
      <c r="I733" s="38" t="n">
        <v>223.144367874313</v>
      </c>
      <c r="J733" s="38" t="n">
        <v>186.772383747329</v>
      </c>
      <c r="K733" s="38" t="n">
        <v>102.79778987583</v>
      </c>
      <c r="L733" s="38" t="n">
        <v>64.4291129644819</v>
      </c>
      <c r="M733" s="38" t="n">
        <v>55.2650643234037</v>
      </c>
      <c r="N733" s="38" t="n">
        <v>0</v>
      </c>
    </row>
    <row r="734" customFormat="false" ht="15" hidden="false" customHeight="false" outlineLevel="0" collapsed="false">
      <c r="A734" s="37" t="s">
        <v>604</v>
      </c>
      <c r="B734" s="37" t="s">
        <v>97</v>
      </c>
      <c r="C734" s="37" t="s">
        <v>77</v>
      </c>
      <c r="D734" s="37" t="s">
        <v>78</v>
      </c>
      <c r="E734" s="38" t="n">
        <v>233.375930997307</v>
      </c>
      <c r="F734" s="38" t="n">
        <v>51.6606518328984</v>
      </c>
      <c r="G734" s="38" t="n">
        <v>16.0668521161789</v>
      </c>
      <c r="H734" s="38" t="n">
        <v>23.6310096401959</v>
      </c>
      <c r="I734" s="38" t="n">
        <v>262.178889775454</v>
      </c>
      <c r="J734" s="38" t="n">
        <v>80.9583136973324</v>
      </c>
      <c r="K734" s="38" t="n">
        <v>148.845395726266</v>
      </c>
      <c r="L734" s="38" t="n">
        <v>80.3409242589499</v>
      </c>
      <c r="M734" s="38" t="n">
        <v>76.1481166212383</v>
      </c>
      <c r="N734" s="38" t="n">
        <v>0</v>
      </c>
    </row>
    <row r="735" customFormat="false" ht="15" hidden="false" customHeight="false" outlineLevel="0" collapsed="false">
      <c r="A735" s="37" t="s">
        <v>604</v>
      </c>
      <c r="B735" s="37" t="s">
        <v>100</v>
      </c>
      <c r="C735" s="37" t="s">
        <v>36</v>
      </c>
      <c r="D735" s="37" t="s">
        <v>37</v>
      </c>
      <c r="E735" s="38" t="n">
        <v>202.934200784341</v>
      </c>
      <c r="F735" s="38" t="n">
        <v>39.524945228268</v>
      </c>
      <c r="G735" s="38" t="n">
        <v>15.8897125368966</v>
      </c>
      <c r="H735" s="38" t="n">
        <v>5.01869644449263</v>
      </c>
      <c r="I735" s="38" t="n">
        <v>229.485094092929</v>
      </c>
      <c r="J735" s="38" t="n">
        <v>37.2632212428767</v>
      </c>
      <c r="K735" s="38" t="n">
        <v>103.885891747912</v>
      </c>
      <c r="L735" s="38" t="n">
        <v>63.0919632928691</v>
      </c>
      <c r="M735" s="38" t="n">
        <v>59.0128029977458</v>
      </c>
      <c r="N735" s="38" t="n">
        <v>0</v>
      </c>
    </row>
    <row r="736" customFormat="false" ht="15" hidden="false" customHeight="false" outlineLevel="0" collapsed="false">
      <c r="A736" s="37" t="s">
        <v>604</v>
      </c>
      <c r="B736" s="37" t="s">
        <v>100</v>
      </c>
      <c r="C736" s="37" t="s">
        <v>41</v>
      </c>
      <c r="D736" s="37" t="s">
        <v>42</v>
      </c>
      <c r="E736" s="38" t="n">
        <v>190.059681602889</v>
      </c>
      <c r="F736" s="38" t="n">
        <v>50.0742214826534</v>
      </c>
      <c r="G736" s="38" t="n">
        <v>15.8703130310226</v>
      </c>
      <c r="H736" s="38" t="n">
        <v>4.91105759022253</v>
      </c>
      <c r="I736" s="38" t="n">
        <v>181.527612824376</v>
      </c>
      <c r="J736" s="38" t="n">
        <v>13.7336036119123</v>
      </c>
      <c r="K736" s="38" t="n">
        <v>71.5427177347466</v>
      </c>
      <c r="L736" s="38" t="n">
        <v>56.3651915991903</v>
      </c>
      <c r="M736" s="38" t="n">
        <v>44.5729212739675</v>
      </c>
      <c r="N736" s="38" t="n">
        <v>0</v>
      </c>
    </row>
    <row r="737" customFormat="false" ht="15" hidden="false" customHeight="false" outlineLevel="0" collapsed="false">
      <c r="A737" s="37" t="s">
        <v>604</v>
      </c>
      <c r="B737" s="37" t="s">
        <v>100</v>
      </c>
      <c r="C737" s="37" t="s">
        <v>46</v>
      </c>
      <c r="D737" s="37" t="s">
        <v>47</v>
      </c>
      <c r="E737" s="38" t="n">
        <v>227.856410563693</v>
      </c>
      <c r="F737" s="38" t="n">
        <v>39.3556261278555</v>
      </c>
      <c r="G737" s="38" t="n">
        <v>15.9096701474148</v>
      </c>
      <c r="H737" s="38" t="n">
        <v>39.2538560628545</v>
      </c>
      <c r="I737" s="38" t="n">
        <v>263.018639295777</v>
      </c>
      <c r="J737" s="38" t="n">
        <v>69.7686392957768</v>
      </c>
      <c r="K737" s="38" t="n">
        <v>142.507944321157</v>
      </c>
      <c r="L737" s="38" t="n">
        <v>78.529961792023</v>
      </c>
      <c r="M737" s="38" t="n">
        <v>70.8359988627755</v>
      </c>
      <c r="N737" s="38" t="n">
        <v>0</v>
      </c>
    </row>
    <row r="738" customFormat="false" ht="15" hidden="false" customHeight="false" outlineLevel="0" collapsed="false">
      <c r="A738" s="37" t="s">
        <v>604</v>
      </c>
      <c r="B738" s="37" t="s">
        <v>100</v>
      </c>
      <c r="C738" s="37" t="s">
        <v>51</v>
      </c>
      <c r="D738" s="37" t="s">
        <v>51</v>
      </c>
      <c r="E738" s="38" t="n">
        <v>218.462152266899</v>
      </c>
      <c r="F738" s="38" t="n">
        <v>43.7730564105364</v>
      </c>
      <c r="G738" s="38" t="n">
        <v>15.9096701474148</v>
      </c>
      <c r="H738" s="38" t="n">
        <v>24.6229816723716</v>
      </c>
      <c r="I738" s="38" t="n">
        <v>255.433078633905</v>
      </c>
      <c r="J738" s="38" t="n">
        <v>58.7593779990281</v>
      </c>
      <c r="K738" s="38" t="n">
        <v>136.515391068817</v>
      </c>
      <c r="L738" s="38" t="n">
        <v>74.6403384756659</v>
      </c>
      <c r="M738" s="38" t="n">
        <v>69.0669857414885</v>
      </c>
      <c r="N738" s="38" t="n">
        <v>0</v>
      </c>
    </row>
    <row r="739" customFormat="false" ht="15" hidden="false" customHeight="false" outlineLevel="0" collapsed="false">
      <c r="A739" s="37" t="s">
        <v>604</v>
      </c>
      <c r="B739" s="37" t="s">
        <v>100</v>
      </c>
      <c r="C739" s="37" t="s">
        <v>55</v>
      </c>
      <c r="D739" s="37" t="s">
        <v>37</v>
      </c>
      <c r="E739" s="38" t="n">
        <v>194.85157021997</v>
      </c>
      <c r="F739" s="38" t="n">
        <v>39.2284907469033</v>
      </c>
      <c r="G739" s="38" t="n">
        <v>15.8876816485261</v>
      </c>
      <c r="H739" s="38" t="n">
        <v>4.78960818182069</v>
      </c>
      <c r="I739" s="38" t="n">
        <v>235.84967586333</v>
      </c>
      <c r="J739" s="38" t="n">
        <v>34.9856105289085</v>
      </c>
      <c r="K739" s="38" t="n">
        <v>95.5143143879549</v>
      </c>
      <c r="L739" s="38" t="n">
        <v>59.2613911687921</v>
      </c>
      <c r="M739" s="38" t="n">
        <v>53.1054954989538</v>
      </c>
      <c r="N739" s="38" t="n">
        <v>0</v>
      </c>
    </row>
    <row r="740" customFormat="false" ht="15" hidden="false" customHeight="false" outlineLevel="0" collapsed="false">
      <c r="A740" s="37" t="s">
        <v>604</v>
      </c>
      <c r="B740" s="37" t="s">
        <v>100</v>
      </c>
      <c r="C740" s="37" t="s">
        <v>59</v>
      </c>
      <c r="D740" s="37" t="s">
        <v>42</v>
      </c>
      <c r="E740" s="38" t="n">
        <v>186.111201174114</v>
      </c>
      <c r="F740" s="38" t="n">
        <v>51.953852951744</v>
      </c>
      <c r="G740" s="38" t="n">
        <v>15.8690820878411</v>
      </c>
      <c r="H740" s="38" t="n">
        <v>4.71774603816191</v>
      </c>
      <c r="I740" s="38" t="n">
        <v>178.587999208253</v>
      </c>
      <c r="J740" s="38" t="n">
        <v>-20.0287903533903</v>
      </c>
      <c r="K740" s="38" t="n">
        <v>63.6837602796161</v>
      </c>
      <c r="L740" s="38" t="n">
        <v>49.7200997907111</v>
      </c>
      <c r="M740" s="38" t="n">
        <v>38.971267036615</v>
      </c>
      <c r="N740" s="38" t="n">
        <v>0</v>
      </c>
    </row>
    <row r="741" customFormat="false" ht="15" hidden="false" customHeight="false" outlineLevel="0" collapsed="false">
      <c r="A741" s="37" t="s">
        <v>604</v>
      </c>
      <c r="B741" s="37" t="s">
        <v>100</v>
      </c>
      <c r="C741" s="37" t="s">
        <v>63</v>
      </c>
      <c r="D741" s="37" t="s">
        <v>47</v>
      </c>
      <c r="E741" s="38" t="n">
        <v>214.302284522151</v>
      </c>
      <c r="F741" s="38" t="n">
        <v>39.6948298693151</v>
      </c>
      <c r="G741" s="38" t="n">
        <v>15.8926034466474</v>
      </c>
      <c r="H741" s="38" t="n">
        <v>38.7510974202793</v>
      </c>
      <c r="I741" s="38" t="n">
        <v>243.345472885893</v>
      </c>
      <c r="J741" s="38" t="n">
        <v>45.2493965428219</v>
      </c>
      <c r="K741" s="38" t="n">
        <v>120.899604945755</v>
      </c>
      <c r="L741" s="38" t="n">
        <v>67.3931351623113</v>
      </c>
      <c r="M741" s="38" t="n">
        <v>62.9317846203986</v>
      </c>
      <c r="N741" s="38" t="n">
        <v>0</v>
      </c>
    </row>
    <row r="742" customFormat="false" ht="15" hidden="false" customHeight="false" outlineLevel="0" collapsed="false">
      <c r="A742" s="37" t="s">
        <v>604</v>
      </c>
      <c r="B742" s="37" t="s">
        <v>100</v>
      </c>
      <c r="C742" s="37" t="s">
        <v>67</v>
      </c>
      <c r="D742" s="37" t="s">
        <v>68</v>
      </c>
      <c r="E742" s="38" t="n">
        <v>190.496241622234</v>
      </c>
      <c r="F742" s="38" t="n">
        <v>40.6366060193638</v>
      </c>
      <c r="G742" s="38" t="n">
        <v>15.3801928357692</v>
      </c>
      <c r="H742" s="38" t="n">
        <v>4.98568785887713</v>
      </c>
      <c r="I742" s="38" t="n">
        <v>195.581862962234</v>
      </c>
      <c r="J742" s="38" t="n">
        <v>24.6413002682118</v>
      </c>
      <c r="K742" s="38" t="n">
        <v>95.3247836790513</v>
      </c>
      <c r="L742" s="38" t="n">
        <v>61.8405124047712</v>
      </c>
      <c r="M742" s="38" t="n">
        <v>53.760046854613</v>
      </c>
      <c r="N742" s="38" t="n">
        <v>0</v>
      </c>
    </row>
    <row r="743" customFormat="false" ht="15" hidden="false" customHeight="false" outlineLevel="0" collapsed="false">
      <c r="A743" s="37" t="s">
        <v>604</v>
      </c>
      <c r="B743" s="37" t="s">
        <v>100</v>
      </c>
      <c r="C743" s="37" t="s">
        <v>72</v>
      </c>
      <c r="D743" s="37" t="s">
        <v>73</v>
      </c>
      <c r="E743" s="38" t="n">
        <v>188.802929241249</v>
      </c>
      <c r="F743" s="38" t="n">
        <v>40.7565261267345</v>
      </c>
      <c r="G743" s="38" t="n">
        <v>15.9096701474148</v>
      </c>
      <c r="H743" s="38" t="n">
        <v>10.6457555394483</v>
      </c>
      <c r="I743" s="38" t="n">
        <v>204.558102408832</v>
      </c>
      <c r="J743" s="38" t="n">
        <v>168.186118281847</v>
      </c>
      <c r="K743" s="38" t="n">
        <v>94.0887035195505</v>
      </c>
      <c r="L743" s="38" t="n">
        <v>62.8495391361092</v>
      </c>
      <c r="M743" s="38" t="n">
        <v>51.5507143429852</v>
      </c>
      <c r="N743" s="38" t="n">
        <v>0</v>
      </c>
    </row>
    <row r="744" customFormat="false" ht="15" hidden="false" customHeight="false" outlineLevel="0" collapsed="false">
      <c r="A744" s="37" t="s">
        <v>604</v>
      </c>
      <c r="B744" s="37" t="s">
        <v>100</v>
      </c>
      <c r="C744" s="37" t="s">
        <v>77</v>
      </c>
      <c r="D744" s="37" t="s">
        <v>78</v>
      </c>
      <c r="E744" s="38" t="n">
        <v>225.750832919739</v>
      </c>
      <c r="F744" s="38" t="n">
        <v>51.6376315675158</v>
      </c>
      <c r="G744" s="38" t="n">
        <v>16.0668512450214</v>
      </c>
      <c r="H744" s="38" t="n">
        <v>23.6310096401959</v>
      </c>
      <c r="I744" s="38" t="n">
        <v>245.078996026032</v>
      </c>
      <c r="J744" s="38" t="n">
        <v>63.8580863036676</v>
      </c>
      <c r="K744" s="38" t="n">
        <v>141.966478210342</v>
      </c>
      <c r="L744" s="38" t="n">
        <v>78.1875617920249</v>
      </c>
      <c r="M744" s="38" t="n">
        <v>73.1088570877375</v>
      </c>
      <c r="N744" s="38" t="n">
        <v>0</v>
      </c>
    </row>
    <row r="745" customFormat="false" ht="15" hidden="false" customHeight="false" outlineLevel="0" collapsed="false">
      <c r="A745" s="37" t="s">
        <v>604</v>
      </c>
      <c r="B745" s="37" t="s">
        <v>106</v>
      </c>
      <c r="C745" s="37" t="s">
        <v>36</v>
      </c>
      <c r="D745" s="37" t="s">
        <v>37</v>
      </c>
      <c r="E745" s="38" t="n">
        <v>213.347744514502</v>
      </c>
      <c r="F745" s="38" t="n">
        <v>40.5305423632553</v>
      </c>
      <c r="G745" s="38" t="n">
        <v>15.8900202461458</v>
      </c>
      <c r="H745" s="38" t="n">
        <v>5.03770740845352</v>
      </c>
      <c r="I745" s="38" t="n">
        <v>251.242735184241</v>
      </c>
      <c r="J745" s="38" t="n">
        <v>47.9439170887028</v>
      </c>
      <c r="K745" s="38" t="n">
        <v>117.716225740762</v>
      </c>
      <c r="L745" s="38" t="n">
        <v>69.7199226442685</v>
      </c>
      <c r="M745" s="38" t="n">
        <v>64.7838227470952</v>
      </c>
      <c r="N745" s="38" t="n">
        <v>0</v>
      </c>
    </row>
    <row r="746" customFormat="false" ht="15" hidden="false" customHeight="false" outlineLevel="0" collapsed="false">
      <c r="A746" s="37" t="s">
        <v>604</v>
      </c>
      <c r="B746" s="37" t="s">
        <v>106</v>
      </c>
      <c r="C746" s="37" t="s">
        <v>41</v>
      </c>
      <c r="D746" s="37" t="s">
        <v>42</v>
      </c>
      <c r="E746" s="38" t="n">
        <v>199.387684901945</v>
      </c>
      <c r="F746" s="38" t="n">
        <v>51.9464261239133</v>
      </c>
      <c r="G746" s="38" t="n">
        <v>15.8704467745818</v>
      </c>
      <c r="H746" s="38" t="n">
        <v>4.92031538974567</v>
      </c>
      <c r="I746" s="38" t="n">
        <v>202.102448284199</v>
      </c>
      <c r="J746" s="38" t="n">
        <v>24.9480983994581</v>
      </c>
      <c r="K746" s="38" t="n">
        <v>84.9046782057595</v>
      </c>
      <c r="L746" s="38" t="n">
        <v>59.392733103221</v>
      </c>
      <c r="M746" s="38" t="n">
        <v>50.2121491461415</v>
      </c>
      <c r="N746" s="38" t="n">
        <v>0</v>
      </c>
    </row>
    <row r="747" customFormat="false" ht="15" hidden="false" customHeight="false" outlineLevel="0" collapsed="false">
      <c r="A747" s="37" t="s">
        <v>604</v>
      </c>
      <c r="B747" s="37" t="s">
        <v>106</v>
      </c>
      <c r="C747" s="37" t="s">
        <v>46</v>
      </c>
      <c r="D747" s="37" t="s">
        <v>47</v>
      </c>
      <c r="E747" s="38" t="n">
        <v>235.869400649567</v>
      </c>
      <c r="F747" s="38" t="n">
        <v>40.5527820482971</v>
      </c>
      <c r="G747" s="38" t="n">
        <v>15.9096701474148</v>
      </c>
      <c r="H747" s="38" t="n">
        <v>39.2538560628545</v>
      </c>
      <c r="I747" s="38" t="n">
        <v>279.254100812977</v>
      </c>
      <c r="J747" s="38" t="n">
        <v>86.0041008129767</v>
      </c>
      <c r="K747" s="38" t="n">
        <v>150.23448975261</v>
      </c>
      <c r="L747" s="38" t="n">
        <v>80.870844928437</v>
      </c>
      <c r="M747" s="38" t="n">
        <v>74.2608591357459</v>
      </c>
      <c r="N747" s="38" t="n">
        <v>0</v>
      </c>
    </row>
    <row r="748" customFormat="false" ht="15" hidden="false" customHeight="false" outlineLevel="0" collapsed="false">
      <c r="A748" s="37" t="s">
        <v>604</v>
      </c>
      <c r="B748" s="37" t="s">
        <v>106</v>
      </c>
      <c r="C748" s="37" t="s">
        <v>51</v>
      </c>
      <c r="D748" s="37" t="s">
        <v>51</v>
      </c>
      <c r="E748" s="38" t="n">
        <v>227.818289991583</v>
      </c>
      <c r="F748" s="38" t="n">
        <v>45.4081214723827</v>
      </c>
      <c r="G748" s="38" t="n">
        <v>15.9096701474148</v>
      </c>
      <c r="H748" s="38" t="n">
        <v>24.6229816723716</v>
      </c>
      <c r="I748" s="38" t="n">
        <v>275.023921317846</v>
      </c>
      <c r="J748" s="38" t="n">
        <v>78.3502206829689</v>
      </c>
      <c r="K748" s="38" t="n">
        <v>146.21186909302</v>
      </c>
      <c r="L748" s="38" t="n">
        <v>77.2893292393405</v>
      </c>
      <c r="M748" s="38" t="n">
        <v>73.3750194995088</v>
      </c>
      <c r="N748" s="38" t="n">
        <v>0</v>
      </c>
    </row>
    <row r="749" customFormat="false" ht="15" hidden="false" customHeight="false" outlineLevel="0" collapsed="false">
      <c r="A749" s="37" t="s">
        <v>604</v>
      </c>
      <c r="B749" s="37" t="s">
        <v>106</v>
      </c>
      <c r="C749" s="37" t="s">
        <v>55</v>
      </c>
      <c r="D749" s="37" t="s">
        <v>37</v>
      </c>
      <c r="E749" s="38" t="n">
        <v>204.831600239416</v>
      </c>
      <c r="F749" s="38" t="n">
        <v>40.1970982438716</v>
      </c>
      <c r="G749" s="38" t="n">
        <v>15.8880107688926</v>
      </c>
      <c r="H749" s="38" t="n">
        <v>4.78960818182069</v>
      </c>
      <c r="I749" s="38" t="n">
        <v>258.350561560834</v>
      </c>
      <c r="J749" s="38" t="n">
        <v>57.6716000841547</v>
      </c>
      <c r="K749" s="38" t="n">
        <v>111.36414848529</v>
      </c>
      <c r="L749" s="38" t="n">
        <v>62.1357033138539</v>
      </c>
      <c r="M749" s="38" t="n">
        <v>59.2022408640885</v>
      </c>
      <c r="N749" s="38" t="n">
        <v>0</v>
      </c>
    </row>
    <row r="750" customFormat="false" ht="15" hidden="false" customHeight="false" outlineLevel="0" collapsed="false">
      <c r="A750" s="37" t="s">
        <v>604</v>
      </c>
      <c r="B750" s="37" t="s">
        <v>106</v>
      </c>
      <c r="C750" s="37" t="s">
        <v>59</v>
      </c>
      <c r="D750" s="37" t="s">
        <v>42</v>
      </c>
      <c r="E750" s="38" t="n">
        <v>195.23231538996</v>
      </c>
      <c r="F750" s="38" t="n">
        <v>53.9573017287729</v>
      </c>
      <c r="G750" s="38" t="n">
        <v>15.8691800633826</v>
      </c>
      <c r="H750" s="38" t="n">
        <v>4.71774603816191</v>
      </c>
      <c r="I750" s="38" t="n">
        <v>199.42127038675</v>
      </c>
      <c r="J750" s="38" t="n">
        <v>0.806499321816624</v>
      </c>
      <c r="K750" s="38" t="n">
        <v>78.391048398146</v>
      </c>
      <c r="L750" s="38" t="n">
        <v>52.4637500348549</v>
      </c>
      <c r="M750" s="38" t="n">
        <v>44.3631456369956</v>
      </c>
      <c r="N750" s="38" t="n">
        <v>0</v>
      </c>
    </row>
    <row r="751" customFormat="false" ht="15" hidden="false" customHeight="false" outlineLevel="0" collapsed="false">
      <c r="A751" s="37" t="s">
        <v>604</v>
      </c>
      <c r="B751" s="37" t="s">
        <v>106</v>
      </c>
      <c r="C751" s="37" t="s">
        <v>63</v>
      </c>
      <c r="D751" s="37" t="s">
        <v>47</v>
      </c>
      <c r="E751" s="38" t="n">
        <v>222.062888970281</v>
      </c>
      <c r="F751" s="38" t="n">
        <v>40.8440033495286</v>
      </c>
      <c r="G751" s="38" t="n">
        <v>15.8928223765616</v>
      </c>
      <c r="H751" s="38" t="n">
        <v>38.7510974202793</v>
      </c>
      <c r="I751" s="38" t="n">
        <v>259.738301021467</v>
      </c>
      <c r="J751" s="38" t="n">
        <v>61.7653431218661</v>
      </c>
      <c r="K751" s="38" t="n">
        <v>128.986565004677</v>
      </c>
      <c r="L751" s="38" t="n">
        <v>69.6276427339992</v>
      </c>
      <c r="M751" s="38" t="n">
        <v>66.5147592218839</v>
      </c>
      <c r="N751" s="38" t="n">
        <v>0</v>
      </c>
    </row>
    <row r="752" customFormat="false" ht="15" hidden="false" customHeight="false" outlineLevel="0" collapsed="false">
      <c r="A752" s="37" t="s">
        <v>604</v>
      </c>
      <c r="B752" s="37" t="s">
        <v>106</v>
      </c>
      <c r="C752" s="37" t="s">
        <v>67</v>
      </c>
      <c r="D752" s="37" t="s">
        <v>68</v>
      </c>
      <c r="E752" s="38" t="n">
        <v>199.494548533282</v>
      </c>
      <c r="F752" s="38" t="n">
        <v>41.7183063843097</v>
      </c>
      <c r="G752" s="38" t="n">
        <v>15.3871983125926</v>
      </c>
      <c r="H752" s="38" t="n">
        <v>4.99119857494195</v>
      </c>
      <c r="I752" s="38" t="n">
        <v>215.980240544384</v>
      </c>
      <c r="J752" s="38" t="n">
        <v>34.4802405443841</v>
      </c>
      <c r="K752" s="38" t="n">
        <v>114.720110331877</v>
      </c>
      <c r="L752" s="38" t="n">
        <v>64.1686875736131</v>
      </c>
      <c r="M752" s="38" t="n">
        <v>61.0319520758124</v>
      </c>
      <c r="N752" s="38" t="n">
        <v>0</v>
      </c>
    </row>
    <row r="753" customFormat="false" ht="15" hidden="false" customHeight="false" outlineLevel="0" collapsed="false">
      <c r="A753" s="37" t="s">
        <v>604</v>
      </c>
      <c r="B753" s="37" t="s">
        <v>106</v>
      </c>
      <c r="C753" s="37" t="s">
        <v>72</v>
      </c>
      <c r="D753" s="37" t="s">
        <v>73</v>
      </c>
      <c r="E753" s="38" t="n">
        <v>197.500002925245</v>
      </c>
      <c r="F753" s="38" t="n">
        <v>41.936383244221</v>
      </c>
      <c r="G753" s="38" t="n">
        <v>15.9096701474148</v>
      </c>
      <c r="H753" s="38" t="n">
        <v>10.6457555394483</v>
      </c>
      <c r="I753" s="38" t="n">
        <v>224.739333449565</v>
      </c>
      <c r="J753" s="38" t="n">
        <v>188.367349322581</v>
      </c>
      <c r="K753" s="38" t="n">
        <v>104.814016456486</v>
      </c>
      <c r="L753" s="38" t="n">
        <v>64.8188596806773</v>
      </c>
      <c r="M753" s="38" t="n">
        <v>56.1215934675414</v>
      </c>
      <c r="N753" s="38" t="n">
        <v>0</v>
      </c>
    </row>
    <row r="754" customFormat="false" ht="15" hidden="false" customHeight="false" outlineLevel="0" collapsed="false">
      <c r="A754" s="37" t="s">
        <v>604</v>
      </c>
      <c r="B754" s="37" t="s">
        <v>106</v>
      </c>
      <c r="C754" s="37" t="s">
        <v>77</v>
      </c>
      <c r="D754" s="37" t="s">
        <v>78</v>
      </c>
      <c r="E754" s="38" t="n">
        <v>234.957824624317</v>
      </c>
      <c r="F754" s="38" t="n">
        <v>53.2406932995625</v>
      </c>
      <c r="G754" s="38" t="n">
        <v>16.0669071594102</v>
      </c>
      <c r="H754" s="38" t="n">
        <v>23.6310096401959</v>
      </c>
      <c r="I754" s="38" t="n">
        <v>264.039022024368</v>
      </c>
      <c r="J754" s="38" t="n">
        <v>82.8395420950462</v>
      </c>
      <c r="K754" s="38" t="n">
        <v>151.344116758061</v>
      </c>
      <c r="L754" s="38" t="n">
        <v>80.9422433826054</v>
      </c>
      <c r="M754" s="38" t="n">
        <v>77.2314305887488</v>
      </c>
      <c r="N754" s="38" t="n">
        <v>0</v>
      </c>
    </row>
    <row r="755" customFormat="false" ht="15" hidden="false" customHeight="false" outlineLevel="0" collapsed="false">
      <c r="A755" s="37" t="s">
        <v>604</v>
      </c>
      <c r="B755" s="37" t="s">
        <v>112</v>
      </c>
      <c r="C755" s="37" t="s">
        <v>36</v>
      </c>
      <c r="D755" s="37" t="s">
        <v>37</v>
      </c>
      <c r="E755" s="38" t="n">
        <v>213.293393581364</v>
      </c>
      <c r="F755" s="38" t="n">
        <v>39.5422799940149</v>
      </c>
      <c r="G755" s="38" t="n">
        <v>15.8900283492339</v>
      </c>
      <c r="H755" s="38" t="n">
        <v>5.96872004502589</v>
      </c>
      <c r="I755" s="38" t="n">
        <v>253.245483368213</v>
      </c>
      <c r="J755" s="38" t="n">
        <v>49.951222410442</v>
      </c>
      <c r="K755" s="38" t="n">
        <v>117.124782927699</v>
      </c>
      <c r="L755" s="38" t="n">
        <v>69.7104703372803</v>
      </c>
      <c r="M755" s="38" t="n">
        <v>64.6325224793303</v>
      </c>
      <c r="N755" s="38" t="n">
        <v>0</v>
      </c>
    </row>
    <row r="756" customFormat="false" ht="15" hidden="false" customHeight="false" outlineLevel="0" collapsed="false">
      <c r="A756" s="37" t="s">
        <v>604</v>
      </c>
      <c r="B756" s="37" t="s">
        <v>112</v>
      </c>
      <c r="C756" s="37" t="s">
        <v>41</v>
      </c>
      <c r="D756" s="37" t="s">
        <v>42</v>
      </c>
      <c r="E756" s="38" t="n">
        <v>198.458021917425</v>
      </c>
      <c r="F756" s="38" t="n">
        <v>50.1020152616728</v>
      </c>
      <c r="G756" s="38" t="n">
        <v>15.8703609424993</v>
      </c>
      <c r="H756" s="38" t="n">
        <v>5.81146097587311</v>
      </c>
      <c r="I756" s="38" t="n">
        <v>203.211170121826</v>
      </c>
      <c r="J756" s="38" t="n">
        <v>24.9517561257772</v>
      </c>
      <c r="K756" s="38" t="n">
        <v>82.7688956914227</v>
      </c>
      <c r="L756" s="38" t="n">
        <v>59.084404148562</v>
      </c>
      <c r="M756" s="38" t="n">
        <v>49.4369506132641</v>
      </c>
      <c r="N756" s="38" t="n">
        <v>0</v>
      </c>
    </row>
    <row r="757" customFormat="false" ht="15" hidden="false" customHeight="false" outlineLevel="0" collapsed="false">
      <c r="A757" s="37" t="s">
        <v>604</v>
      </c>
      <c r="B757" s="37" t="s">
        <v>112</v>
      </c>
      <c r="C757" s="37" t="s">
        <v>46</v>
      </c>
      <c r="D757" s="37" t="s">
        <v>47</v>
      </c>
      <c r="E757" s="38" t="n">
        <v>252.510265599713</v>
      </c>
      <c r="F757" s="38" t="n">
        <v>39.4419588705632</v>
      </c>
      <c r="G757" s="38" t="n">
        <v>15.9096701474148</v>
      </c>
      <c r="H757" s="38" t="n">
        <v>57.0055441907341</v>
      </c>
      <c r="I757" s="38" t="n">
        <v>328.823648499754</v>
      </c>
      <c r="J757" s="38" t="n">
        <v>135.573648499754</v>
      </c>
      <c r="K757" s="38" t="n">
        <v>164.075330470078</v>
      </c>
      <c r="L757" s="38" t="n">
        <v>85.4274931425109</v>
      </c>
      <c r="M757" s="38" t="n">
        <v>79.0364976589832</v>
      </c>
      <c r="N757" s="38" t="n">
        <v>0</v>
      </c>
    </row>
    <row r="758" customFormat="false" ht="15" hidden="false" customHeight="false" outlineLevel="0" collapsed="false">
      <c r="A758" s="37" t="s">
        <v>604</v>
      </c>
      <c r="B758" s="37" t="s">
        <v>112</v>
      </c>
      <c r="C758" s="37" t="s">
        <v>51</v>
      </c>
      <c r="D758" s="37" t="s">
        <v>51</v>
      </c>
      <c r="E758" s="38" t="n">
        <v>238.702613872889</v>
      </c>
      <c r="F758" s="38" t="n">
        <v>43.849679270114</v>
      </c>
      <c r="G758" s="38" t="n">
        <v>15.9096701474148</v>
      </c>
      <c r="H758" s="38" t="n">
        <v>37.0657477559462</v>
      </c>
      <c r="I758" s="38" t="n">
        <v>303.996288793546</v>
      </c>
      <c r="J758" s="38" t="n">
        <v>107.322588158669</v>
      </c>
      <c r="K758" s="38" t="n">
        <v>156.0324267287</v>
      </c>
      <c r="L758" s="38" t="n">
        <v>80.9178256956745</v>
      </c>
      <c r="M758" s="38" t="n">
        <v>76.9352145530914</v>
      </c>
      <c r="N758" s="38" t="n">
        <v>0</v>
      </c>
    </row>
    <row r="759" customFormat="false" ht="15" hidden="false" customHeight="false" outlineLevel="0" collapsed="false">
      <c r="A759" s="37" t="s">
        <v>604</v>
      </c>
      <c r="B759" s="37" t="s">
        <v>112</v>
      </c>
      <c r="C759" s="37" t="s">
        <v>55</v>
      </c>
      <c r="D759" s="37" t="s">
        <v>37</v>
      </c>
      <c r="E759" s="38" t="n">
        <v>204.735757948704</v>
      </c>
      <c r="F759" s="38" t="n">
        <v>39.2464710444433</v>
      </c>
      <c r="G759" s="38" t="n">
        <v>15.888018113654</v>
      </c>
      <c r="H759" s="38" t="n">
        <v>5.64209299144803</v>
      </c>
      <c r="I759" s="38" t="n">
        <v>260.244875295405</v>
      </c>
      <c r="J759" s="38" t="n">
        <v>59.570044645021</v>
      </c>
      <c r="K759" s="38" t="n">
        <v>110.724601691801</v>
      </c>
      <c r="L759" s="38" t="n">
        <v>62.1148120473309</v>
      </c>
      <c r="M759" s="38" t="n">
        <v>59.0080797769136</v>
      </c>
      <c r="N759" s="38" t="n">
        <v>0</v>
      </c>
    </row>
    <row r="760" customFormat="false" ht="15" hidden="false" customHeight="false" outlineLevel="0" collapsed="false">
      <c r="A760" s="37" t="s">
        <v>604</v>
      </c>
      <c r="B760" s="37" t="s">
        <v>112</v>
      </c>
      <c r="C760" s="37" t="s">
        <v>59</v>
      </c>
      <c r="D760" s="37" t="s">
        <v>42</v>
      </c>
      <c r="E760" s="38" t="n">
        <v>194.08977237816</v>
      </c>
      <c r="F760" s="38" t="n">
        <v>51.9852683851449</v>
      </c>
      <c r="G760" s="38" t="n">
        <v>15.869083636014</v>
      </c>
      <c r="H760" s="38" t="n">
        <v>5.54833681410179</v>
      </c>
      <c r="I760" s="38" t="n">
        <v>200.328295039321</v>
      </c>
      <c r="J760" s="38" t="n">
        <v>1.71153721045118</v>
      </c>
      <c r="K760" s="38" t="n">
        <v>76.133525880392</v>
      </c>
      <c r="L760" s="38" t="n">
        <v>52.05181821629</v>
      </c>
      <c r="M760" s="38" t="n">
        <v>43.625125952094</v>
      </c>
      <c r="N760" s="38" t="n">
        <v>0</v>
      </c>
    </row>
    <row r="761" customFormat="false" ht="15" hidden="false" customHeight="false" outlineLevel="0" collapsed="false">
      <c r="A761" s="37" t="s">
        <v>604</v>
      </c>
      <c r="B761" s="37" t="s">
        <v>112</v>
      </c>
      <c r="C761" s="37" t="s">
        <v>63</v>
      </c>
      <c r="D761" s="37" t="s">
        <v>47</v>
      </c>
      <c r="E761" s="38" t="n">
        <v>239.339481815966</v>
      </c>
      <c r="F761" s="38" t="n">
        <v>39.7863826509495</v>
      </c>
      <c r="G761" s="38" t="n">
        <v>15.8931075092574</v>
      </c>
      <c r="H761" s="38" t="n">
        <v>57.0139594948565</v>
      </c>
      <c r="I761" s="38" t="n">
        <v>311.197456877748</v>
      </c>
      <c r="J761" s="38" t="n">
        <v>113.384846708922</v>
      </c>
      <c r="K761" s="38" t="n">
        <v>144.483890367267</v>
      </c>
      <c r="L761" s="38" t="n">
        <v>75.6357772407621</v>
      </c>
      <c r="M761" s="38" t="n">
        <v>72.6848899531521</v>
      </c>
      <c r="N761" s="38" t="n">
        <v>0</v>
      </c>
    </row>
    <row r="762" customFormat="false" ht="15" hidden="false" customHeight="false" outlineLevel="0" collapsed="false">
      <c r="A762" s="37" t="s">
        <v>604</v>
      </c>
      <c r="B762" s="37" t="s">
        <v>112</v>
      </c>
      <c r="C762" s="37" t="s">
        <v>67</v>
      </c>
      <c r="D762" s="37" t="s">
        <v>68</v>
      </c>
      <c r="E762" s="38" t="n">
        <v>199.345133522798</v>
      </c>
      <c r="F762" s="38" t="n">
        <v>40.6543478745472</v>
      </c>
      <c r="G762" s="38" t="n">
        <v>15.3876892033096</v>
      </c>
      <c r="H762" s="38" t="n">
        <v>5.90016312269727</v>
      </c>
      <c r="I762" s="38" t="n">
        <v>218.045065421888</v>
      </c>
      <c r="J762" s="38" t="n">
        <v>26.5450654218879</v>
      </c>
      <c r="K762" s="38" t="n">
        <v>107.146974394626</v>
      </c>
      <c r="L762" s="38" t="n">
        <v>66.5395978350909</v>
      </c>
      <c r="M762" s="38" t="n">
        <v>59.063505468548</v>
      </c>
      <c r="N762" s="38" t="n">
        <v>0</v>
      </c>
    </row>
    <row r="763" customFormat="false" ht="15" hidden="false" customHeight="false" outlineLevel="0" collapsed="false">
      <c r="A763" s="37" t="s">
        <v>604</v>
      </c>
      <c r="B763" s="37" t="s">
        <v>112</v>
      </c>
      <c r="C763" s="37" t="s">
        <v>72</v>
      </c>
      <c r="D763" s="37" t="s">
        <v>73</v>
      </c>
      <c r="E763" s="38" t="n">
        <v>200.887001792066</v>
      </c>
      <c r="F763" s="38" t="n">
        <v>40.7822258765813</v>
      </c>
      <c r="G763" s="38" t="n">
        <v>15.9096701474148</v>
      </c>
      <c r="H763" s="38" t="n">
        <v>15.186911773909</v>
      </c>
      <c r="I763" s="38" t="n">
        <v>234.13742757735</v>
      </c>
      <c r="J763" s="38" t="n">
        <v>197.765443450366</v>
      </c>
      <c r="K763" s="38" t="n">
        <v>109.117084458078</v>
      </c>
      <c r="L763" s="38" t="n">
        <v>65.7659427351984</v>
      </c>
      <c r="M763" s="38" t="n">
        <v>57.8231458677431</v>
      </c>
      <c r="N763" s="38" t="n">
        <v>0</v>
      </c>
    </row>
    <row r="764" customFormat="false" ht="15" hidden="false" customHeight="false" outlineLevel="0" collapsed="false">
      <c r="A764" s="37" t="s">
        <v>604</v>
      </c>
      <c r="B764" s="37" t="s">
        <v>112</v>
      </c>
      <c r="C764" s="37" t="s">
        <v>77</v>
      </c>
      <c r="D764" s="37" t="s">
        <v>78</v>
      </c>
      <c r="E764" s="38" t="n">
        <v>245.469513700007</v>
      </c>
      <c r="F764" s="38" t="n">
        <v>51.7032407247691</v>
      </c>
      <c r="G764" s="38" t="n">
        <v>16.0668530696377</v>
      </c>
      <c r="H764" s="38" t="n">
        <v>35.6819713564499</v>
      </c>
      <c r="I764" s="38" t="n">
        <v>289.686610323095</v>
      </c>
      <c r="J764" s="38" t="n">
        <v>108.466399418292</v>
      </c>
      <c r="K764" s="38" t="n">
        <v>159.918129189479</v>
      </c>
      <c r="L764" s="38" t="n">
        <v>83.2295346128416</v>
      </c>
      <c r="M764" s="38" t="n">
        <v>80.0839745841244</v>
      </c>
      <c r="N764" s="38" t="n">
        <v>0</v>
      </c>
    </row>
    <row r="765" customFormat="false" ht="15" hidden="false" customHeight="false" outlineLevel="0" collapsed="false">
      <c r="A765" s="37" t="s">
        <v>604</v>
      </c>
      <c r="B765" s="37" t="s">
        <v>118</v>
      </c>
      <c r="C765" s="37" t="s">
        <v>36</v>
      </c>
      <c r="D765" s="37" t="s">
        <v>37</v>
      </c>
      <c r="E765" s="38" t="n">
        <v>228.686885511185</v>
      </c>
      <c r="F765" s="38" t="n">
        <v>39.5834342760757</v>
      </c>
      <c r="G765" s="38" t="n">
        <v>15.8900000628088</v>
      </c>
      <c r="H765" s="38" t="n">
        <v>4.11995796165717</v>
      </c>
      <c r="I765" s="38" t="n">
        <v>287.506870459879</v>
      </c>
      <c r="J765" s="38" t="n">
        <v>84.1967013494175</v>
      </c>
      <c r="K765" s="38" t="n">
        <v>132.294238250029</v>
      </c>
      <c r="L765" s="38" t="n">
        <v>73.8908930502482</v>
      </c>
      <c r="M765" s="38" t="n">
        <v>70.9421506994718</v>
      </c>
      <c r="N765" s="38" t="n">
        <v>0</v>
      </c>
    </row>
    <row r="766" customFormat="false" ht="15" hidden="false" customHeight="false" outlineLevel="0" collapsed="false">
      <c r="A766" s="37" t="s">
        <v>604</v>
      </c>
      <c r="B766" s="37" t="s">
        <v>118</v>
      </c>
      <c r="C766" s="37" t="s">
        <v>41</v>
      </c>
      <c r="D766" s="37" t="s">
        <v>42</v>
      </c>
      <c r="E766" s="38" t="n">
        <v>216.346435458514</v>
      </c>
      <c r="F766" s="38" t="n">
        <v>55.7718221986372</v>
      </c>
      <c r="G766" s="38" t="n">
        <v>15.8888890624284</v>
      </c>
      <c r="H766" s="38" t="n">
        <v>4.12787290524157</v>
      </c>
      <c r="I766" s="38" t="n">
        <v>222.24277445847</v>
      </c>
      <c r="J766" s="38" t="n">
        <v>64.8815761837744</v>
      </c>
      <c r="K766" s="38" t="n">
        <v>111.071415134397</v>
      </c>
      <c r="L766" s="38" t="n">
        <v>68.6887727363843</v>
      </c>
      <c r="M766" s="38" t="n">
        <v>62.1111773732647</v>
      </c>
      <c r="N766" s="38" t="n">
        <v>0</v>
      </c>
    </row>
    <row r="767" customFormat="false" ht="15" hidden="false" customHeight="false" outlineLevel="0" collapsed="false">
      <c r="A767" s="37" t="s">
        <v>604</v>
      </c>
      <c r="B767" s="37" t="s">
        <v>118</v>
      </c>
      <c r="C767" s="37" t="s">
        <v>46</v>
      </c>
      <c r="D767" s="37" t="s">
        <v>47</v>
      </c>
      <c r="E767" s="38" t="n">
        <v>229.369861120678</v>
      </c>
      <c r="F767" s="38" t="n">
        <v>39.1994944938971</v>
      </c>
      <c r="G767" s="38" t="n">
        <v>15.9096701474148</v>
      </c>
      <c r="H767" s="38" t="n">
        <v>23.3494886150677</v>
      </c>
      <c r="I767" s="38" t="n">
        <v>262.387143570792</v>
      </c>
      <c r="J767" s="38" t="n">
        <v>69.1371435707924</v>
      </c>
      <c r="K767" s="38" t="n">
        <v>142.03964153162</v>
      </c>
      <c r="L767" s="38" t="n">
        <v>77.6608761672167</v>
      </c>
      <c r="M767" s="38" t="n">
        <v>72.6103045304981</v>
      </c>
      <c r="N767" s="38" t="n">
        <v>0</v>
      </c>
    </row>
    <row r="768" customFormat="false" ht="15" hidden="false" customHeight="false" outlineLevel="0" collapsed="false">
      <c r="A768" s="37" t="s">
        <v>604</v>
      </c>
      <c r="B768" s="37" t="s">
        <v>118</v>
      </c>
      <c r="C768" s="37" t="s">
        <v>51</v>
      </c>
      <c r="D768" s="37" t="s">
        <v>51</v>
      </c>
      <c r="E768" s="38" t="n">
        <v>229.615412255263</v>
      </c>
      <c r="F768" s="38" t="n">
        <v>43.7104536177221</v>
      </c>
      <c r="G768" s="38" t="n">
        <v>15.9096701474148</v>
      </c>
      <c r="H768" s="38" t="n">
        <v>15.0139538974469</v>
      </c>
      <c r="I768" s="38" t="n">
        <v>282.766771823371</v>
      </c>
      <c r="J768" s="38" t="n">
        <v>86.0930711884943</v>
      </c>
      <c r="K768" s="38" t="n">
        <v>144.893667788236</v>
      </c>
      <c r="L768" s="38" t="n">
        <v>76.916077584605</v>
      </c>
      <c r="M768" s="38" t="n">
        <v>73.7602681963059</v>
      </c>
      <c r="N768" s="38" t="n">
        <v>0</v>
      </c>
    </row>
    <row r="769" customFormat="false" ht="15" hidden="false" customHeight="false" outlineLevel="0" collapsed="false">
      <c r="A769" s="37" t="s">
        <v>604</v>
      </c>
      <c r="B769" s="37" t="s">
        <v>118</v>
      </c>
      <c r="C769" s="37" t="s">
        <v>55</v>
      </c>
      <c r="D769" s="37" t="s">
        <v>37</v>
      </c>
      <c r="E769" s="38" t="n">
        <v>219.601496817371</v>
      </c>
      <c r="F769" s="38" t="n">
        <v>39.2911555217926</v>
      </c>
      <c r="G769" s="38" t="n">
        <v>15.8884368564636</v>
      </c>
      <c r="H769" s="38" t="n">
        <v>3.94328429515778</v>
      </c>
      <c r="I769" s="38" t="n">
        <v>294.878140328805</v>
      </c>
      <c r="J769" s="38" t="n">
        <v>94.4388171711559</v>
      </c>
      <c r="K769" s="38" t="n">
        <v>125.93690353019</v>
      </c>
      <c r="L769" s="38" t="n">
        <v>67.4952051457714</v>
      </c>
      <c r="M769" s="38" t="n">
        <v>65.7092493626281</v>
      </c>
      <c r="N769" s="38" t="n">
        <v>0</v>
      </c>
    </row>
    <row r="770" customFormat="false" ht="15" hidden="false" customHeight="false" outlineLevel="0" collapsed="false">
      <c r="A770" s="37" t="s">
        <v>604</v>
      </c>
      <c r="B770" s="37" t="s">
        <v>118</v>
      </c>
      <c r="C770" s="37" t="s">
        <v>59</v>
      </c>
      <c r="D770" s="37" t="s">
        <v>42</v>
      </c>
      <c r="E770" s="38" t="n">
        <v>204.742182980979</v>
      </c>
      <c r="F770" s="38" t="n">
        <v>52.066273802849</v>
      </c>
      <c r="G770" s="38" t="n">
        <v>15.8690877739346</v>
      </c>
      <c r="H770" s="38" t="n">
        <v>3.89084309997944</v>
      </c>
      <c r="I770" s="38" t="n">
        <v>228.851235276124</v>
      </c>
      <c r="J770" s="38" t="n">
        <v>30.2315290778686</v>
      </c>
      <c r="K770" s="38" t="n">
        <v>96.0945188502956</v>
      </c>
      <c r="L770" s="38" t="n">
        <v>54.9841153761356</v>
      </c>
      <c r="M770" s="38" t="n">
        <v>51.3247277941234</v>
      </c>
      <c r="N770" s="38" t="n">
        <v>0</v>
      </c>
    </row>
    <row r="771" customFormat="false" ht="15" hidden="false" customHeight="false" outlineLevel="0" collapsed="false">
      <c r="A771" s="37" t="s">
        <v>604</v>
      </c>
      <c r="B771" s="37" t="s">
        <v>118</v>
      </c>
      <c r="C771" s="37" t="s">
        <v>63</v>
      </c>
      <c r="D771" s="37" t="s">
        <v>47</v>
      </c>
      <c r="E771" s="38" t="n">
        <v>215.329486435485</v>
      </c>
      <c r="F771" s="38" t="n">
        <v>39.5404872021159</v>
      </c>
      <c r="G771" s="38" t="n">
        <v>15.8928269773795</v>
      </c>
      <c r="H771" s="38" t="n">
        <v>22.7881179248509</v>
      </c>
      <c r="I771" s="38" t="n">
        <v>242.146284868922</v>
      </c>
      <c r="J771" s="38" t="n">
        <v>44.1759143007793</v>
      </c>
      <c r="K771" s="38" t="n">
        <v>120.458216081735</v>
      </c>
      <c r="L771" s="38" t="n">
        <v>66.3958543085097</v>
      </c>
      <c r="M771" s="38" t="n">
        <v>64.0164001082468</v>
      </c>
      <c r="N771" s="38" t="n">
        <v>0</v>
      </c>
    </row>
    <row r="772" customFormat="false" ht="15" hidden="false" customHeight="false" outlineLevel="0" collapsed="false">
      <c r="A772" s="37" t="s">
        <v>604</v>
      </c>
      <c r="B772" s="37" t="s">
        <v>118</v>
      </c>
      <c r="C772" s="37" t="s">
        <v>67</v>
      </c>
      <c r="D772" s="37" t="s">
        <v>68</v>
      </c>
      <c r="E772" s="38" t="n">
        <v>211.08895996129</v>
      </c>
      <c r="F772" s="38" t="n">
        <v>40.6960906205743</v>
      </c>
      <c r="G772" s="38" t="n">
        <v>15.3965323847841</v>
      </c>
      <c r="H772" s="38" t="n">
        <v>4.09069122026735</v>
      </c>
      <c r="I772" s="38" t="n">
        <v>246.171001038181</v>
      </c>
      <c r="J772" s="38" t="n">
        <v>54.6710010381812</v>
      </c>
      <c r="K772" s="38" t="n">
        <v>131.492573847147</v>
      </c>
      <c r="L772" s="38" t="n">
        <v>69.6927788589942</v>
      </c>
      <c r="M772" s="38" t="n">
        <v>67.2547542431053</v>
      </c>
      <c r="N772" s="38" t="n">
        <v>0</v>
      </c>
    </row>
    <row r="773" customFormat="false" ht="15" hidden="false" customHeight="false" outlineLevel="0" collapsed="false">
      <c r="A773" s="37" t="s">
        <v>604</v>
      </c>
      <c r="B773" s="37" t="s">
        <v>118</v>
      </c>
      <c r="C773" s="37" t="s">
        <v>72</v>
      </c>
      <c r="D773" s="37" t="s">
        <v>73</v>
      </c>
      <c r="E773" s="38" t="n">
        <v>205.897278001871</v>
      </c>
      <c r="F773" s="38" t="n">
        <v>40.8085150961475</v>
      </c>
      <c r="G773" s="38" t="n">
        <v>15.9096701474148</v>
      </c>
      <c r="H773" s="38" t="n">
        <v>7.19915351066677</v>
      </c>
      <c r="I773" s="38" t="n">
        <v>250.427919951733</v>
      </c>
      <c r="J773" s="38" t="n">
        <v>214.055935824749</v>
      </c>
      <c r="K773" s="38" t="n">
        <v>112.369983606501</v>
      </c>
      <c r="L773" s="38" t="n">
        <v>66.2134644992825</v>
      </c>
      <c r="M773" s="38" t="n">
        <v>59.8731628251195</v>
      </c>
      <c r="N773" s="38" t="n">
        <v>0</v>
      </c>
    </row>
    <row r="774" customFormat="false" ht="15" hidden="false" customHeight="false" outlineLevel="0" collapsed="false">
      <c r="A774" s="37" t="s">
        <v>604</v>
      </c>
      <c r="B774" s="37" t="s">
        <v>118</v>
      </c>
      <c r="C774" s="37" t="s">
        <v>77</v>
      </c>
      <c r="D774" s="37" t="s">
        <v>78</v>
      </c>
      <c r="E774" s="38" t="n">
        <v>236.928181095916</v>
      </c>
      <c r="F774" s="38" t="n">
        <v>51.601657232255</v>
      </c>
      <c r="G774" s="38" t="n">
        <v>16.0668514139052</v>
      </c>
      <c r="H774" s="38" t="n">
        <v>14.4925927492181</v>
      </c>
      <c r="I774" s="38" t="n">
        <v>273.64668776526</v>
      </c>
      <c r="J774" s="38" t="n">
        <v>92.4258427230485</v>
      </c>
      <c r="K774" s="38" t="n">
        <v>149.581045397427</v>
      </c>
      <c r="L774" s="38" t="n">
        <v>81.0990892109811</v>
      </c>
      <c r="M774" s="38" t="n">
        <v>76.6752437328356</v>
      </c>
      <c r="N774" s="38" t="n">
        <v>0</v>
      </c>
    </row>
    <row r="775" customFormat="false" ht="15" hidden="false" customHeight="false" outlineLevel="0" collapsed="false">
      <c r="A775" s="37" t="s">
        <v>604</v>
      </c>
      <c r="B775" s="37" t="s">
        <v>121</v>
      </c>
      <c r="C775" s="37" t="s">
        <v>36</v>
      </c>
      <c r="D775" s="37" t="s">
        <v>37</v>
      </c>
      <c r="E775" s="38" t="n">
        <v>208.462742956345</v>
      </c>
      <c r="F775" s="38" t="n">
        <v>39.2079652008816</v>
      </c>
      <c r="G775" s="38" t="n">
        <v>15.8510737080312</v>
      </c>
      <c r="H775" s="38" t="n">
        <v>4.88725928327094</v>
      </c>
      <c r="I775" s="38" t="n">
        <v>245.181538622323</v>
      </c>
      <c r="J775" s="38" t="n">
        <v>41.7787350244953</v>
      </c>
      <c r="K775" s="38" t="n">
        <v>110.336313459587</v>
      </c>
      <c r="L775" s="38" t="n">
        <v>66.9355198032689</v>
      </c>
      <c r="M775" s="38" t="n">
        <v>61.861592365946</v>
      </c>
      <c r="N775" s="38" t="n">
        <v>0</v>
      </c>
    </row>
    <row r="776" customFormat="false" ht="15" hidden="false" customHeight="false" outlineLevel="0" collapsed="false">
      <c r="A776" s="37" t="s">
        <v>604</v>
      </c>
      <c r="B776" s="37" t="s">
        <v>121</v>
      </c>
      <c r="C776" s="37" t="s">
        <v>41</v>
      </c>
      <c r="D776" s="37" t="s">
        <v>42</v>
      </c>
      <c r="E776" s="38" t="n">
        <v>194.278159547652</v>
      </c>
      <c r="F776" s="38" t="n">
        <v>49.7509927101267</v>
      </c>
      <c r="G776" s="38" t="n">
        <v>15.831653228627</v>
      </c>
      <c r="H776" s="38" t="n">
        <v>4.77425592586601</v>
      </c>
      <c r="I776" s="38" t="n">
        <v>195.985215181294</v>
      </c>
      <c r="J776" s="38" t="n">
        <v>24.9122816015968</v>
      </c>
      <c r="K776" s="38" t="n">
        <v>75.8170837272657</v>
      </c>
      <c r="L776" s="38" t="n">
        <v>57.6129257688113</v>
      </c>
      <c r="M776" s="38" t="n">
        <v>46.4174888343947</v>
      </c>
      <c r="N776" s="38" t="n">
        <v>0</v>
      </c>
    </row>
    <row r="777" customFormat="false" ht="15" hidden="false" customHeight="false" outlineLevel="0" collapsed="false">
      <c r="A777" s="37" t="s">
        <v>604</v>
      </c>
      <c r="B777" s="37" t="s">
        <v>121</v>
      </c>
      <c r="C777" s="37" t="s">
        <v>46</v>
      </c>
      <c r="D777" s="37" t="s">
        <v>47</v>
      </c>
      <c r="E777" s="38" t="n">
        <v>228.656633976248</v>
      </c>
      <c r="F777" s="38" t="n">
        <v>39.0377865434789</v>
      </c>
      <c r="G777" s="38" t="n">
        <v>15.8708109575958</v>
      </c>
      <c r="H777" s="38" t="n">
        <v>36.4809098596098</v>
      </c>
      <c r="I777" s="38" t="n">
        <v>268.995500829061</v>
      </c>
      <c r="J777" s="38" t="n">
        <v>75.7455008290606</v>
      </c>
      <c r="K777" s="38" t="n">
        <v>140.89243834631</v>
      </c>
      <c r="L777" s="38" t="n">
        <v>78.5440843269786</v>
      </c>
      <c r="M777" s="38" t="n">
        <v>70.70242755311</v>
      </c>
      <c r="N777" s="38" t="n">
        <v>0</v>
      </c>
    </row>
    <row r="778" customFormat="false" ht="15" hidden="false" customHeight="false" outlineLevel="0" collapsed="false">
      <c r="A778" s="37" t="s">
        <v>604</v>
      </c>
      <c r="B778" s="37" t="s">
        <v>121</v>
      </c>
      <c r="C778" s="37" t="s">
        <v>51</v>
      </c>
      <c r="D778" s="37" t="s">
        <v>51</v>
      </c>
      <c r="E778" s="38" t="n">
        <v>220.99913623081</v>
      </c>
      <c r="F778" s="38" t="n">
        <v>43.4442239499321</v>
      </c>
      <c r="G778" s="38" t="n">
        <v>15.8708109575958</v>
      </c>
      <c r="H778" s="38" t="n">
        <v>22.7425755917193</v>
      </c>
      <c r="I778" s="38" t="n">
        <v>265.961081282617</v>
      </c>
      <c r="J778" s="38" t="n">
        <v>69.2873806477399</v>
      </c>
      <c r="K778" s="38" t="n">
        <v>136.586759214928</v>
      </c>
      <c r="L778" s="38" t="n">
        <v>75.0921889848626</v>
      </c>
      <c r="M778" s="38" t="n">
        <v>69.4763659044974</v>
      </c>
      <c r="N778" s="38" t="n">
        <v>0</v>
      </c>
    </row>
    <row r="779" customFormat="false" ht="15" hidden="false" customHeight="false" outlineLevel="0" collapsed="false">
      <c r="A779" s="37" t="s">
        <v>604</v>
      </c>
      <c r="B779" s="37" t="s">
        <v>121</v>
      </c>
      <c r="C779" s="37" t="s">
        <v>55</v>
      </c>
      <c r="D779" s="37" t="s">
        <v>37</v>
      </c>
      <c r="E779" s="38" t="n">
        <v>200.215413602412</v>
      </c>
      <c r="F779" s="38" t="n">
        <v>38.9148295255357</v>
      </c>
      <c r="G779" s="38" t="n">
        <v>15.8490741693388</v>
      </c>
      <c r="H779" s="38" t="n">
        <v>4.65397394027493</v>
      </c>
      <c r="I779" s="38" t="n">
        <v>252.54826847448</v>
      </c>
      <c r="J779" s="38" t="n">
        <v>51.7653476980833</v>
      </c>
      <c r="K779" s="38" t="n">
        <v>104.100197998889</v>
      </c>
      <c r="L779" s="38" t="n">
        <v>60.7408459530394</v>
      </c>
      <c r="M779" s="38" t="n">
        <v>56.3192322154894</v>
      </c>
      <c r="N779" s="38" t="n">
        <v>0</v>
      </c>
    </row>
    <row r="780" customFormat="false" ht="15" hidden="false" customHeight="false" outlineLevel="0" collapsed="false">
      <c r="A780" s="37" t="s">
        <v>604</v>
      </c>
      <c r="B780" s="37" t="s">
        <v>121</v>
      </c>
      <c r="C780" s="37" t="s">
        <v>59</v>
      </c>
      <c r="D780" s="37" t="s">
        <v>42</v>
      </c>
      <c r="E780" s="38" t="n">
        <v>190.228177954736</v>
      </c>
      <c r="F780" s="38" t="n">
        <v>51.6464853311989</v>
      </c>
      <c r="G780" s="38" t="n">
        <v>15.8304110110115</v>
      </c>
      <c r="H780" s="38" t="n">
        <v>4.58873400190192</v>
      </c>
      <c r="I780" s="38" t="n">
        <v>193.227776557157</v>
      </c>
      <c r="J780" s="38" t="n">
        <v>-5.3891739408019</v>
      </c>
      <c r="K780" s="38" t="n">
        <v>68.4372707714506</v>
      </c>
      <c r="L780" s="38" t="n">
        <v>50.8462296590455</v>
      </c>
      <c r="M780" s="38" t="n">
        <v>40.8425325121791</v>
      </c>
      <c r="N780" s="38" t="n">
        <v>0</v>
      </c>
    </row>
    <row r="781" customFormat="false" ht="15" hidden="false" customHeight="false" outlineLevel="0" collapsed="false">
      <c r="A781" s="37" t="s">
        <v>604</v>
      </c>
      <c r="B781" s="37" t="s">
        <v>121</v>
      </c>
      <c r="C781" s="37" t="s">
        <v>63</v>
      </c>
      <c r="D781" s="37" t="s">
        <v>47</v>
      </c>
      <c r="E781" s="38" t="n">
        <v>215.121939629654</v>
      </c>
      <c r="F781" s="38" t="n">
        <v>39.3770760577755</v>
      </c>
      <c r="G781" s="38" t="n">
        <v>15.8538402801355</v>
      </c>
      <c r="H781" s="38" t="n">
        <v>35.9859454421551</v>
      </c>
      <c r="I781" s="38" t="n">
        <v>249.839920068606</v>
      </c>
      <c r="J781" s="38" t="n">
        <v>51.7506764641444</v>
      </c>
      <c r="K781" s="38" t="n">
        <v>119.515705288482</v>
      </c>
      <c r="L781" s="38" t="n">
        <v>67.4119200562652</v>
      </c>
      <c r="M781" s="38" t="n">
        <v>62.7783309297771</v>
      </c>
      <c r="N781" s="38" t="n">
        <v>0</v>
      </c>
    </row>
    <row r="782" customFormat="false" ht="15" hidden="false" customHeight="false" outlineLevel="0" collapsed="false">
      <c r="A782" s="37" t="s">
        <v>604</v>
      </c>
      <c r="B782" s="37" t="s">
        <v>121</v>
      </c>
      <c r="C782" s="37" t="s">
        <v>67</v>
      </c>
      <c r="D782" s="37" t="s">
        <v>68</v>
      </c>
      <c r="E782" s="38" t="n">
        <v>194.998028463972</v>
      </c>
      <c r="F782" s="38" t="n">
        <v>40.3064714423067</v>
      </c>
      <c r="G782" s="38" t="n">
        <v>15.3451677502349</v>
      </c>
      <c r="H782" s="38" t="n">
        <v>4.84400508234978</v>
      </c>
      <c r="I782" s="38" t="n">
        <v>210.249978059152</v>
      </c>
      <c r="J782" s="38" t="n">
        <v>28.7499780591524</v>
      </c>
      <c r="K782" s="38" t="n">
        <v>101.944477104329</v>
      </c>
      <c r="L782" s="38" t="n">
        <v>62.761849286286</v>
      </c>
      <c r="M782" s="38" t="n">
        <v>56.5769700770294</v>
      </c>
      <c r="N782" s="38" t="n">
        <v>0</v>
      </c>
    </row>
    <row r="783" customFormat="false" ht="15" hidden="false" customHeight="false" outlineLevel="0" collapsed="false">
      <c r="A783" s="37" t="s">
        <v>604</v>
      </c>
      <c r="B783" s="37" t="s">
        <v>121</v>
      </c>
      <c r="C783" s="37" t="s">
        <v>72</v>
      </c>
      <c r="D783" s="37" t="s">
        <v>73</v>
      </c>
      <c r="E783" s="38" t="n">
        <v>192.517616503578</v>
      </c>
      <c r="F783" s="38" t="n">
        <v>40.4353692439415</v>
      </c>
      <c r="G783" s="38" t="n">
        <v>15.8708109575958</v>
      </c>
      <c r="H783" s="38" t="n">
        <v>9.90557949042705</v>
      </c>
      <c r="I783" s="38" t="n">
        <v>218.119678095646</v>
      </c>
      <c r="J783" s="38" t="n">
        <v>181.747693968662</v>
      </c>
      <c r="K783" s="38" t="n">
        <v>96.3519109570446</v>
      </c>
      <c r="L783" s="38" t="n">
        <v>63.416753497575</v>
      </c>
      <c r="M783" s="38" t="n">
        <v>52.7403670931291</v>
      </c>
      <c r="N783" s="38" t="n">
        <v>0</v>
      </c>
    </row>
    <row r="784" customFormat="false" ht="15" hidden="false" customHeight="false" outlineLevel="0" collapsed="false">
      <c r="A784" s="37" t="s">
        <v>604</v>
      </c>
      <c r="B784" s="37" t="s">
        <v>121</v>
      </c>
      <c r="C784" s="37" t="s">
        <v>77</v>
      </c>
      <c r="D784" s="37" t="s">
        <v>78</v>
      </c>
      <c r="E784" s="38" t="n">
        <v>228.108468648017</v>
      </c>
      <c r="F784" s="38" t="n">
        <v>51.2970359334163</v>
      </c>
      <c r="G784" s="38" t="n">
        <v>16.0272029521044</v>
      </c>
      <c r="H784" s="38" t="n">
        <v>21.6998924272503</v>
      </c>
      <c r="I784" s="38" t="n">
        <v>255.049501471784</v>
      </c>
      <c r="J784" s="38" t="n">
        <v>73.8261197781256</v>
      </c>
      <c r="K784" s="38" t="n">
        <v>141.589803847932</v>
      </c>
      <c r="L784" s="38" t="n">
        <v>78.6906893535864</v>
      </c>
      <c r="M784" s="38" t="n">
        <v>73.3433067323018</v>
      </c>
      <c r="N784" s="38" t="n">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2026-10-13T08:24:18Z</dcterms:created>
  <dc:creator>openpyxl</dc:creator>
  <dc:description/>
  <dc:language>en-US</dc:language>
  <cp:lastModifiedBy/>
  <dcterms:modified xsi:type="dcterms:W3CDTF">2026-10-13T08:24:20Z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